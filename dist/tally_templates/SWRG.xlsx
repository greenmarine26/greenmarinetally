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calcPr calcId="171027"/>
</workbook>
</file>

<file path=xl/sharedStrings.xml><?xml version="1.0" encoding="utf-8"?>
<sst xmlns="http://schemas.openxmlformats.org/spreadsheetml/2006/main" count="522" uniqueCount="180">
  <si>
    <t xml:space="preserve">GREEN  MARINE  CO.,  LTD.  </t>
  </si>
  <si>
    <t>FINAL  WORKING  REPORT (VOUCHER)</t>
  </si>
  <si>
    <t xml:space="preserve">  M/V  :</t>
  </si>
  <si>
    <t>SAWASDEE RIGEL</t>
  </si>
  <si>
    <t>VOY # :</t>
  </si>
  <si>
    <t>DATE :</t>
  </si>
  <si>
    <t xml:space="preserve"> PIER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</si>
  <si>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</si>
  <si>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</si>
  <si>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</si>
  <si>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</si>
  <si>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</si>
  <si>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</si>
  <si>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</si>
  <si>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</si>
  <si>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z val="10"/>
        <rFont val="Arial Unicode MS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</si>
  <si>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</si>
  <si>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</si>
  <si>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</si>
  <si>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</si>
  <si>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</si>
  <si>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</si>
  <si>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</si>
  <si>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</si>
  <si>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</si>
  <si>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</si>
  <si>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</si>
  <si>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</si>
  <si>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PIER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</si>
  <si>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BERTH </t>
    </r>
    <r>
      <rPr>
        <b/>
        <charset val="129"/>
        <family val="3"/>
        <sz val="11"/>
        <rFont val="Arial Unicode MS"/>
      </rPr>
      <t>:</t>
    </r>
  </si>
  <si>
    <t>WEATHER :</t>
  </si>
  <si>
    <r>
      <t xml:space="preserve">PORT : </t>
    </r>
    <r>
      <rPr>
        <u/>
        <charset val="129"/>
        <family val="3"/>
        <sz val="11"/>
        <rFont val="Arial Unicode MS"/>
      </rPr>
      <t>PYEONGTAEK, KOREA</t>
    </r>
  </si>
  <si>
    <r>
      <t>T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I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</si>
  <si>
    <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A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K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S</t>
    </r>
  </si>
  <si>
    <t xml:space="preserve"> CARGO  OVERAGE &amp; SHORTAGE  REPORT  (DISCH)</t>
  </si>
  <si>
    <r>
      <t>M / V</t>
    </r>
    <r>
      <rPr>
        <b/>
        <charset val="129"/>
        <family val="3"/>
        <sz val="12"/>
        <rFont val="Arial Unicode MS"/>
      </rPr>
      <t xml:space="preserve"> :</t>
    </r>
  </si>
  <si>
    <r>
      <t>VOY. NO.</t>
    </r>
    <r>
      <rPr>
        <b/>
        <charset val="129"/>
        <family val="3"/>
        <sz val="12"/>
        <rFont val="Arial Unicode MS"/>
      </rPr>
      <t>:</t>
    </r>
  </si>
  <si>
    <r>
      <t xml:space="preserve">DATE 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</si>
  <si>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</si>
  <si>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z val="12"/>
        <rFont val="Arial Unicode MS"/>
      </rPr>
      <t>:</t>
    </r>
  </si>
  <si>
    <r>
      <t xml:space="preserve">BERTH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</si>
  <si>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</si>
  <si>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</si>
  <si>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</si>
  <si>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</si>
  <si>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</si>
  <si>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</si>
  <si>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</si>
  <si>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</si>
  <si>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</si>
  <si>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</si>
  <si>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</si>
  <si>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</si>
  <si>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</si>
  <si>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</si>
  <si>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</si>
  <si>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</t>
    </r>
  </si>
  <si>
    <r>
      <t xml:space="preserve">VOY. NO. </t>
    </r>
    <r>
      <rPr>
        <b/>
        <charset val="129"/>
        <family val="3"/>
        <sz val="12"/>
        <rFont val="Arial Unicode MS"/>
      </rPr>
      <t>:</t>
    </r>
  </si>
  <si>
    <r>
      <t xml:space="preserve">DATE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</si>
  <si>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</si>
  <si>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r>
      <t xml:space="preserve">PIER     </t>
    </r>
    <r>
      <rPr>
        <b/>
        <charset val="129"/>
        <family val="3"/>
        <sz val="12"/>
        <rFont val="Arial Unicode MS"/>
      </rPr>
      <t>:</t>
    </r>
  </si>
  <si>
    <t>PCTC</t>
  </si>
  <si>
    <r>
      <t xml:space="preserve">BERTH </t>
    </r>
    <r>
      <rPr>
        <b/>
        <charset val="129"/>
        <family val="3"/>
        <sz val="12"/>
        <rFont val="Arial Unicode MS"/>
      </rPr>
      <t>:</t>
    </r>
  </si>
  <si>
    <t>MARKS</t>
  </si>
  <si>
    <t>CONTENTS</t>
  </si>
  <si>
    <t>NO. OF</t>
  </si>
  <si>
    <t>TYPE</t>
  </si>
  <si>
    <t>EXCEPTION  ( Found In Stow )</t>
  </si>
  <si>
    <t>SGN</t>
  </si>
  <si>
    <t>HAS</t>
  </si>
  <si>
    <t>HLHU8469768</t>
  </si>
  <si>
    <t>40'    FULL    CONT'R</t>
  </si>
  <si>
    <t xml:space="preserve"> R/SIDE PANEL 1 POINT DENTED (100cm x 50cm)</t>
  </si>
  <si>
    <t>SKR</t>
  </si>
  <si>
    <t>HLHU8455825</t>
  </si>
  <si>
    <t xml:space="preserve"> L/SIDE PANEL 1 POINT DENTED (50cm x 50cm)</t>
  </si>
  <si>
    <t xml:space="preserve"> CARGO  OVERAGE &amp; SHORTAGE  REPORT  (LOAD)</t>
  </si>
  <si>
    <r>
      <t xml:space="preserve">PORT </t>
    </r>
    <r>
      <rPr>
        <b/>
        <charset val="129"/>
        <family val="3"/>
        <sz val="12"/>
        <rFont val="Arial Unicode MS"/>
      </rPr>
      <t xml:space="preserve"> : </t>
    </r>
    <r>
      <rPr>
        <b/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</si>
  <si>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</si>
  <si>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BERTH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</si>
  <si>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EXCEPTION  ( Prior To Load )</t>
  </si>
  <si>
    <t>PTK</t>
  </si>
  <si>
    <r>
      <t xml:space="preserve">M / V </t>
    </r>
    <r>
      <rPr>
        <b/>
        <charset val="129"/>
        <family val="3"/>
        <sz val="12"/>
        <rFont val="Arial Unicode MS"/>
      </rPr>
      <t>:</t>
    </r>
  </si>
  <si>
    <t>DATE  :</t>
  </si>
  <si>
    <r>
      <t xml:space="preserve">VOY # </t>
    </r>
    <r>
      <rPr>
        <b/>
        <charset val="129"/>
        <family val="3"/>
        <sz val="12"/>
        <rFont val="Arial Unicode MS"/>
      </rPr>
      <t>:</t>
    </r>
  </si>
  <si>
    <t xml:space="preserve"> </t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</si>
  <si>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</si>
  <si>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</si>
  <si>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</si>
  <si>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</si>
  <si>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</si>
  <si>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</si>
  <si>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</si>
  <si>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</si>
  <si>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</si>
  <si>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</si>
  <si>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</si>
  <si>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</si>
  <si>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</si>
  <si>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</si>
  <si>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t>LOAD.</t>
  </si>
  <si>
    <t>REEFER  CONTAINER  CONDITION  REPORT</t>
  </si>
  <si>
    <t>Discharging  /  Loading</t>
  </si>
  <si>
    <t>( 1/2 )</t>
  </si>
  <si>
    <t>M / V : SAWASDEE RIGEL</t>
  </si>
  <si>
    <t>PIER  : PCTC</t>
  </si>
  <si>
    <r>
      <t xml:space="preserve"> </t>
    </r>
    <r>
      <rPr>
        <u/>
        <charset val="129"/>
        <family val="3"/>
        <sz val="11"/>
        <rFont val="Arial Unicode MS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</si>
  <si>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</si>
  <si>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</si>
  <si>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</si>
  <si>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</si>
  <si>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</si>
  <si>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</si>
  <si>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</si>
  <si>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</si>
  <si>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</si>
  <si>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( 2/2 )</t>
  </si>
  <si>
    <t>FSCU5911610</t>
  </si>
  <si>
    <t>40'RH</t>
  </si>
  <si>
    <t>-18.0C</t>
  </si>
  <si>
    <t>BKK - HAS</t>
  </si>
  <si>
    <t>HALU8500359</t>
  </si>
  <si>
    <t>14.0C</t>
  </si>
  <si>
    <t>"</t>
  </si>
  <si>
    <t>SGN - HAS</t>
  </si>
  <si>
    <t>HALU8503260</t>
  </si>
  <si>
    <t>13.5C</t>
  </si>
  <si>
    <t>SGN - SKR</t>
  </si>
  <si>
    <t>HALU8505047</t>
  </si>
  <si>
    <t>HALU8505073</t>
  </si>
  <si>
    <t>LCH - SKR</t>
  </si>
  <si>
    <t>SKRU6504717</t>
  </si>
  <si>
    <t>SKRU6507296</t>
  </si>
  <si>
    <t>SKRU9602851</t>
  </si>
  <si>
    <t>3.0C</t>
  </si>
  <si>
    <t>SZLU9371622</t>
  </si>
  <si>
    <t>SZLU9372167</t>
  </si>
  <si>
    <t>-20.0C</t>
  </si>
  <si>
    <t>SZLU9373353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</si>
  <si>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</si>
  <si>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</si>
  <si>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</si>
  <si>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</si>
  <si>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</si>
  <si>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</si>
  <si>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</si>
  <si>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GREEN MARINE CO., LTD</t>
  </si>
  <si>
    <t>PERFORMANCE  REPORT</t>
  </si>
  <si>
    <r>
      <t xml:space="preserve">M / V  </t>
    </r>
    <r>
      <rPr>
        <b/>
        <charset val="129"/>
        <family val="3"/>
        <sz val="10"/>
        <rFont val="Arial Unicode MS"/>
      </rPr>
      <t>:</t>
    </r>
  </si>
  <si>
    <r>
      <t xml:space="preserve">PIER </t>
    </r>
    <r>
      <rPr>
        <b/>
        <charset val="129"/>
        <family val="3"/>
        <sz val="10"/>
        <rFont val="Arial Unicode MS"/>
      </rPr>
      <t>:</t>
    </r>
  </si>
  <si>
    <t xml:space="preserve"> PORT :</t>
  </si>
  <si>
    <t>Status</t>
  </si>
  <si>
    <t xml:space="preserve"> Description</t>
  </si>
  <si>
    <t>HC</t>
  </si>
  <si>
    <t>IN BOUND</t>
  </si>
  <si>
    <t>20'RF x 2 , RH x 12</t>
  </si>
  <si>
    <t>20'RF X 1 , 20'OT x 1, RH x 16</t>
  </si>
  <si>
    <t>S-TOTAL</t>
  </si>
  <si>
    <t>OUT BOUND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</si>
  <si>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</si>
  <si>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</si>
  <si>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</si>
  <si>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</si>
  <si>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</si>
  <si>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</si>
  <si>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</si>
  <si>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</si>
  <si>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</si>
  <si>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DISCH.</t>
  </si>
  <si>
    <t>DISCH. OF CONT'R</t>
  </si>
  <si>
    <t>MEAL TIME</t>
  </si>
  <si>
    <t>COMPLETED DISCH</t>
  </si>
  <si>
    <t>COMMENCED LOAD.</t>
  </si>
  <si>
    <t>LOAD. OF CONT'R</t>
  </si>
  <si>
    <t>TEA TIME</t>
  </si>
  <si>
    <t>COMPLETED LOAD. &amp; GANG K/OFF</t>
  </si>
  <si>
    <t>#2 (G/C)</t>
  </si>
  <si>
    <t>#3 (G/C)</t>
  </si>
  <si>
    <t>11th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</si>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</sst>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</numFmts>
  <fonts count="29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z val="22"/>
      <name val="Arial Unicode MS"/>
    </font>
    <font>
      <charset val="129"/>
      <family val="3"/>
      <sz val="12"/>
      <name val="Arial Unicode MS"/>
    </font>
    <font>
      <b/>
      <charset val="129"/>
      <family val="3"/>
      <sz val="18"/>
      <name val="Arial Unicode MS"/>
    </font>
    <font>
      <charset val="129"/>
      <family val="3"/>
      <sz val="11"/>
      <name val="Arial Unicode MS"/>
    </font>
    <font>
      <charset val="129"/>
      <color theme="1"/>
      <family val="3"/>
      <sz val="11"/>
      <name val="Arial Unicode MS"/>
    </font>
    <font>
      <charset val="129"/>
      <family val="3"/>
      <sz val="14"/>
      <name val="Arial Unicode MS"/>
    </font>
    <font>
      <charset val="129"/>
      <family val="3"/>
      <scheme val="minor"/>
      <sz val="11"/>
      <name val="맑은 고딕"/>
    </font>
    <font>
      <charset val="129"/>
      <family val="3"/>
      <sz val="10"/>
      <name val="Arial Unicode MS"/>
    </font>
    <font>
      <charset val="129"/>
      <family val="3"/>
      <scheme val="minor"/>
      <sz val="10"/>
      <name val="맑은 고딕"/>
    </font>
    <font>
      <charset val="129"/>
      <family val="3"/>
      <sz val="9"/>
      <name val="Arial Unicode MS"/>
    </font>
    <font>
      <b/>
      <charset val="129"/>
      <family val="3"/>
      <sz val="10"/>
      <name val="Arial Unicode MS"/>
    </font>
    <font>
      <b/>
      <charset val="129"/>
      <family val="3"/>
      <sz val="14"/>
      <name val="Arial Unicode MS"/>
    </font>
    <font>
      <b/>
      <u/>
      <charset val="129"/>
      <family val="3"/>
      <sz val="18"/>
      <name val="Arial Unicode MS"/>
    </font>
    <font>
      <b/>
      <charset val="129"/>
      <family val="3"/>
      <sz val="11"/>
      <name val="Arial Unicode MS"/>
    </font>
    <font>
      <b/>
      <charset val="129"/>
      <family val="3"/>
      <sz val="9"/>
      <name val="Arial Unicode MS"/>
    </font>
    <font>
      <b/>
      <charset val="129"/>
      <family val="3"/>
      <sz val="12"/>
      <name val="Arial Unicode MS"/>
    </font>
    <font>
      <b/>
      <charset val="129"/>
      <color indexed="8"/>
      <family val="3"/>
      <sz val="18"/>
      <name val="Arial Unicode MS"/>
    </font>
    <font>
      <charset val="129"/>
      <color indexed="8"/>
      <family val="3"/>
      <scheme val="minor"/>
      <sz val="11"/>
      <name val="맑은 고딕"/>
    </font>
    <font>
      <charset val="129"/>
      <family val="3"/>
      <sz val="22"/>
      <name val="Arial Unicode MS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z val="9"/>
      <name val="Arial Unicode MS"/>
    </font>
    <font>
      <charset val="129"/>
      <color indexed="8"/>
      <family val="3"/>
      <scheme val="minor"/>
      <sz val="10"/>
      <name val="맑은 고딕"/>
    </font>
    <font>
      <u/>
      <charset val="129"/>
      <family val="3"/>
      <sz val="24"/>
      <name val="Arial Unicode MS"/>
    </font>
    <font>
      <charset val="129"/>
      <family val="3"/>
      <sz val="8"/>
      <name val="Arial Unicode MS"/>
    </font>
    <font>
      <u/>
      <charset val="129"/>
      <family val="3"/>
      <sz val="1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42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45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0" applyNumberFormat="1" applyFont="1"/>
    <xf numFmtId="0" fontId="6" fillId="0" borderId="0" xfId="0" applyFont="1"/>
    <xf numFmtId="164" fontId="4" fillId="0" borderId="0" xfId="0" applyNumberFormat="1" applyFont="1" applyAlignment="1">
      <alignment horizontal="right"/>
    </xf>
    <xf numFmtId="0" fontId="6" fillId="0" borderId="0" xfId="0" applyFont="1" applyAlignment="1">
      <alignment horizontal="center" vertical="center" shrinkToFi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164" fontId="10" fillId="0" borderId="17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22" xfId="0" applyFont="1" applyBorder="1" applyAlignment="1">
      <alignment horizontal="center" vertical="center" shrinkToFit="1"/>
    </xf>
    <xf numFmtId="0" fontId="12" fillId="0" borderId="11" xfId="0" applyFont="1" applyBorder="1" applyAlignment="1">
      <alignment horizontal="center" vertical="center" shrinkToFit="1"/>
    </xf>
    <xf numFmtId="164" fontId="10" fillId="0" borderId="23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164" fontId="10" fillId="0" borderId="31" xfId="0" applyNumberFormat="1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164" fontId="10" fillId="0" borderId="37" xfId="0" applyNumberFormat="1" applyFont="1" applyBorder="1" applyAlignment="1">
      <alignment horizontal="center" vertical="center" shrinkToFit="1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 shrinkToFit="1"/>
    </xf>
    <xf numFmtId="164" fontId="10" fillId="0" borderId="44" xfId="0" applyNumberFormat="1" applyFont="1" applyBorder="1" applyAlignment="1">
      <alignment horizontal="center" vertical="center" shrinkToFit="1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164" fontId="10" fillId="0" borderId="50" xfId="0" applyNumberFormat="1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 shrinkToFit="1"/>
    </xf>
    <xf numFmtId="0" fontId="12" fillId="0" borderId="57" xfId="0" applyFont="1" applyBorder="1" applyAlignment="1">
      <alignment horizontal="center" vertical="center" shrinkToFit="1"/>
    </xf>
    <xf numFmtId="164" fontId="10" fillId="0" borderId="58" xfId="0" applyNumberFormat="1" applyFont="1" applyBorder="1" applyAlignment="1">
      <alignment horizontal="center" vertical="center" shrinkToFit="1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shrinkToFit="1"/>
    </xf>
    <xf numFmtId="0" fontId="12" fillId="0" borderId="65" xfId="0" applyFont="1" applyBorder="1" applyAlignment="1">
      <alignment horizontal="center" vertical="center" shrinkToFit="1"/>
    </xf>
    <xf numFmtId="164" fontId="10" fillId="0" borderId="66" xfId="0" applyNumberFormat="1" applyFont="1" applyBorder="1" applyAlignment="1">
      <alignment horizontal="center" vertical="center" shrinkToFit="1"/>
    </xf>
    <xf numFmtId="0" fontId="12" fillId="0" borderId="33" xfId="0" applyFont="1" applyBorder="1" applyAlignment="1">
      <alignment horizontal="center" vertical="center" shrinkToFit="1"/>
    </xf>
    <xf numFmtId="0" fontId="12" fillId="0" borderId="67" xfId="0" applyFont="1" applyBorder="1" applyAlignment="1">
      <alignment horizontal="center" vertical="center" shrinkToFit="1"/>
    </xf>
    <xf numFmtId="0" fontId="12" fillId="0" borderId="68" xfId="0" applyFont="1" applyBorder="1" applyAlignment="1">
      <alignment horizontal="center" vertical="center" wrapText="1" shrinkToFit="1"/>
    </xf>
    <xf numFmtId="0" fontId="12" fillId="0" borderId="68" xfId="0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 shrinkToFit="1"/>
    </xf>
    <xf numFmtId="0" fontId="10" fillId="0" borderId="68" xfId="0" applyFont="1" applyBorder="1" applyAlignment="1">
      <alignment horizontal="center" vertical="center" shrinkToFit="1"/>
    </xf>
    <xf numFmtId="0" fontId="10" fillId="0" borderId="33" xfId="0" applyFont="1" applyBorder="1" applyAlignment="1">
      <alignment horizontal="center" vertical="center" shrinkToFit="1"/>
    </xf>
    <xf numFmtId="0" fontId="10" fillId="0" borderId="69" xfId="0" applyFont="1" applyBorder="1" applyAlignment="1">
      <alignment horizontal="center" vertical="center" shrinkToFit="1"/>
    </xf>
    <xf numFmtId="0" fontId="10" fillId="0" borderId="65" xfId="0" applyFont="1" applyBorder="1" applyAlignment="1">
      <alignment horizontal="center" vertical="center" shrinkToFit="1"/>
    </xf>
    <xf numFmtId="0" fontId="10" fillId="0" borderId="68" xfId="0" applyFont="1" applyBorder="1" applyAlignment="1">
      <alignment horizontal="center" vertical="center" wrapText="1" shrinkToFit="1"/>
    </xf>
    <xf numFmtId="0" fontId="10" fillId="0" borderId="70" xfId="0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 shrinkToFit="1"/>
    </xf>
    <xf numFmtId="164" fontId="10" fillId="0" borderId="71" xfId="0" applyNumberFormat="1" applyFont="1" applyBorder="1" applyAlignment="1">
      <alignment horizontal="center" vertical="center" shrinkToFit="1"/>
    </xf>
    <xf numFmtId="0" fontId="10" fillId="0" borderId="70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 shrinkToFit="1"/>
    </xf>
    <xf numFmtId="0" fontId="10" fillId="0" borderId="76" xfId="0" applyFont="1" applyBorder="1" applyAlignment="1">
      <alignment horizontal="center" vertical="center" shrinkToFit="1"/>
    </xf>
    <xf numFmtId="0" fontId="10" fillId="0" borderId="77" xfId="0" applyFont="1" applyBorder="1" applyAlignment="1">
      <alignment horizontal="center" vertical="center" shrinkToFit="1"/>
    </xf>
    <xf numFmtId="165" fontId="10" fillId="0" borderId="75" xfId="0" applyNumberFormat="1" applyFont="1" applyBorder="1" applyAlignment="1">
      <alignment horizontal="center" vertical="center"/>
    </xf>
    <xf numFmtId="165" fontId="10" fillId="0" borderId="76" xfId="0" applyNumberFormat="1" applyFont="1" applyBorder="1" applyAlignment="1">
      <alignment horizontal="center" vertical="center"/>
    </xf>
    <xf numFmtId="165" fontId="10" fillId="0" borderId="78" xfId="0" applyNumberFormat="1" applyFont="1" applyBorder="1" applyAlignment="1">
      <alignment horizontal="center" vertical="center"/>
    </xf>
    <xf numFmtId="165" fontId="10" fillId="0" borderId="79" xfId="0" applyNumberFormat="1" applyFont="1" applyBorder="1" applyAlignment="1">
      <alignment horizontal="center" vertical="center"/>
    </xf>
    <xf numFmtId="165" fontId="10" fillId="0" borderId="80" xfId="0" applyNumberFormat="1" applyFont="1" applyBorder="1" applyAlignment="1">
      <alignment horizontal="center" vertical="center"/>
    </xf>
    <xf numFmtId="0" fontId="10" fillId="0" borderId="81" xfId="0" applyFont="1" applyBorder="1" applyAlignment="1">
      <alignment horizontal="center" vertical="center" shrinkToFit="1"/>
    </xf>
    <xf numFmtId="0" fontId="10" fillId="0" borderId="82" xfId="0" applyFont="1" applyBorder="1" applyAlignment="1">
      <alignment horizontal="center" vertical="center" shrinkToFit="1"/>
    </xf>
    <xf numFmtId="0" fontId="10" fillId="0" borderId="83" xfId="0" applyFont="1" applyBorder="1" applyAlignment="1">
      <alignment horizontal="center" vertical="center" shrinkToFit="1"/>
    </xf>
    <xf numFmtId="165" fontId="10" fillId="0" borderId="81" xfId="0" applyNumberFormat="1" applyFont="1" applyBorder="1" applyAlignment="1">
      <alignment horizontal="center" vertical="center"/>
    </xf>
    <xf numFmtId="165" fontId="10" fillId="0" borderId="82" xfId="0" applyNumberFormat="1" applyFont="1" applyBorder="1" applyAlignment="1">
      <alignment horizontal="center" vertical="center"/>
    </xf>
    <xf numFmtId="165" fontId="10" fillId="0" borderId="84" xfId="0" applyNumberFormat="1" applyFont="1" applyBorder="1" applyAlignment="1">
      <alignment horizontal="center" vertical="center"/>
    </xf>
    <xf numFmtId="165" fontId="10" fillId="0" borderId="85" xfId="0" applyNumberFormat="1" applyFont="1" applyBorder="1" applyAlignment="1">
      <alignment horizontal="center" vertical="center"/>
    </xf>
    <xf numFmtId="165" fontId="10" fillId="0" borderId="8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 shrinkToFit="1"/>
    </xf>
    <xf numFmtId="0" fontId="10" fillId="0" borderId="87" xfId="0" applyFont="1" applyBorder="1" applyAlignment="1">
      <alignment horizontal="left" vertical="center"/>
    </xf>
    <xf numFmtId="0" fontId="10" fillId="0" borderId="88" xfId="0" applyFont="1" applyBorder="1" applyAlignment="1">
      <alignment horizontal="left" vertical="center"/>
    </xf>
    <xf numFmtId="0" fontId="10" fillId="0" borderId="89" xfId="0" applyFont="1" applyBorder="1" applyAlignment="1">
      <alignment horizontal="left" vertical="center"/>
    </xf>
    <xf numFmtId="164" fontId="10" fillId="0" borderId="87" xfId="0" applyNumberFormat="1" applyFont="1" applyBorder="1" applyAlignment="1">
      <alignment horizontal="left" vertical="center" wrapText="1" shrinkToFit="1"/>
    </xf>
    <xf numFmtId="164" fontId="10" fillId="0" borderId="88" xfId="0" applyNumberFormat="1" applyFont="1" applyBorder="1" applyAlignment="1">
      <alignment horizontal="left" vertical="center" wrapText="1" shrinkToFit="1"/>
    </xf>
    <xf numFmtId="164" fontId="10" fillId="0" borderId="89" xfId="0" applyNumberFormat="1" applyFont="1" applyBorder="1" applyAlignment="1">
      <alignment horizontal="left" vertical="center" wrapText="1" shrinkToFit="1"/>
    </xf>
    <xf numFmtId="164" fontId="10" fillId="0" borderId="4" xfId="0" applyNumberFormat="1" applyFont="1" applyBorder="1" applyAlignment="1">
      <alignment horizontal="left" vertical="center" shrinkToFit="1"/>
    </xf>
    <xf numFmtId="164" fontId="10" fillId="0" borderId="90" xfId="0" applyNumberFormat="1" applyFont="1" applyBorder="1" applyAlignment="1">
      <alignment horizontal="left" vertical="center" shrinkToFit="1"/>
    </xf>
    <xf numFmtId="164" fontId="10" fillId="0" borderId="91" xfId="0" applyNumberFormat="1" applyFont="1" applyBorder="1" applyAlignment="1">
      <alignment horizontal="left" vertical="center" shrinkToFit="1"/>
    </xf>
    <xf numFmtId="164" fontId="10" fillId="0" borderId="92" xfId="0" applyNumberFormat="1" applyFont="1" applyBorder="1" applyAlignment="1">
      <alignment horizontal="left" vertical="center" shrinkToFit="1"/>
    </xf>
    <xf numFmtId="164" fontId="10" fillId="0" borderId="0" xfId="0" applyNumberFormat="1" applyFont="1" applyAlignment="1">
      <alignment horizontal="left" vertical="center" shrinkToFit="1"/>
    </xf>
    <xf numFmtId="164" fontId="10" fillId="0" borderId="93" xfId="0" applyNumberFormat="1" applyFont="1" applyBorder="1" applyAlignment="1">
      <alignment horizontal="left" vertical="center" shrinkToFit="1"/>
    </xf>
    <xf numFmtId="164" fontId="10" fillId="0" borderId="94" xfId="0" applyNumberFormat="1" applyFont="1" applyBorder="1" applyAlignment="1">
      <alignment horizontal="left" vertical="center" shrinkToFit="1"/>
    </xf>
    <xf numFmtId="164" fontId="10" fillId="0" borderId="95" xfId="0" applyNumberFormat="1" applyFont="1" applyBorder="1" applyAlignment="1">
      <alignment horizontal="left" vertical="center" shrinkToFit="1"/>
    </xf>
    <xf numFmtId="164" fontId="10" fillId="0" borderId="96" xfId="0" applyNumberFormat="1" applyFont="1" applyBorder="1" applyAlignment="1">
      <alignment horizontal="left" vertical="center" shrinkToFit="1"/>
    </xf>
    <xf numFmtId="0" fontId="4" fillId="0" borderId="34" xfId="0" applyFont="1" applyBorder="1"/>
    <xf numFmtId="164" fontId="7" fillId="0" borderId="34" xfId="0" applyNumberFormat="1" applyFont="1" applyBorder="1"/>
    <xf numFmtId="0" fontId="6" fillId="0" borderId="97" xfId="0" applyFont="1" applyBorder="1" applyAlignment="1">
      <alignment horizontal="center"/>
    </xf>
    <xf numFmtId="0" fontId="10" fillId="0" borderId="0" xfId="0" applyFont="1"/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horizontal="right" vertical="center" shrinkToFit="1"/>
    </xf>
    <xf numFmtId="14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6" fillId="0" borderId="9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10" fillId="0" borderId="77" xfId="0" applyNumberFormat="1" applyFont="1" applyBorder="1" applyAlignment="1">
      <alignment horizontal="center" vertical="center"/>
    </xf>
    <xf numFmtId="20" fontId="10" fillId="0" borderId="100" xfId="0" applyNumberFormat="1" applyFont="1" applyBorder="1" applyAlignment="1">
      <alignment horizontal="center" vertical="center"/>
    </xf>
    <xf numFmtId="0" fontId="10" fillId="0" borderId="76" xfId="0" applyFont="1" applyBorder="1" applyAlignment="1">
      <alignment horizontal="left" vertical="center" indent="1"/>
    </xf>
    <xf numFmtId="0" fontId="10" fillId="0" borderId="98" xfId="0" applyFont="1" applyBorder="1" applyAlignment="1">
      <alignment horizontal="center" vertical="center"/>
    </xf>
    <xf numFmtId="20" fontId="10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center" vertical="center"/>
    </xf>
    <xf numFmtId="0" fontId="10" fillId="0" borderId="101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10" fillId="0" borderId="83" xfId="0" applyFont="1" applyBorder="1" applyAlignment="1">
      <alignment horizontal="left" vertical="center" indent="1"/>
    </xf>
    <xf numFmtId="0" fontId="10" fillId="0" borderId="84" xfId="0" applyFont="1" applyBorder="1" applyAlignment="1">
      <alignment horizontal="left" vertical="center" indent="1"/>
    </xf>
    <xf numFmtId="0" fontId="10" fillId="0" borderId="86" xfId="0" applyFont="1" applyBorder="1" applyAlignment="1">
      <alignment horizontal="left" vertical="center" indent="1"/>
    </xf>
    <xf numFmtId="166" fontId="10" fillId="0" borderId="12" xfId="0" applyNumberFormat="1" applyFont="1" applyBorder="1" applyAlignment="1">
      <alignment horizontal="center" vertical="center"/>
    </xf>
    <xf numFmtId="20" fontId="10" fillId="0" borderId="102" xfId="0" applyNumberFormat="1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 indent="1"/>
    </xf>
    <xf numFmtId="166" fontId="10" fillId="0" borderId="98" xfId="0" applyNumberFormat="1" applyFont="1" applyBorder="1" applyAlignment="1">
      <alignment horizontal="center" vertical="center"/>
    </xf>
    <xf numFmtId="0" fontId="10" fillId="0" borderId="103" xfId="0" applyFont="1" applyBorder="1" applyAlignment="1">
      <alignment horizontal="left" vertical="center" indent="1"/>
    </xf>
    <xf numFmtId="49" fontId="10" fillId="0" borderId="104" xfId="0" applyNumberFormat="1" applyFont="1" applyBorder="1" applyAlignment="1">
      <alignment horizontal="center" vertical="center"/>
    </xf>
    <xf numFmtId="166" fontId="10" fillId="0" borderId="101" xfId="0" applyNumberFormat="1" applyFont="1" applyBorder="1" applyAlignment="1">
      <alignment horizontal="center" vertical="center"/>
    </xf>
    <xf numFmtId="166" fontId="10" fillId="0" borderId="66" xfId="0" applyNumberFormat="1" applyFont="1" applyBorder="1" applyAlignment="1">
      <alignment horizontal="center" vertical="center"/>
    </xf>
    <xf numFmtId="0" fontId="10" fillId="0" borderId="66" xfId="0" applyFont="1" applyBorder="1" applyAlignment="1">
      <alignment horizontal="left" vertical="center" indent="1"/>
    </xf>
    <xf numFmtId="0" fontId="10" fillId="0" borderId="34" xfId="0" applyFont="1" applyBorder="1" applyAlignment="1">
      <alignment horizontal="left" vertical="center" indent="1"/>
    </xf>
    <xf numFmtId="0" fontId="10" fillId="0" borderId="36" xfId="0" applyFont="1" applyBorder="1" applyAlignment="1">
      <alignment horizontal="left" vertical="center" indent="1"/>
    </xf>
    <xf numFmtId="0" fontId="10" fillId="0" borderId="66" xfId="0" applyFont="1" applyBorder="1" applyAlignment="1">
      <alignment horizontal="center" vertical="center"/>
    </xf>
    <xf numFmtId="0" fontId="10" fillId="0" borderId="104" xfId="0" applyFont="1" applyBorder="1" applyAlignment="1">
      <alignment horizontal="center" vertical="center"/>
    </xf>
    <xf numFmtId="0" fontId="4" fillId="0" borderId="105" xfId="0" applyFont="1" applyBorder="1" applyAlignment="1">
      <alignment horizontal="center" vertical="center"/>
    </xf>
    <xf numFmtId="0" fontId="10" fillId="0" borderId="98" xfId="0" applyFont="1" applyBorder="1" applyAlignment="1">
      <alignment horizontal="left" vertical="center" indent="1"/>
    </xf>
    <xf numFmtId="0" fontId="4" fillId="0" borderId="98" xfId="0" applyFont="1" applyBorder="1" applyAlignment="1">
      <alignment horizontal="center" vertical="center"/>
    </xf>
    <xf numFmtId="0" fontId="4" fillId="0" borderId="106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vertical="center" indent="1"/>
    </xf>
    <xf numFmtId="0" fontId="10" fillId="0" borderId="0" xfId="0" applyFont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97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4" fillId="0" borderId="30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 shrinkToFit="1"/>
    </xf>
    <xf numFmtId="0" fontId="6" fillId="0" borderId="107" xfId="0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 shrinkToFit="1"/>
    </xf>
    <xf numFmtId="0" fontId="6" fillId="0" borderId="7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/>
    </xf>
    <xf numFmtId="0" fontId="6" fillId="0" borderId="10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80" xfId="0" applyFont="1" applyBorder="1" applyAlignment="1">
      <alignment horizontal="left" vertical="center"/>
    </xf>
    <xf numFmtId="0" fontId="6" fillId="0" borderId="76" xfId="0" applyFont="1" applyBorder="1" applyAlignment="1">
      <alignment horizontal="center" vertical="center"/>
    </xf>
    <xf numFmtId="164" fontId="6" fillId="0" borderId="109" xfId="0" applyNumberFormat="1" applyFont="1" applyBorder="1" applyAlignment="1">
      <alignment horizontal="center" vertical="center" wrapText="1" shrinkToFit="1"/>
    </xf>
    <xf numFmtId="0" fontId="6" fillId="0" borderId="100" xfId="0" applyFont="1" applyBorder="1" applyAlignment="1">
      <alignment horizontal="center" vertical="center" wrapText="1" shrinkToFit="1"/>
    </xf>
    <xf numFmtId="164" fontId="6" fillId="0" borderId="33" xfId="0" applyNumberFormat="1" applyFont="1" applyBorder="1" applyAlignment="1">
      <alignment horizontal="center" vertical="center" wrapText="1" shrinkToFit="1"/>
    </xf>
    <xf numFmtId="0" fontId="6" fillId="0" borderId="33" xfId="0" applyFont="1" applyBorder="1" applyAlignment="1">
      <alignment horizontal="center" vertical="center"/>
    </xf>
    <xf numFmtId="0" fontId="12" fillId="0" borderId="108" xfId="0" applyFont="1" applyBorder="1" applyAlignment="1">
      <alignment vertical="center" shrinkToFit="1"/>
    </xf>
    <xf numFmtId="0" fontId="6" fillId="0" borderId="3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 shrinkToFit="1"/>
    </xf>
    <xf numFmtId="164" fontId="6" fillId="0" borderId="30" xfId="0" applyNumberFormat="1" applyFont="1" applyBorder="1" applyAlignment="1">
      <alignment horizontal="center" vertical="center" wrapText="1" shrinkToFit="1"/>
    </xf>
    <xf numFmtId="0" fontId="12" fillId="0" borderId="30" xfId="0" applyFont="1" applyBorder="1" applyAlignment="1">
      <alignment vertical="center" shrinkToFit="1"/>
    </xf>
    <xf numFmtId="0" fontId="6" fillId="0" borderId="6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0" fontId="6" fillId="0" borderId="110" xfId="0" applyFont="1" applyBorder="1" applyAlignment="1">
      <alignment horizontal="center" vertical="center"/>
    </xf>
    <xf numFmtId="0" fontId="6" fillId="0" borderId="102" xfId="0" applyFont="1" applyBorder="1" applyAlignment="1">
      <alignment horizontal="left" vertical="center"/>
    </xf>
    <xf numFmtId="0" fontId="6" fillId="0" borderId="68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/>
    </xf>
    <xf numFmtId="0" fontId="6" fillId="0" borderId="107" xfId="0" applyFont="1" applyBorder="1" applyAlignment="1">
      <alignment horizontal="center" vertical="center"/>
    </xf>
    <xf numFmtId="0" fontId="6" fillId="0" borderId="107" xfId="0" applyFont="1" applyBorder="1" applyAlignment="1">
      <alignment horizontal="left" vertical="center"/>
    </xf>
    <xf numFmtId="164" fontId="6" fillId="0" borderId="104" xfId="0" applyNumberFormat="1" applyFont="1" applyBorder="1" applyAlignment="1">
      <alignment horizontal="center" vertical="center" wrapText="1" shrinkToFit="1"/>
    </xf>
    <xf numFmtId="0" fontId="6" fillId="0" borderId="107" xfId="0" applyFont="1" applyBorder="1" applyAlignment="1">
      <alignment horizontal="center" vertical="center" wrapText="1" shrinkToFit="1"/>
    </xf>
    <xf numFmtId="164" fontId="6" fillId="0" borderId="65" xfId="0" applyNumberFormat="1" applyFont="1" applyBorder="1" applyAlignment="1">
      <alignment horizontal="center" vertical="center" wrapText="1" shrinkToFit="1"/>
    </xf>
    <xf numFmtId="0" fontId="12" fillId="0" borderId="65" xfId="0" applyFont="1" applyBorder="1" applyAlignment="1">
      <alignment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64" fontId="16" fillId="0" borderId="12" xfId="0" applyNumberFormat="1" applyFont="1" applyBorder="1" applyAlignment="1">
      <alignment horizontal="center" vertical="center" wrapText="1" shrinkToFit="1"/>
    </xf>
    <xf numFmtId="164" fontId="16" fillId="0" borderId="10" xfId="0" applyNumberFormat="1" applyFont="1" applyBorder="1" applyAlignment="1">
      <alignment horizontal="center" vertical="center" wrapText="1" shrinkToFit="1"/>
    </xf>
    <xf numFmtId="164" fontId="16" fillId="0" borderId="11" xfId="0" applyNumberFormat="1" applyFont="1" applyBorder="1" applyAlignment="1">
      <alignment horizontal="center" vertical="center" wrapText="1" shrinkToFit="1"/>
    </xf>
    <xf numFmtId="0" fontId="12" fillId="0" borderId="11" xfId="0" applyFont="1" applyBorder="1" applyAlignment="1">
      <alignment horizontal="left" vertical="center" shrinkToFit="1" indent="1"/>
    </xf>
    <xf numFmtId="164" fontId="6" fillId="0" borderId="107" xfId="0" applyNumberFormat="1" applyFont="1" applyBorder="1" applyAlignment="1">
      <alignment horizontal="center" vertical="center" wrapText="1" shrinkToFit="1"/>
    </xf>
    <xf numFmtId="164" fontId="6" fillId="0" borderId="3" xfId="0" applyNumberFormat="1" applyFont="1" applyBorder="1" applyAlignment="1">
      <alignment horizontal="center" vertical="center" wrapText="1" shrinkToFit="1"/>
    </xf>
    <xf numFmtId="0" fontId="6" fillId="0" borderId="68" xfId="0" applyFont="1" applyBorder="1" applyAlignment="1">
      <alignment vertical="center"/>
    </xf>
    <xf numFmtId="0" fontId="6" fillId="0" borderId="102" xfId="0" applyFont="1" applyBorder="1" applyAlignment="1">
      <alignment horizontal="center" vertical="center"/>
    </xf>
    <xf numFmtId="0" fontId="16" fillId="0" borderId="1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164" fontId="16" fillId="0" borderId="110" xfId="0" applyNumberFormat="1" applyFont="1" applyBorder="1" applyAlignment="1">
      <alignment horizontal="center" vertical="center" wrapText="1" shrinkToFit="1"/>
    </xf>
    <xf numFmtId="164" fontId="16" fillId="0" borderId="102" xfId="0" applyNumberFormat="1" applyFont="1" applyBorder="1" applyAlignment="1">
      <alignment horizontal="center" vertical="center" wrapText="1" shrinkToFit="1"/>
    </xf>
    <xf numFmtId="164" fontId="16" fillId="0" borderId="68" xfId="0" applyNumberFormat="1" applyFont="1" applyBorder="1" applyAlignment="1">
      <alignment horizontal="center" vertical="center" wrapText="1" shrinkToFit="1"/>
    </xf>
    <xf numFmtId="0" fontId="12" fillId="0" borderId="68" xfId="0" applyFont="1" applyBorder="1" applyAlignment="1">
      <alignment horizontal="left" vertical="center" shrinkToFit="1" indent="1"/>
    </xf>
    <xf numFmtId="0" fontId="13" fillId="0" borderId="30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 shrinkToFit="1"/>
    </xf>
    <xf numFmtId="164" fontId="13" fillId="0" borderId="3" xfId="0" applyNumberFormat="1" applyFont="1" applyBorder="1" applyAlignment="1">
      <alignment horizontal="center" vertical="center" wrapText="1" shrinkToFit="1"/>
    </xf>
    <xf numFmtId="164" fontId="13" fillId="0" borderId="30" xfId="0" applyNumberFormat="1" applyFont="1" applyBorder="1" applyAlignment="1">
      <alignment horizontal="center" vertical="center" wrapText="1" shrinkToFit="1"/>
    </xf>
    <xf numFmtId="0" fontId="17" fillId="0" borderId="30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/>
    </xf>
    <xf numFmtId="0" fontId="4" fillId="0" borderId="104" xfId="0" applyFont="1" applyBorder="1" applyAlignment="1">
      <alignment horizontal="center" vertical="center"/>
    </xf>
    <xf numFmtId="0" fontId="4" fillId="0" borderId="107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0" fillId="0" borderId="77" xfId="0" applyFont="1" applyBorder="1" applyAlignment="1">
      <alignment horizontal="left" vertical="center" indent="1"/>
    </xf>
    <xf numFmtId="0" fontId="10" fillId="0" borderId="78" xfId="0" applyFont="1" applyBorder="1" applyAlignment="1">
      <alignment horizontal="left" vertical="center" indent="1"/>
    </xf>
    <xf numFmtId="0" fontId="10" fillId="0" borderId="80" xfId="0" applyFont="1" applyBorder="1" applyAlignment="1">
      <alignment horizontal="left" vertical="center" indent="1"/>
    </xf>
    <xf numFmtId="0" fontId="10" fillId="0" borderId="10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4" fillId="0" borderId="103" xfId="0" applyFont="1" applyBorder="1" applyAlignment="1">
      <alignment horizontal="center" vertical="center"/>
    </xf>
    <xf numFmtId="0" fontId="6" fillId="0" borderId="80" xfId="0" applyFont="1" applyBorder="1" applyAlignment="1">
      <alignment vertical="center"/>
    </xf>
    <xf numFmtId="164" fontId="6" fillId="0" borderId="76" xfId="0" applyNumberFormat="1" applyFont="1" applyBorder="1" applyAlignment="1">
      <alignment horizontal="center" vertical="center" wrapText="1" shrinkToFit="1"/>
    </xf>
    <xf numFmtId="0" fontId="6" fillId="0" borderId="76" xfId="0" applyFont="1" applyBorder="1" applyAlignment="1">
      <alignment horizontal="center" vertical="center" wrapText="1" shrinkToFit="1"/>
    </xf>
    <xf numFmtId="164" fontId="6" fillId="0" borderId="108" xfId="0" applyNumberFormat="1" applyFont="1" applyBorder="1" applyAlignment="1">
      <alignment horizontal="center" vertical="center" wrapText="1" shrinkToFit="1"/>
    </xf>
    <xf numFmtId="0" fontId="12" fillId="0" borderId="76" xfId="0" applyFont="1" applyBorder="1" applyAlignment="1">
      <alignment vertical="center" shrinkToFit="1"/>
    </xf>
    <xf numFmtId="0" fontId="6" fillId="0" borderId="3" xfId="0" applyFont="1" applyBorder="1" applyAlignment="1">
      <alignment vertical="center"/>
    </xf>
    <xf numFmtId="0" fontId="12" fillId="0" borderId="33" xfId="0" applyFont="1" applyBorder="1" applyAlignment="1">
      <alignment vertical="center" shrinkToFit="1"/>
    </xf>
    <xf numFmtId="0" fontId="6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64" fontId="16" fillId="0" borderId="30" xfId="0" applyNumberFormat="1" applyFont="1" applyBorder="1" applyAlignment="1">
      <alignment horizontal="center" vertical="center" wrapText="1" shrinkToFit="1"/>
    </xf>
    <xf numFmtId="0" fontId="12" fillId="0" borderId="30" xfId="0" applyFont="1" applyBorder="1" applyAlignment="1">
      <alignment horizontal="left" vertical="center" shrinkToFit="1" indent="1"/>
    </xf>
    <xf numFmtId="0" fontId="16" fillId="0" borderId="66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164" fontId="16" fillId="0" borderId="33" xfId="0" applyNumberFormat="1" applyFont="1" applyBorder="1" applyAlignment="1">
      <alignment horizontal="center" vertical="center" wrapText="1" shrinkToFit="1"/>
    </xf>
    <xf numFmtId="0" fontId="12" fillId="0" borderId="33" xfId="0" applyFont="1" applyBorder="1" applyAlignment="1">
      <alignment horizontal="left" vertical="center" shrinkToFit="1" indent="1"/>
    </xf>
    <xf numFmtId="0" fontId="10" fillId="0" borderId="30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 shrinkToFit="1"/>
    </xf>
    <xf numFmtId="0" fontId="10" fillId="0" borderId="97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shrinkToFit="1"/>
    </xf>
    <xf numFmtId="164" fontId="4" fillId="0" borderId="72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3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20" fillId="0" borderId="112" xfId="0" applyFont="1" applyBorder="1" applyAlignment="1">
      <alignment horizontal="center" vertical="center"/>
    </xf>
    <xf numFmtId="0" fontId="20" fillId="0" borderId="113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0" fillId="0" borderId="114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shrinkToFit="1"/>
    </xf>
    <xf numFmtId="49" fontId="9" fillId="0" borderId="30" xfId="0" applyNumberFormat="1" applyFont="1" applyBorder="1" applyAlignment="1">
      <alignment horizontal="center" vertical="center" shrinkToFit="1"/>
    </xf>
    <xf numFmtId="0" fontId="9" fillId="0" borderId="11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 shrinkToFit="1"/>
    </xf>
    <xf numFmtId="0" fontId="20" fillId="0" borderId="116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 shrinkToFit="1"/>
    </xf>
    <xf numFmtId="0" fontId="20" fillId="0" borderId="11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0" xfId="0" applyFont="1" applyBorder="1" applyAlignment="1">
      <alignment vertical="center"/>
    </xf>
    <xf numFmtId="0" fontId="20" fillId="0" borderId="114" xfId="0" applyFont="1" applyBorder="1" applyAlignment="1">
      <alignment vertical="center"/>
    </xf>
    <xf numFmtId="0" fontId="20" fillId="0" borderId="119" xfId="0" applyFont="1" applyBorder="1" applyAlignment="1">
      <alignment horizontal="center" vertical="center"/>
    </xf>
    <xf numFmtId="0" fontId="20" fillId="0" borderId="86" xfId="0" applyFont="1" applyBorder="1" applyAlignment="1">
      <alignment horizontal="center" vertical="center"/>
    </xf>
    <xf numFmtId="0" fontId="20" fillId="0" borderId="82" xfId="0" applyFont="1" applyBorder="1" applyAlignment="1">
      <alignment vertical="center"/>
    </xf>
    <xf numFmtId="0" fontId="20" fillId="0" borderId="116" xfId="0" applyFont="1" applyBorder="1" applyAlignment="1">
      <alignment vertical="center"/>
    </xf>
    <xf numFmtId="0" fontId="4" fillId="0" borderId="33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0" fillId="0" borderId="76" xfId="0" applyNumberFormat="1" applyFont="1" applyBorder="1" applyAlignment="1">
      <alignment horizontal="center" vertical="center" wrapText="1"/>
    </xf>
    <xf numFmtId="0" fontId="20" fillId="0" borderId="76" xfId="0" applyFont="1" applyBorder="1" applyAlignment="1">
      <alignment horizontal="center" vertical="center" wrapText="1"/>
    </xf>
    <xf numFmtId="0" fontId="9" fillId="0" borderId="11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20" fillId="0" borderId="103" xfId="0" applyFont="1" applyBorder="1" applyAlignment="1">
      <alignment horizontal="center" vertical="center"/>
    </xf>
    <xf numFmtId="49" fontId="9" fillId="0" borderId="103" xfId="0" applyNumberFormat="1" applyFont="1" applyBorder="1" applyAlignment="1">
      <alignment horizontal="center" vertical="center"/>
    </xf>
    <xf numFmtId="0" fontId="9" fillId="0" borderId="103" xfId="0" applyFont="1" applyBorder="1" applyAlignment="1">
      <alignment horizontal="center" vertical="center"/>
    </xf>
    <xf numFmtId="0" fontId="20" fillId="0" borderId="103" xfId="0" applyFont="1" applyBorder="1" applyAlignment="1">
      <alignment horizontal="center" vertical="center" wrapText="1"/>
    </xf>
    <xf numFmtId="0" fontId="9" fillId="0" borderId="114" xfId="0" applyFont="1" applyBorder="1" applyAlignment="1">
      <alignment horizontal="center" vertical="center"/>
    </xf>
    <xf numFmtId="0" fontId="9" fillId="0" borderId="113" xfId="0" applyFont="1" applyBorder="1" applyAlignment="1">
      <alignment horizontal="center" vertical="center"/>
    </xf>
    <xf numFmtId="49" fontId="20" fillId="0" borderId="81" xfId="0" applyNumberFormat="1" applyFont="1" applyBorder="1" applyAlignment="1">
      <alignment horizontal="center" vertical="center" wrapText="1"/>
    </xf>
    <xf numFmtId="49" fontId="20" fillId="0" borderId="82" xfId="0" applyNumberFormat="1" applyFont="1" applyBorder="1" applyAlignment="1">
      <alignment horizontal="center" vertical="center" wrapText="1"/>
    </xf>
    <xf numFmtId="0" fontId="20" fillId="0" borderId="82" xfId="0" applyFont="1" applyBorder="1" applyAlignment="1">
      <alignment horizontal="center" vertical="center" wrapText="1"/>
    </xf>
    <xf numFmtId="0" fontId="9" fillId="0" borderId="116" xfId="0" applyFont="1" applyBorder="1" applyAlignment="1">
      <alignment horizontal="center" vertical="center"/>
    </xf>
    <xf numFmtId="49" fontId="20" fillId="0" borderId="29" xfId="0" applyNumberFormat="1" applyFont="1" applyBorder="1" applyAlignment="1">
      <alignment horizontal="center" vertical="center" wrapText="1"/>
    </xf>
    <xf numFmtId="49" fontId="20" fillId="0" borderId="68" xfId="0" applyNumberFormat="1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 wrapText="1"/>
    </xf>
    <xf numFmtId="0" fontId="9" fillId="0" borderId="120" xfId="0" applyFont="1" applyBorder="1" applyAlignment="1">
      <alignment horizontal="center" vertical="center"/>
    </xf>
    <xf numFmtId="49" fontId="20" fillId="0" borderId="113" xfId="0" applyNumberFormat="1" applyFont="1" applyBorder="1" applyAlignment="1">
      <alignment horizontal="center" vertical="center" wrapText="1"/>
    </xf>
    <xf numFmtId="49" fontId="20" fillId="0" borderId="103" xfId="0" applyNumberFormat="1" applyFont="1" applyBorder="1" applyAlignment="1">
      <alignment horizontal="center" vertical="center" wrapText="1"/>
    </xf>
    <xf numFmtId="49" fontId="20" fillId="0" borderId="118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0" fontId="20" fillId="0" borderId="118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9" fillId="0" borderId="81" xfId="0" applyFont="1" applyBorder="1" applyAlignment="1">
      <alignment horizontal="center" vertical="center"/>
    </xf>
    <xf numFmtId="49" fontId="9" fillId="0" borderId="82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103" xfId="0" applyNumberFormat="1" applyFont="1" applyFill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10" fillId="0" borderId="65" xfId="0" applyFont="1" applyBorder="1" applyAlignment="1">
      <alignment horizontal="center" vertical="center"/>
    </xf>
    <xf numFmtId="0" fontId="10" fillId="0" borderId="10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9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3" borderId="76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/>
    </xf>
    <xf numFmtId="167" fontId="22" fillId="4" borderId="30" xfId="0" applyNumberFormat="1" applyFont="1" applyFill="1" applyBorder="1" applyAlignment="1">
      <alignment horizontal="center" vertical="center"/>
    </xf>
    <xf numFmtId="168" fontId="11" fillId="0" borderId="76" xfId="0" applyNumberFormat="1" applyFont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168" fontId="11" fillId="0" borderId="30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3" borderId="57" xfId="0" applyFont="1" applyFill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167" fontId="22" fillId="4" borderId="82" xfId="0" applyNumberFormat="1" applyFont="1" applyFill="1" applyBorder="1" applyAlignment="1">
      <alignment horizontal="center" vertical="center"/>
    </xf>
    <xf numFmtId="168" fontId="11" fillId="0" borderId="57" xfId="0" applyNumberFormat="1" applyFont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 wrapText="1"/>
    </xf>
    <xf numFmtId="167" fontId="22" fillId="4" borderId="33" xfId="0" applyNumberFormat="1" applyFont="1" applyFill="1" applyBorder="1" applyAlignment="1">
      <alignment horizontal="center" vertical="center"/>
    </xf>
    <xf numFmtId="168" fontId="11" fillId="0" borderId="33" xfId="0" applyNumberFormat="1" applyFont="1" applyBorder="1" applyAlignment="1">
      <alignment horizontal="center" vertical="center"/>
    </xf>
    <xf numFmtId="0" fontId="11" fillId="3" borderId="82" xfId="0" applyFont="1" applyFill="1" applyBorder="1" applyAlignment="1">
      <alignment horizontal="center" vertical="center" wrapText="1"/>
    </xf>
    <xf numFmtId="167" fontId="23" fillId="3" borderId="33" xfId="0" applyNumberFormat="1" applyFont="1" applyFill="1" applyBorder="1" applyAlignment="1">
      <alignment horizontal="center" vertical="center"/>
    </xf>
    <xf numFmtId="0" fontId="25" fillId="0" borderId="76" xfId="0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167" fontId="25" fillId="0" borderId="108" xfId="0" applyNumberFormat="1" applyFont="1" applyBorder="1" applyAlignment="1">
      <alignment horizontal="center" vertical="center" wrapText="1"/>
    </xf>
    <xf numFmtId="0" fontId="25" fillId="0" borderId="103" xfId="0" applyFont="1" applyBorder="1" applyAlignment="1">
      <alignment horizontal="center" vertical="center" wrapText="1"/>
    </xf>
    <xf numFmtId="0" fontId="11" fillId="0" borderId="9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20" fontId="11" fillId="0" borderId="103" xfId="0" applyNumberFormat="1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167" fontId="22" fillId="4" borderId="57" xfId="0" applyNumberFormat="1" applyFont="1" applyFill="1" applyBorder="1" applyAlignment="1">
      <alignment horizontal="center" vertical="center"/>
    </xf>
    <xf numFmtId="20" fontId="11" fillId="0" borderId="57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20" fontId="11" fillId="0" borderId="33" xfId="0" applyNumberFormat="1" applyFont="1" applyBorder="1" applyAlignment="1">
      <alignment horizontal="center" vertical="center"/>
    </xf>
    <xf numFmtId="0" fontId="11" fillId="3" borderId="103" xfId="0" applyFont="1" applyFill="1" applyBorder="1" applyAlignment="1">
      <alignment horizontal="center" vertical="center" wrapText="1"/>
    </xf>
    <xf numFmtId="0" fontId="11" fillId="3" borderId="65" xfId="0" applyFont="1" applyFill="1" applyBorder="1" applyAlignment="1">
      <alignment horizontal="center" vertical="center" wrapText="1"/>
    </xf>
    <xf numFmtId="0" fontId="11" fillId="0" borderId="101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3" xfId="0" applyFont="1" applyBorder="1" applyAlignment="1">
      <alignment horizontal="center" vertical="center"/>
    </xf>
    <xf numFmtId="0" fontId="25" fillId="0" borderId="103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22" fillId="4" borderId="76" xfId="0" applyNumberFormat="1" applyFont="1" applyFill="1" applyBorder="1" applyAlignment="1">
      <alignment horizontal="center" vertical="center"/>
    </xf>
    <xf numFmtId="49" fontId="22" fillId="4" borderId="30" xfId="0" applyNumberFormat="1" applyFont="1" applyFill="1" applyBorder="1" applyAlignment="1">
      <alignment horizontal="center" vertical="center"/>
    </xf>
    <xf numFmtId="49" fontId="22" fillId="4" borderId="82" xfId="0" applyNumberFormat="1" applyFont="1" applyFill="1" applyBorder="1" applyAlignment="1">
      <alignment horizontal="center" vertical="center"/>
    </xf>
    <xf numFmtId="0" fontId="25" fillId="0" borderId="82" xfId="0" applyFont="1" applyBorder="1" applyAlignment="1">
      <alignment horizontal="center" vertical="center" wrapText="1"/>
    </xf>
    <xf numFmtId="20" fontId="11" fillId="0" borderId="82" xfId="0" applyNumberFormat="1" applyFont="1" applyBorder="1" applyAlignment="1">
      <alignment horizontal="center" vertical="center"/>
    </xf>
    <xf numFmtId="49" fontId="22" fillId="4" borderId="33" xfId="0" applyNumberFormat="1" applyFont="1" applyFill="1" applyBorder="1" applyAlignment="1">
      <alignment horizontal="center" vertical="center"/>
    </xf>
    <xf numFmtId="0" fontId="25" fillId="0" borderId="8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 shrinkToFi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6" fillId="0" borderId="95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90" xfId="0" applyFont="1" applyBorder="1" applyAlignment="1">
      <alignment horizontal="right" vertical="center"/>
    </xf>
    <xf numFmtId="0" fontId="10" fillId="0" borderId="115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72" xfId="0" applyFont="1" applyBorder="1" applyAlignment="1">
      <alignment horizontal="left" vertical="center"/>
    </xf>
    <xf numFmtId="0" fontId="10" fillId="0" borderId="121" xfId="0" applyFont="1" applyBorder="1" applyAlignment="1">
      <alignment horizontal="center" vertical="center"/>
    </xf>
    <xf numFmtId="0" fontId="10" fillId="0" borderId="122" xfId="0" applyFont="1" applyBorder="1" applyAlignment="1">
      <alignment horizontal="center" vertical="center" wrapText="1"/>
    </xf>
    <xf numFmtId="0" fontId="10" fillId="0" borderId="123" xfId="0" applyFont="1" applyBorder="1" applyAlignment="1">
      <alignment horizontal="center" vertical="center" wrapText="1"/>
    </xf>
    <xf numFmtId="0" fontId="10" fillId="0" borderId="79" xfId="0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36" xfId="0" applyNumberFormat="1" applyFont="1" applyBorder="1" applyAlignment="1">
      <alignment horizontal="center" vertical="center"/>
    </xf>
    <xf numFmtId="165" fontId="10" fillId="0" borderId="77" xfId="0" applyNumberFormat="1" applyFont="1" applyBorder="1" applyAlignment="1">
      <alignment horizontal="center" vertical="center"/>
    </xf>
    <xf numFmtId="165" fontId="10" fillId="0" borderId="112" xfId="0" applyNumberFormat="1" applyFont="1" applyBorder="1" applyAlignment="1">
      <alignment horizontal="center" vertical="center"/>
    </xf>
    <xf numFmtId="169" fontId="27" fillId="0" borderId="122" xfId="0" applyNumberFormat="1" applyFont="1" applyBorder="1" applyAlignment="1">
      <alignment horizontal="left" vertical="center" shrinkToFit="1"/>
    </xf>
    <xf numFmtId="169" fontId="27" fillId="0" borderId="123" xfId="0" applyNumberFormat="1" applyFont="1" applyBorder="1" applyAlignment="1">
      <alignment horizontal="left" vertical="center" shrinkToFit="1"/>
    </xf>
    <xf numFmtId="169" fontId="27" fillId="0" borderId="124" xfId="0" applyNumberFormat="1" applyFont="1" applyBorder="1" applyAlignment="1">
      <alignment horizontal="left" vertical="center" shrinkToFit="1"/>
    </xf>
    <xf numFmtId="0" fontId="10" fillId="0" borderId="9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25" xfId="0" applyFont="1" applyBorder="1" applyAlignment="1">
      <alignment horizontal="center" vertical="center"/>
    </xf>
    <xf numFmtId="165" fontId="10" fillId="0" borderId="30" xfId="0" applyNumberFormat="1" applyFont="1" applyBorder="1" applyAlignment="1">
      <alignment horizontal="center" vertical="center"/>
    </xf>
    <xf numFmtId="165" fontId="10" fillId="0" borderId="33" xfId="0" applyNumberFormat="1" applyFont="1" applyBorder="1" applyAlignment="1">
      <alignment horizontal="center" vertical="center"/>
    </xf>
    <xf numFmtId="165" fontId="10" fillId="0" borderId="113" xfId="0" applyNumberFormat="1" applyFont="1" applyBorder="1" applyAlignment="1">
      <alignment horizontal="center" vertical="center"/>
    </xf>
    <xf numFmtId="165" fontId="10" fillId="0" borderId="114" xfId="0" applyNumberFormat="1" applyFont="1" applyBorder="1" applyAlignment="1">
      <alignment horizontal="center" vertical="center"/>
    </xf>
    <xf numFmtId="0" fontId="27" fillId="0" borderId="69" xfId="0" applyFont="1" applyBorder="1" applyAlignment="1">
      <alignment horizontal="left" vertical="center" shrinkToFit="1"/>
    </xf>
    <xf numFmtId="0" fontId="27" fillId="0" borderId="65" xfId="0" applyFont="1" applyBorder="1" applyAlignment="1">
      <alignment horizontal="left" vertical="center" shrinkToFit="1"/>
    </xf>
    <xf numFmtId="0" fontId="27" fillId="0" borderId="117" xfId="0" applyFont="1" applyBorder="1" applyAlignment="1">
      <alignment horizontal="left" vertical="center" shrinkToFit="1"/>
    </xf>
    <xf numFmtId="165" fontId="10" fillId="0" borderId="118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125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165" fontId="10" fillId="0" borderId="69" xfId="0" applyNumberFormat="1" applyFont="1" applyBorder="1" applyAlignment="1">
      <alignment horizontal="center" vertical="center"/>
    </xf>
    <xf numFmtId="165" fontId="10" fillId="0" borderId="65" xfId="0" applyNumberFormat="1" applyFont="1" applyBorder="1" applyAlignment="1">
      <alignment horizontal="center" vertical="center"/>
    </xf>
    <xf numFmtId="165" fontId="10" fillId="0" borderId="117" xfId="0" applyNumberFormat="1" applyFont="1" applyBorder="1" applyAlignment="1">
      <alignment horizontal="center" vertical="center"/>
    </xf>
    <xf numFmtId="169" fontId="27" fillId="0" borderId="17" xfId="0" applyNumberFormat="1" applyFont="1" applyBorder="1" applyAlignment="1">
      <alignment horizontal="left" vertical="center" shrinkToFit="1"/>
    </xf>
    <xf numFmtId="169" fontId="27" fillId="0" borderId="18" xfId="0" applyNumberFormat="1" applyFont="1" applyBorder="1" applyAlignment="1">
      <alignment horizontal="left" vertical="center" shrinkToFit="1"/>
    </xf>
    <xf numFmtId="169" fontId="27" fillId="0" borderId="121" xfId="0" applyNumberFormat="1" applyFont="1" applyBorder="1" applyAlignment="1">
      <alignment horizontal="left" vertical="center" shrinkToFit="1"/>
    </xf>
    <xf numFmtId="0" fontId="10" fillId="0" borderId="94" xfId="0" applyFont="1" applyBorder="1" applyAlignment="1">
      <alignment horizontal="center" vertical="center" wrapText="1"/>
    </xf>
    <xf numFmtId="0" fontId="10" fillId="0" borderId="95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/>
    </xf>
    <xf numFmtId="0" fontId="10" fillId="0" borderId="126" xfId="0" applyFont="1" applyBorder="1" applyAlignment="1">
      <alignment horizontal="center" vertical="center"/>
    </xf>
    <xf numFmtId="165" fontId="17" fillId="0" borderId="56" xfId="0" applyNumberFormat="1" applyFont="1" applyBorder="1" applyAlignment="1">
      <alignment horizontal="center" vertical="center"/>
    </xf>
    <xf numFmtId="165" fontId="17" fillId="0" borderId="67" xfId="0" applyNumberFormat="1" applyFont="1" applyBorder="1" applyAlignment="1">
      <alignment horizontal="center" vertical="center"/>
    </xf>
    <xf numFmtId="165" fontId="17" fillId="0" borderId="127" xfId="0" applyNumberFormat="1" applyFont="1" applyBorder="1" applyAlignment="1">
      <alignment horizontal="center" vertical="center"/>
    </xf>
    <xf numFmtId="165" fontId="17" fillId="0" borderId="128" xfId="0" applyNumberFormat="1" applyFont="1" applyBorder="1" applyAlignment="1">
      <alignment horizontal="center" vertical="center"/>
    </xf>
    <xf numFmtId="165" fontId="17" fillId="0" borderId="129" xfId="0" applyNumberFormat="1" applyFont="1" applyBorder="1" applyAlignment="1">
      <alignment horizontal="center" vertical="center"/>
    </xf>
    <xf numFmtId="165" fontId="17" fillId="0" borderId="126" xfId="0" applyNumberFormat="1" applyFont="1" applyBorder="1" applyAlignment="1">
      <alignment horizontal="center" vertical="center"/>
    </xf>
    <xf numFmtId="165" fontId="17" fillId="0" borderId="130" xfId="0" applyNumberFormat="1" applyFont="1" applyBorder="1" applyAlignment="1">
      <alignment horizontal="center" vertical="center"/>
    </xf>
    <xf numFmtId="165" fontId="17" fillId="0" borderId="131" xfId="0" applyNumberFormat="1" applyFont="1" applyBorder="1" applyAlignment="1">
      <alignment horizontal="center" vertical="center"/>
    </xf>
    <xf numFmtId="165" fontId="17" fillId="0" borderId="132" xfId="0" applyNumberFormat="1" applyFont="1" applyBorder="1" applyAlignment="1">
      <alignment horizontal="center" vertical="center"/>
    </xf>
    <xf numFmtId="0" fontId="27" fillId="0" borderId="130" xfId="0" applyFont="1" applyBorder="1" applyAlignment="1">
      <alignment horizontal="left" vertical="center" shrinkToFit="1"/>
    </xf>
    <xf numFmtId="0" fontId="27" fillId="0" borderId="131" xfId="0" applyFont="1" applyBorder="1" applyAlignment="1">
      <alignment horizontal="left" vertical="center" shrinkToFit="1"/>
    </xf>
    <xf numFmtId="0" fontId="27" fillId="0" borderId="132" xfId="0" applyFont="1" applyBorder="1" applyAlignment="1">
      <alignment horizontal="left" vertical="center" shrinkToFit="1"/>
    </xf>
    <xf numFmtId="0" fontId="10" fillId="0" borderId="4" xfId="0" applyFont="1" applyBorder="1" applyAlignment="1">
      <alignment horizontal="center" vertical="center" wrapText="1"/>
    </xf>
    <xf numFmtId="0" fontId="10" fillId="0" borderId="90" xfId="0" applyFont="1" applyBorder="1" applyAlignment="1">
      <alignment horizontal="center" vertical="center" wrapText="1"/>
    </xf>
    <xf numFmtId="0" fontId="10" fillId="0" borderId="133" xfId="0" applyFont="1" applyBorder="1" applyAlignment="1">
      <alignment horizontal="center" vertical="center" wrapText="1"/>
    </xf>
    <xf numFmtId="165" fontId="10" fillId="0" borderId="115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69" fontId="27" fillId="0" borderId="92" xfId="0" applyNumberFormat="1" applyFont="1" applyBorder="1" applyAlignment="1">
      <alignment horizontal="left" vertical="center" shrinkToFit="1"/>
    </xf>
    <xf numFmtId="169" fontId="27" fillId="0" borderId="0" xfId="0" applyNumberFormat="1" applyFont="1" applyAlignment="1">
      <alignment horizontal="left" vertical="center" shrinkToFit="1"/>
    </xf>
    <xf numFmtId="169" fontId="27" fillId="0" borderId="93" xfId="0" applyNumberFormat="1" applyFont="1" applyBorder="1" applyAlignment="1">
      <alignment horizontal="left" vertical="center" shrinkToFit="1"/>
    </xf>
    <xf numFmtId="0" fontId="10" fillId="0" borderId="102" xfId="0" applyFont="1" applyBorder="1" applyAlignment="1">
      <alignment horizontal="center" vertical="center" wrapText="1"/>
    </xf>
    <xf numFmtId="0" fontId="27" fillId="0" borderId="69" xfId="0" applyFont="1" applyBorder="1" applyAlignment="1">
      <alignment vertical="center" shrinkToFit="1"/>
    </xf>
    <xf numFmtId="0" fontId="27" fillId="0" borderId="65" xfId="0" applyFont="1" applyBorder="1" applyAlignment="1">
      <alignment vertical="center" shrinkToFit="1"/>
    </xf>
    <xf numFmtId="0" fontId="27" fillId="0" borderId="117" xfId="0" applyFont="1" applyBorder="1" applyAlignment="1">
      <alignment vertical="center" shrinkToFit="1"/>
    </xf>
    <xf numFmtId="0" fontId="10" fillId="0" borderId="97" xfId="0" applyFont="1" applyBorder="1" applyAlignment="1">
      <alignment horizontal="center" vertical="center"/>
    </xf>
    <xf numFmtId="0" fontId="10" fillId="0" borderId="134" xfId="0" applyFont="1" applyBorder="1" applyAlignment="1">
      <alignment horizontal="center" vertical="center"/>
    </xf>
    <xf numFmtId="0" fontId="27" fillId="0" borderId="69" xfId="0" applyFont="1" applyBorder="1" applyAlignment="1">
      <alignment horizontal="left" vertical="center" shrinkToFit="1" indent="1"/>
    </xf>
    <xf numFmtId="0" fontId="27" fillId="0" borderId="65" xfId="0" applyFont="1" applyBorder="1" applyAlignment="1">
      <alignment horizontal="left" vertical="center" shrinkToFit="1" indent="1"/>
    </xf>
    <xf numFmtId="0" fontId="27" fillId="0" borderId="117" xfId="0" applyFont="1" applyBorder="1" applyAlignment="1">
      <alignment horizontal="left" vertical="center" shrinkToFit="1" indent="1"/>
    </xf>
    <xf numFmtId="49" fontId="27" fillId="0" borderId="69" xfId="0" applyNumberFormat="1" applyFont="1" applyBorder="1" applyAlignment="1">
      <alignment horizontal="left" vertical="center" shrinkToFit="1" indent="1"/>
    </xf>
    <xf numFmtId="49" fontId="27" fillId="0" borderId="65" xfId="0" applyNumberFormat="1" applyFont="1" applyBorder="1" applyAlignment="1">
      <alignment horizontal="left" vertical="center" shrinkToFit="1" indent="1"/>
    </xf>
    <xf numFmtId="49" fontId="27" fillId="0" borderId="117" xfId="0" applyNumberFormat="1" applyFont="1" applyBorder="1" applyAlignment="1">
      <alignment horizontal="left" vertical="center" shrinkToFit="1" indent="1"/>
    </xf>
    <xf numFmtId="0" fontId="10" fillId="0" borderId="135" xfId="0" applyFont="1" applyBorder="1" applyAlignment="1">
      <alignment horizontal="center" vertical="center" wrapText="1"/>
    </xf>
    <xf numFmtId="0" fontId="10" fillId="0" borderId="131" xfId="0" applyFont="1" applyBorder="1" applyAlignment="1">
      <alignment horizontal="center" vertical="center"/>
    </xf>
    <xf numFmtId="0" fontId="10" fillId="0" borderId="127" xfId="0" applyFont="1" applyBorder="1" applyAlignment="1">
      <alignment horizontal="center" vertical="center"/>
    </xf>
    <xf numFmtId="0" fontId="27" fillId="0" borderId="128" xfId="0" applyFont="1" applyBorder="1" applyAlignment="1">
      <alignment horizontal="left" vertical="center" shrinkToFit="1" indent="1"/>
    </xf>
    <xf numFmtId="0" fontId="27" fillId="0" borderId="131" xfId="0" applyFont="1" applyBorder="1" applyAlignment="1">
      <alignment horizontal="left" vertical="center" shrinkToFit="1" indent="1"/>
    </xf>
    <xf numFmtId="0" fontId="27" fillId="0" borderId="132" xfId="0" applyFont="1" applyBorder="1" applyAlignment="1">
      <alignment horizontal="left" vertical="center" shrinkToFit="1" indent="1"/>
    </xf>
    <xf numFmtId="165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10" fillId="0" borderId="31" xfId="0" applyNumberFormat="1" applyFont="1" applyBorder="1" applyAlignment="1">
      <alignment horizontal="center" vertical="center"/>
    </xf>
    <xf numFmtId="0" fontId="27" fillId="0" borderId="36" xfId="0" applyFont="1" applyBorder="1" applyAlignment="1">
      <alignment horizontal="left" vertical="center" shrinkToFit="1" indent="1"/>
    </xf>
    <xf numFmtId="0" fontId="27" fillId="0" borderId="33" xfId="0" applyFont="1" applyBorder="1" applyAlignment="1">
      <alignment horizontal="left" vertical="center" shrinkToFit="1" indent="1"/>
    </xf>
    <xf numFmtId="0" fontId="27" fillId="0" borderId="31" xfId="0" applyFont="1" applyBorder="1" applyAlignment="1">
      <alignment horizontal="left" vertical="center" shrinkToFit="1" indent="1"/>
    </xf>
    <xf numFmtId="165" fontId="10" fillId="0" borderId="121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left" vertical="center" shrinkToFit="1" indent="1"/>
    </xf>
    <xf numFmtId="0" fontId="27" fillId="0" borderId="18" xfId="0" applyFont="1" applyBorder="1" applyAlignment="1">
      <alignment horizontal="left" vertical="center" shrinkToFit="1" indent="1"/>
    </xf>
    <xf numFmtId="0" fontId="27" fillId="0" borderId="121" xfId="0" applyFont="1" applyBorder="1" applyAlignment="1">
      <alignment horizontal="left" vertical="center" shrinkToFit="1" indent="1"/>
    </xf>
    <xf numFmtId="0" fontId="10" fillId="0" borderId="56" xfId="0" applyFont="1" applyBorder="1" applyAlignment="1">
      <alignment horizontal="center" vertical="center"/>
    </xf>
    <xf numFmtId="0" fontId="10" fillId="0" borderId="136" xfId="0" applyFont="1" applyBorder="1" applyAlignment="1">
      <alignment horizontal="center" vertical="center"/>
    </xf>
    <xf numFmtId="165" fontId="17" fillId="0" borderId="135" xfId="0" applyNumberFormat="1" applyFont="1" applyBorder="1" applyAlignment="1">
      <alignment horizontal="center" vertical="center"/>
    </xf>
    <xf numFmtId="0" fontId="27" fillId="0" borderId="135" xfId="0" applyFont="1" applyBorder="1" applyAlignment="1">
      <alignment horizontal="left" vertical="center" shrinkToFit="1" indent="1"/>
    </xf>
    <xf numFmtId="0" fontId="27" fillId="0" borderId="67" xfId="0" applyFont="1" applyBorder="1" applyAlignment="1">
      <alignment horizontal="left" vertical="center" shrinkToFit="1" indent="1"/>
    </xf>
    <xf numFmtId="0" fontId="27" fillId="0" borderId="126" xfId="0" applyFont="1" applyBorder="1" applyAlignment="1">
      <alignment horizontal="left" vertical="center" shrinkToFit="1" indent="1"/>
    </xf>
    <xf numFmtId="0" fontId="28" fillId="0" borderId="0" xfId="0" applyFont="1" applyAlignment="1">
      <alignment vertical="center"/>
    </xf>
    <xf numFmtId="0" fontId="10" fillId="0" borderId="87" xfId="0" applyFont="1" applyBorder="1" applyAlignment="1">
      <alignment horizontal="center" vertical="center" shrinkToFit="1"/>
    </xf>
    <xf numFmtId="0" fontId="10" fillId="0" borderId="88" xfId="0" applyFont="1" applyBorder="1" applyAlignment="1">
      <alignment horizontal="center" vertical="center" shrinkToFit="1"/>
    </xf>
    <xf numFmtId="0" fontId="10" fillId="0" borderId="89" xfId="0" applyFont="1" applyBorder="1" applyAlignment="1">
      <alignment horizontal="center" vertical="center" shrinkToFit="1"/>
    </xf>
    <xf numFmtId="0" fontId="10" fillId="0" borderId="137" xfId="0" applyFont="1" applyBorder="1" applyAlignment="1">
      <alignment horizontal="center" vertical="center"/>
    </xf>
    <xf numFmtId="0" fontId="10" fillId="0" borderId="138" xfId="0" applyFont="1" applyBorder="1" applyAlignment="1">
      <alignment horizontal="center" vertical="center"/>
    </xf>
    <xf numFmtId="0" fontId="10" fillId="0" borderId="139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7" fillId="0" borderId="115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70" fontId="12" fillId="0" borderId="140" xfId="0" applyNumberFormat="1" applyFont="1" applyBorder="1" applyAlignment="1">
      <alignment horizontal="center" vertical="center"/>
    </xf>
    <xf numFmtId="170" fontId="12" fillId="0" borderId="34" xfId="0" applyNumberFormat="1" applyFont="1" applyBorder="1" applyAlignment="1">
      <alignment horizontal="center" vertical="center"/>
    </xf>
    <xf numFmtId="170" fontId="12" fillId="0" borderId="36" xfId="0" applyNumberFormat="1" applyFont="1" applyBorder="1" applyAlignment="1">
      <alignment horizontal="center" vertical="center"/>
    </xf>
    <xf numFmtId="170" fontId="12" fillId="0" borderId="66" xfId="0" applyNumberFormat="1" applyFont="1" applyBorder="1" applyAlignment="1">
      <alignment horizontal="center" vertical="center"/>
    </xf>
    <xf numFmtId="170" fontId="12" fillId="0" borderId="35" xfId="0" applyNumberFormat="1" applyFont="1" applyBorder="1" applyAlignment="1">
      <alignment horizontal="center" vertical="center"/>
    </xf>
    <xf numFmtId="171" fontId="12" fillId="0" borderId="140" xfId="0" applyNumberFormat="1" applyFont="1" applyBorder="1" applyAlignment="1">
      <alignment horizontal="center" vertical="center"/>
    </xf>
    <xf numFmtId="171" fontId="12" fillId="0" borderId="34" xfId="0" applyNumberFormat="1" applyFont="1" applyBorder="1" applyAlignment="1">
      <alignment horizontal="center" vertical="center"/>
    </xf>
    <xf numFmtId="171" fontId="12" fillId="0" borderId="35" xfId="0" applyNumberFormat="1" applyFont="1" applyBorder="1" applyAlignment="1">
      <alignment horizontal="center" vertical="center"/>
    </xf>
    <xf numFmtId="0" fontId="12" fillId="0" borderId="140" xfId="0" applyFont="1" applyBorder="1" applyAlignment="1">
      <alignment horizontal="left" vertical="center" shrinkToFit="1" indent="1"/>
    </xf>
    <xf numFmtId="0" fontId="12" fillId="0" borderId="34" xfId="0" applyFont="1" applyBorder="1" applyAlignment="1">
      <alignment horizontal="left" vertical="center" shrinkToFit="1" indent="1"/>
    </xf>
    <xf numFmtId="0" fontId="12" fillId="0" borderId="35" xfId="0" applyFont="1" applyBorder="1" applyAlignment="1">
      <alignment horizontal="left" vertical="center" shrinkToFit="1" indent="1"/>
    </xf>
    <xf numFmtId="0" fontId="12" fillId="0" borderId="0" xfId="0" applyFont="1" applyAlignment="1">
      <alignment horizontal="left" vertical="center" indent="1"/>
    </xf>
    <xf numFmtId="0" fontId="12" fillId="0" borderId="141" xfId="0" applyFont="1" applyBorder="1" applyAlignment="1">
      <alignment horizontal="center" vertical="center"/>
    </xf>
    <xf numFmtId="0" fontId="12" fillId="0" borderId="97" xfId="0" applyFont="1" applyBorder="1" applyAlignment="1">
      <alignment horizontal="center" vertical="center"/>
    </xf>
    <xf numFmtId="0" fontId="12" fillId="0" borderId="134" xfId="0" applyFont="1" applyBorder="1" applyAlignment="1">
      <alignment horizontal="center" vertical="center"/>
    </xf>
    <xf numFmtId="170" fontId="12" fillId="0" borderId="118" xfId="0" applyNumberFormat="1" applyFont="1" applyBorder="1" applyAlignment="1">
      <alignment horizontal="center" vertical="center"/>
    </xf>
    <xf numFmtId="170" fontId="12" fillId="0" borderId="2" xfId="0" applyNumberFormat="1" applyFont="1" applyBorder="1" applyAlignment="1">
      <alignment horizontal="center" vertical="center"/>
    </xf>
    <xf numFmtId="170" fontId="12" fillId="0" borderId="3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  <xf numFmtId="170" fontId="12" fillId="0" borderId="125" xfId="0" applyNumberFormat="1" applyFont="1" applyBorder="1" applyAlignment="1">
      <alignment horizontal="center" vertical="center"/>
    </xf>
    <xf numFmtId="171" fontId="12" fillId="0" borderId="118" xfId="0" applyNumberFormat="1" applyFont="1" applyBorder="1" applyAlignment="1">
      <alignment horizontal="center" vertical="center"/>
    </xf>
    <xf numFmtId="171" fontId="12" fillId="0" borderId="2" xfId="0" applyNumberFormat="1" applyFont="1" applyBorder="1" applyAlignment="1">
      <alignment horizontal="center" vertical="center"/>
    </xf>
    <xf numFmtId="171" fontId="12" fillId="0" borderId="125" xfId="0" applyNumberFormat="1" applyFont="1" applyBorder="1" applyAlignment="1">
      <alignment horizontal="center" vertical="center"/>
    </xf>
    <xf numFmtId="0" fontId="12" fillId="0" borderId="118" xfId="0" applyFont="1" applyBorder="1" applyAlignment="1">
      <alignment horizontal="left" vertical="center" shrinkToFit="1" indent="1"/>
    </xf>
    <xf numFmtId="0" fontId="12" fillId="0" borderId="2" xfId="0" applyFont="1" applyBorder="1" applyAlignment="1">
      <alignment horizontal="left" vertical="center" shrinkToFit="1" indent="1"/>
    </xf>
    <xf numFmtId="0" fontId="12" fillId="0" borderId="125" xfId="0" applyFont="1" applyBorder="1" applyAlignment="1">
      <alignment horizontal="left" vertical="center" shrinkToFit="1" indent="1"/>
    </xf>
    <xf numFmtId="0" fontId="12" fillId="0" borderId="1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25" xfId="0" applyFont="1" applyBorder="1" applyAlignment="1">
      <alignment horizontal="center" vertical="center"/>
    </xf>
    <xf numFmtId="0" fontId="12" fillId="0" borderId="87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/>
    </xf>
    <xf numFmtId="171" fontId="17" fillId="0" borderId="87" xfId="0" applyNumberFormat="1" applyFont="1" applyBorder="1" applyAlignment="1">
      <alignment horizontal="center" vertical="center"/>
    </xf>
    <xf numFmtId="171" fontId="17" fillId="0" borderId="88" xfId="0" applyNumberFormat="1" applyFont="1" applyBorder="1" applyAlignment="1">
      <alignment horizontal="center" vertical="center"/>
    </xf>
    <xf numFmtId="171" fontId="17" fillId="0" borderId="89" xfId="0" applyNumberFormat="1" applyFont="1" applyBorder="1" applyAlignment="1">
      <alignment horizontal="center" vertical="center"/>
    </xf>
    <xf numFmtId="0" fontId="12" fillId="0" borderId="87" xfId="0" applyFont="1" applyBorder="1" applyAlignment="1">
      <alignment horizontal="left" vertical="center" shrinkToFit="1"/>
    </xf>
    <xf numFmtId="0" fontId="12" fillId="0" borderId="88" xfId="0" applyFont="1" applyBorder="1" applyAlignment="1">
      <alignment horizontal="left" vertical="center" shrinkToFit="1"/>
    </xf>
    <xf numFmtId="0" fontId="12" fillId="0" borderId="89" xfId="0" applyFont="1" applyBorder="1" applyAlignment="1">
      <alignment horizontal="left" vertical="center" shrinkToFit="1"/>
    </xf>
    <xf numFmtId="0" fontId="10" fillId="0" borderId="0" xfId="0" applyFont="1" applyAlignment="1">
      <alignment horizontal="left" vertical="center" indent="1"/>
    </xf>
    <xf numFmtId="0" fontId="12" fillId="0" borderId="87" xfId="0" applyFont="1" applyBorder="1" applyAlignment="1">
      <alignment horizontal="left" vertical="center" shrinkToFit="1" indent="1"/>
    </xf>
    <xf numFmtId="0" fontId="12" fillId="0" borderId="88" xfId="0" applyFont="1" applyBorder="1" applyAlignment="1">
      <alignment horizontal="left" vertical="center" shrinkToFit="1" indent="1"/>
    </xf>
    <xf numFmtId="0" fontId="12" fillId="0" borderId="89" xfId="0" applyFont="1" applyBorder="1" applyAlignment="1">
      <alignment horizontal="left" vertical="center" shrinkToFit="1" indent="1"/>
    </xf>
    <xf numFmtId="0" fontId="12" fillId="0" borderId="119" xfId="0" applyFont="1" applyBorder="1" applyAlignment="1">
      <alignment horizontal="center" vertical="center"/>
    </xf>
    <xf numFmtId="0" fontId="12" fillId="0" borderId="84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170" fontId="12" fillId="0" borderId="119" xfId="0" applyNumberFormat="1" applyFont="1" applyBorder="1" applyAlignment="1">
      <alignment horizontal="center" vertical="center"/>
    </xf>
    <xf numFmtId="170" fontId="12" fillId="0" borderId="84" xfId="0" applyNumberFormat="1" applyFont="1" applyBorder="1" applyAlignment="1">
      <alignment horizontal="center" vertical="center"/>
    </xf>
    <xf numFmtId="170" fontId="12" fillId="0" borderId="86" xfId="0" applyNumberFormat="1" applyFont="1" applyBorder="1" applyAlignment="1">
      <alignment horizontal="center" vertical="center"/>
    </xf>
    <xf numFmtId="170" fontId="12" fillId="0" borderId="85" xfId="0" applyNumberFormat="1" applyFont="1" applyBorder="1" applyAlignment="1">
      <alignment horizontal="center" vertical="center"/>
    </xf>
    <xf numFmtId="171" fontId="12" fillId="0" borderId="119" xfId="0" applyNumberFormat="1" applyFont="1" applyBorder="1" applyAlignment="1">
      <alignment horizontal="center" vertical="center"/>
    </xf>
    <xf numFmtId="171" fontId="12" fillId="0" borderId="84" xfId="0" applyNumberFormat="1" applyFont="1" applyBorder="1" applyAlignment="1">
      <alignment horizontal="center" vertical="center"/>
    </xf>
    <xf numFmtId="171" fontId="12" fillId="0" borderId="85" xfId="0" applyNumberFormat="1" applyFont="1" applyBorder="1" applyAlignment="1">
      <alignment horizontal="center" vertical="center"/>
    </xf>
    <xf numFmtId="0" fontId="12" fillId="0" borderId="119" xfId="0" applyFont="1" applyBorder="1" applyAlignment="1">
      <alignment horizontal="left" vertical="center" shrinkToFit="1" indent="1"/>
    </xf>
    <xf numFmtId="0" fontId="12" fillId="0" borderId="84" xfId="0" applyFont="1" applyBorder="1" applyAlignment="1">
      <alignment horizontal="left" vertical="center" shrinkToFit="1" indent="1"/>
    </xf>
    <xf numFmtId="0" fontId="12" fillId="0" borderId="85" xfId="0" applyFont="1" applyBorder="1" applyAlignment="1">
      <alignment horizontal="left" vertical="center" shrinkToFi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4.25" outlineLevelRow="0" outlineLevelCol="0" x14ac:dyDescent="0" customHeight="1"/>
  <cols>
    <col min="1" max="1" width="8.625" style="145" customWidth="1"/>
    <col min="2" max="2" width="18.625" style="145" customWidth="1"/>
    <col min="3" max="3" width="9.625" style="145" customWidth="1"/>
    <col min="4" max="4" width="10.625" style="145" customWidth="1"/>
    <col min="5" max="5" width="10.75" style="145" customWidth="1"/>
    <col min="6" max="6" width="5.875" style="145" customWidth="1"/>
    <col min="7" max="7" width="9.125" style="145" customWidth="1"/>
    <col min="8" max="8" width="13.375" style="145" customWidth="1"/>
    <col min="9" max="250" width="9" style="145" customWidth="1"/>
    <col min="251" max="251" width="6.5" style="145" customWidth="1"/>
    <col min="252" max="252" width="19.125" style="145" customWidth="1"/>
    <col min="253" max="255" width="10.75" style="145" customWidth="1"/>
    <col min="256" max="256" width="5.875" style="145" customWidth="1"/>
    <col min="257" max="257" width="8.5" style="145" customWidth="1"/>
    <col min="258" max="258" width="14" style="145" customWidth="1"/>
    <col min="259" max="259" width="2" style="145" customWidth="1"/>
    <col min="260" max="506" width="9" style="145" customWidth="1"/>
    <col min="507" max="507" width="6.5" style="145" customWidth="1"/>
    <col min="508" max="508" width="19.125" style="145" customWidth="1"/>
    <col min="509" max="511" width="10.75" style="145" customWidth="1"/>
    <col min="512" max="512" width="5.875" style="145" customWidth="1"/>
    <col min="513" max="513" width="8.5" style="145" customWidth="1"/>
    <col min="514" max="514" width="14" style="145" customWidth="1"/>
    <col min="515" max="515" width="2" style="145" customWidth="1"/>
    <col min="516" max="762" width="9" style="145" customWidth="1"/>
    <col min="763" max="763" width="6.5" style="145" customWidth="1"/>
    <col min="764" max="764" width="19.125" style="145" customWidth="1"/>
    <col min="765" max="767" width="10.75" style="145" customWidth="1"/>
    <col min="768" max="768" width="5.875" style="145" customWidth="1"/>
    <col min="769" max="769" width="8.5" style="145" customWidth="1"/>
    <col min="770" max="770" width="14" style="145" customWidth="1"/>
    <col min="771" max="771" width="2" style="145" customWidth="1"/>
    <col min="772" max="1018" width="9" style="145" customWidth="1"/>
    <col min="1019" max="1019" width="6.5" style="145" customWidth="1"/>
    <col min="1020" max="1020" width="19.125" style="145" customWidth="1"/>
    <col min="1021" max="1023" width="10.75" style="145" customWidth="1"/>
    <col min="1024" max="1024" width="5.875" style="145" customWidth="1"/>
    <col min="1025" max="1025" width="8.5" style="145" customWidth="1"/>
    <col min="1026" max="1026" width="14" style="145" customWidth="1"/>
    <col min="1027" max="1027" width="2" style="145" customWidth="1"/>
    <col min="1028" max="1274" width="9" style="145" customWidth="1"/>
    <col min="1275" max="1275" width="6.5" style="145" customWidth="1"/>
    <col min="1276" max="1276" width="19.125" style="145" customWidth="1"/>
    <col min="1277" max="1279" width="10.75" style="145" customWidth="1"/>
    <col min="1280" max="1280" width="5.875" style="145" customWidth="1"/>
    <col min="1281" max="1281" width="8.5" style="145" customWidth="1"/>
    <col min="1282" max="1282" width="14" style="145" customWidth="1"/>
    <col min="1283" max="1283" width="2" style="145" customWidth="1"/>
    <col min="1284" max="1530" width="9" style="145" customWidth="1"/>
    <col min="1531" max="1531" width="6.5" style="145" customWidth="1"/>
    <col min="1532" max="1532" width="19.125" style="145" customWidth="1"/>
    <col min="1533" max="1535" width="10.75" style="145" customWidth="1"/>
    <col min="1536" max="1536" width="5.875" style="145" customWidth="1"/>
    <col min="1537" max="1537" width="8.5" style="145" customWidth="1"/>
    <col min="1538" max="1538" width="14" style="145" customWidth="1"/>
    <col min="1539" max="1539" width="2" style="145" customWidth="1"/>
    <col min="1540" max="1786" width="9" style="145" customWidth="1"/>
    <col min="1787" max="1787" width="6.5" style="145" customWidth="1"/>
    <col min="1788" max="1788" width="19.125" style="145" customWidth="1"/>
    <col min="1789" max="1791" width="10.75" style="145" customWidth="1"/>
    <col min="1792" max="1792" width="5.875" style="145" customWidth="1"/>
    <col min="1793" max="1793" width="8.5" style="145" customWidth="1"/>
    <col min="1794" max="1794" width="14" style="145" customWidth="1"/>
    <col min="1795" max="1795" width="2" style="145" customWidth="1"/>
    <col min="1796" max="2042" width="9" style="145" customWidth="1"/>
    <col min="2043" max="2043" width="6.5" style="145" customWidth="1"/>
    <col min="2044" max="2044" width="19.125" style="145" customWidth="1"/>
    <col min="2045" max="2047" width="10.75" style="145" customWidth="1"/>
    <col min="2048" max="2048" width="5.875" style="145" customWidth="1"/>
    <col min="2049" max="2049" width="8.5" style="145" customWidth="1"/>
    <col min="2050" max="2050" width="14" style="145" customWidth="1"/>
    <col min="2051" max="2051" width="2" style="145" customWidth="1"/>
    <col min="2052" max="2298" width="9" style="145" customWidth="1"/>
    <col min="2299" max="2299" width="6.5" style="145" customWidth="1"/>
    <col min="2300" max="2300" width="19.125" style="145" customWidth="1"/>
    <col min="2301" max="2303" width="10.75" style="145" customWidth="1"/>
    <col min="2304" max="2304" width="5.875" style="145" customWidth="1"/>
    <col min="2305" max="2305" width="8.5" style="145" customWidth="1"/>
    <col min="2306" max="2306" width="14" style="145" customWidth="1"/>
    <col min="2307" max="2307" width="2" style="145" customWidth="1"/>
    <col min="2308" max="2554" width="9" style="145" customWidth="1"/>
    <col min="2555" max="2555" width="6.5" style="145" customWidth="1"/>
    <col min="2556" max="2556" width="19.125" style="145" customWidth="1"/>
    <col min="2557" max="2559" width="10.75" style="145" customWidth="1"/>
    <col min="2560" max="2560" width="5.875" style="145" customWidth="1"/>
    <col min="2561" max="2561" width="8.5" style="145" customWidth="1"/>
    <col min="2562" max="2562" width="14" style="145" customWidth="1"/>
    <col min="2563" max="2563" width="2" style="145" customWidth="1"/>
    <col min="2564" max="2810" width="9" style="145" customWidth="1"/>
    <col min="2811" max="2811" width="6.5" style="145" customWidth="1"/>
    <col min="2812" max="2812" width="19.125" style="145" customWidth="1"/>
    <col min="2813" max="2815" width="10.75" style="145" customWidth="1"/>
    <col min="2816" max="2816" width="5.875" style="145" customWidth="1"/>
    <col min="2817" max="2817" width="8.5" style="145" customWidth="1"/>
    <col min="2818" max="2818" width="14" style="145" customWidth="1"/>
    <col min="2819" max="2819" width="2" style="145" customWidth="1"/>
    <col min="2820" max="3066" width="9" style="145" customWidth="1"/>
    <col min="3067" max="3067" width="6.5" style="145" customWidth="1"/>
    <col min="3068" max="3068" width="19.125" style="145" customWidth="1"/>
    <col min="3069" max="3071" width="10.75" style="145" customWidth="1"/>
    <col min="3072" max="3072" width="5.875" style="145" customWidth="1"/>
    <col min="3073" max="3073" width="8.5" style="145" customWidth="1"/>
    <col min="3074" max="3074" width="14" style="145" customWidth="1"/>
    <col min="3075" max="3075" width="2" style="145" customWidth="1"/>
    <col min="3076" max="3322" width="9" style="145" customWidth="1"/>
    <col min="3323" max="3323" width="6.5" style="145" customWidth="1"/>
    <col min="3324" max="3324" width="19.125" style="145" customWidth="1"/>
    <col min="3325" max="3327" width="10.75" style="145" customWidth="1"/>
    <col min="3328" max="3328" width="5.875" style="145" customWidth="1"/>
    <col min="3329" max="3329" width="8.5" style="145" customWidth="1"/>
    <col min="3330" max="3330" width="14" style="145" customWidth="1"/>
    <col min="3331" max="3331" width="2" style="145" customWidth="1"/>
    <col min="3332" max="3578" width="9" style="145" customWidth="1"/>
    <col min="3579" max="3579" width="6.5" style="145" customWidth="1"/>
    <col min="3580" max="3580" width="19.125" style="145" customWidth="1"/>
    <col min="3581" max="3583" width="10.75" style="145" customWidth="1"/>
    <col min="3584" max="3584" width="5.875" style="145" customWidth="1"/>
    <col min="3585" max="3585" width="8.5" style="145" customWidth="1"/>
    <col min="3586" max="3586" width="14" style="145" customWidth="1"/>
    <col min="3587" max="3587" width="2" style="145" customWidth="1"/>
    <col min="3588" max="3834" width="9" style="145" customWidth="1"/>
    <col min="3835" max="3835" width="6.5" style="145" customWidth="1"/>
    <col min="3836" max="3836" width="19.125" style="145" customWidth="1"/>
    <col min="3837" max="3839" width="10.75" style="145" customWidth="1"/>
    <col min="3840" max="3840" width="5.875" style="145" customWidth="1"/>
    <col min="3841" max="3841" width="8.5" style="145" customWidth="1"/>
    <col min="3842" max="3842" width="14" style="145" customWidth="1"/>
    <col min="3843" max="3843" width="2" style="145" customWidth="1"/>
    <col min="3844" max="4090" width="9" style="145" customWidth="1"/>
    <col min="4091" max="4091" width="6.5" style="145" customWidth="1"/>
    <col min="4092" max="4092" width="19.125" style="145" customWidth="1"/>
    <col min="4093" max="4095" width="10.75" style="145" customWidth="1"/>
    <col min="4096" max="4096" width="5.875" style="145" customWidth="1"/>
    <col min="4097" max="4097" width="8.5" style="145" customWidth="1"/>
    <col min="4098" max="4098" width="14" style="145" customWidth="1"/>
    <col min="4099" max="4099" width="2" style="145" customWidth="1"/>
    <col min="4100" max="4346" width="9" style="145" customWidth="1"/>
    <col min="4347" max="4347" width="6.5" style="145" customWidth="1"/>
    <col min="4348" max="4348" width="19.125" style="145" customWidth="1"/>
    <col min="4349" max="4351" width="10.75" style="145" customWidth="1"/>
    <col min="4352" max="4352" width="5.875" style="145" customWidth="1"/>
    <col min="4353" max="4353" width="8.5" style="145" customWidth="1"/>
    <col min="4354" max="4354" width="14" style="145" customWidth="1"/>
    <col min="4355" max="4355" width="2" style="145" customWidth="1"/>
    <col min="4356" max="4602" width="9" style="145" customWidth="1"/>
    <col min="4603" max="4603" width="6.5" style="145" customWidth="1"/>
    <col min="4604" max="4604" width="19.125" style="145" customWidth="1"/>
    <col min="4605" max="4607" width="10.75" style="145" customWidth="1"/>
    <col min="4608" max="4608" width="5.875" style="145" customWidth="1"/>
    <col min="4609" max="4609" width="8.5" style="145" customWidth="1"/>
    <col min="4610" max="4610" width="14" style="145" customWidth="1"/>
    <col min="4611" max="4611" width="2" style="145" customWidth="1"/>
    <col min="4612" max="4858" width="9" style="145" customWidth="1"/>
    <col min="4859" max="4859" width="6.5" style="145" customWidth="1"/>
    <col min="4860" max="4860" width="19.125" style="145" customWidth="1"/>
    <col min="4861" max="4863" width="10.75" style="145" customWidth="1"/>
    <col min="4864" max="4864" width="5.875" style="145" customWidth="1"/>
    <col min="4865" max="4865" width="8.5" style="145" customWidth="1"/>
    <col min="4866" max="4866" width="14" style="145" customWidth="1"/>
    <col min="4867" max="4867" width="2" style="145" customWidth="1"/>
    <col min="4868" max="5114" width="9" style="145" customWidth="1"/>
    <col min="5115" max="5115" width="6.5" style="145" customWidth="1"/>
    <col min="5116" max="5116" width="19.125" style="145" customWidth="1"/>
    <col min="5117" max="5119" width="10.75" style="145" customWidth="1"/>
    <col min="5120" max="5120" width="5.875" style="145" customWidth="1"/>
    <col min="5121" max="5121" width="8.5" style="145" customWidth="1"/>
    <col min="5122" max="5122" width="14" style="145" customWidth="1"/>
    <col min="5123" max="5123" width="2" style="145" customWidth="1"/>
    <col min="5124" max="5370" width="9" style="145" customWidth="1"/>
    <col min="5371" max="5371" width="6.5" style="145" customWidth="1"/>
    <col min="5372" max="5372" width="19.125" style="145" customWidth="1"/>
    <col min="5373" max="5375" width="10.75" style="145" customWidth="1"/>
    <col min="5376" max="5376" width="5.875" style="145" customWidth="1"/>
    <col min="5377" max="5377" width="8.5" style="145" customWidth="1"/>
    <col min="5378" max="5378" width="14" style="145" customWidth="1"/>
    <col min="5379" max="5379" width="2" style="145" customWidth="1"/>
    <col min="5380" max="5626" width="9" style="145" customWidth="1"/>
    <col min="5627" max="5627" width="6.5" style="145" customWidth="1"/>
    <col min="5628" max="5628" width="19.125" style="145" customWidth="1"/>
    <col min="5629" max="5631" width="10.75" style="145" customWidth="1"/>
    <col min="5632" max="5632" width="5.875" style="145" customWidth="1"/>
    <col min="5633" max="5633" width="8.5" style="145" customWidth="1"/>
    <col min="5634" max="5634" width="14" style="145" customWidth="1"/>
    <col min="5635" max="5635" width="2" style="145" customWidth="1"/>
    <col min="5636" max="5882" width="9" style="145" customWidth="1"/>
    <col min="5883" max="5883" width="6.5" style="145" customWidth="1"/>
    <col min="5884" max="5884" width="19.125" style="145" customWidth="1"/>
    <col min="5885" max="5887" width="10.75" style="145" customWidth="1"/>
    <col min="5888" max="5888" width="5.875" style="145" customWidth="1"/>
    <col min="5889" max="5889" width="8.5" style="145" customWidth="1"/>
    <col min="5890" max="5890" width="14" style="145" customWidth="1"/>
    <col min="5891" max="5891" width="2" style="145" customWidth="1"/>
    <col min="5892" max="6138" width="9" style="145" customWidth="1"/>
    <col min="6139" max="6139" width="6.5" style="145" customWidth="1"/>
    <col min="6140" max="6140" width="19.125" style="145" customWidth="1"/>
    <col min="6141" max="6143" width="10.75" style="145" customWidth="1"/>
    <col min="6144" max="6144" width="5.875" style="145" customWidth="1"/>
    <col min="6145" max="6145" width="8.5" style="145" customWidth="1"/>
    <col min="6146" max="6146" width="14" style="145" customWidth="1"/>
    <col min="6147" max="6147" width="2" style="145" customWidth="1"/>
    <col min="6148" max="6394" width="9" style="145" customWidth="1"/>
    <col min="6395" max="6395" width="6.5" style="145" customWidth="1"/>
    <col min="6396" max="6396" width="19.125" style="145" customWidth="1"/>
    <col min="6397" max="6399" width="10.75" style="145" customWidth="1"/>
    <col min="6400" max="6400" width="5.875" style="145" customWidth="1"/>
    <col min="6401" max="6401" width="8.5" style="145" customWidth="1"/>
    <col min="6402" max="6402" width="14" style="145" customWidth="1"/>
    <col min="6403" max="6403" width="2" style="145" customWidth="1"/>
    <col min="6404" max="6650" width="9" style="145" customWidth="1"/>
    <col min="6651" max="6651" width="6.5" style="145" customWidth="1"/>
    <col min="6652" max="6652" width="19.125" style="145" customWidth="1"/>
    <col min="6653" max="6655" width="10.75" style="145" customWidth="1"/>
    <col min="6656" max="6656" width="5.875" style="145" customWidth="1"/>
    <col min="6657" max="6657" width="8.5" style="145" customWidth="1"/>
    <col min="6658" max="6658" width="14" style="145" customWidth="1"/>
    <col min="6659" max="6659" width="2" style="145" customWidth="1"/>
    <col min="6660" max="6906" width="9" style="145" customWidth="1"/>
    <col min="6907" max="6907" width="6.5" style="145" customWidth="1"/>
    <col min="6908" max="6908" width="19.125" style="145" customWidth="1"/>
    <col min="6909" max="6911" width="10.75" style="145" customWidth="1"/>
    <col min="6912" max="6912" width="5.875" style="145" customWidth="1"/>
    <col min="6913" max="6913" width="8.5" style="145" customWidth="1"/>
    <col min="6914" max="6914" width="14" style="145" customWidth="1"/>
    <col min="6915" max="6915" width="2" style="145" customWidth="1"/>
    <col min="6916" max="7162" width="9" style="145" customWidth="1"/>
    <col min="7163" max="7163" width="6.5" style="145" customWidth="1"/>
    <col min="7164" max="7164" width="19.125" style="145" customWidth="1"/>
    <col min="7165" max="7167" width="10.75" style="145" customWidth="1"/>
    <col min="7168" max="7168" width="5.875" style="145" customWidth="1"/>
    <col min="7169" max="7169" width="8.5" style="145" customWidth="1"/>
    <col min="7170" max="7170" width="14" style="145" customWidth="1"/>
    <col min="7171" max="7171" width="2" style="145" customWidth="1"/>
    <col min="7172" max="7418" width="9" style="145" customWidth="1"/>
    <col min="7419" max="7419" width="6.5" style="145" customWidth="1"/>
    <col min="7420" max="7420" width="19.125" style="145" customWidth="1"/>
    <col min="7421" max="7423" width="10.75" style="145" customWidth="1"/>
    <col min="7424" max="7424" width="5.875" style="145" customWidth="1"/>
    <col min="7425" max="7425" width="8.5" style="145" customWidth="1"/>
    <col min="7426" max="7426" width="14" style="145" customWidth="1"/>
    <col min="7427" max="7427" width="2" style="145" customWidth="1"/>
    <col min="7428" max="7674" width="9" style="145" customWidth="1"/>
    <col min="7675" max="7675" width="6.5" style="145" customWidth="1"/>
    <col min="7676" max="7676" width="19.125" style="145" customWidth="1"/>
    <col min="7677" max="7679" width="10.75" style="145" customWidth="1"/>
    <col min="7680" max="7680" width="5.875" style="145" customWidth="1"/>
    <col min="7681" max="7681" width="8.5" style="145" customWidth="1"/>
    <col min="7682" max="7682" width="14" style="145" customWidth="1"/>
    <col min="7683" max="7683" width="2" style="145" customWidth="1"/>
    <col min="7684" max="7930" width="9" style="145" customWidth="1"/>
    <col min="7931" max="7931" width="6.5" style="145" customWidth="1"/>
    <col min="7932" max="7932" width="19.125" style="145" customWidth="1"/>
    <col min="7933" max="7935" width="10.75" style="145" customWidth="1"/>
    <col min="7936" max="7936" width="5.875" style="145" customWidth="1"/>
    <col min="7937" max="7937" width="8.5" style="145" customWidth="1"/>
    <col min="7938" max="7938" width="14" style="145" customWidth="1"/>
    <col min="7939" max="7939" width="2" style="145" customWidth="1"/>
    <col min="7940" max="8186" width="9" style="145" customWidth="1"/>
    <col min="8187" max="8187" width="6.5" style="145" customWidth="1"/>
    <col min="8188" max="8188" width="19.125" style="145" customWidth="1"/>
    <col min="8189" max="8191" width="10.75" style="145" customWidth="1"/>
    <col min="8192" max="8192" width="5.875" style="145" customWidth="1"/>
    <col min="8193" max="8193" width="8.5" style="145" customWidth="1"/>
    <col min="8194" max="8194" width="14" style="145" customWidth="1"/>
    <col min="8195" max="8195" width="2" style="145" customWidth="1"/>
    <col min="8196" max="8442" width="9" style="145" customWidth="1"/>
    <col min="8443" max="8443" width="6.5" style="145" customWidth="1"/>
    <col min="8444" max="8444" width="19.125" style="145" customWidth="1"/>
    <col min="8445" max="8447" width="10.75" style="145" customWidth="1"/>
    <col min="8448" max="8448" width="5.875" style="145" customWidth="1"/>
    <col min="8449" max="8449" width="8.5" style="145" customWidth="1"/>
    <col min="8450" max="8450" width="14" style="145" customWidth="1"/>
    <col min="8451" max="8451" width="2" style="145" customWidth="1"/>
    <col min="8452" max="8698" width="9" style="145" customWidth="1"/>
    <col min="8699" max="8699" width="6.5" style="145" customWidth="1"/>
    <col min="8700" max="8700" width="19.125" style="145" customWidth="1"/>
    <col min="8701" max="8703" width="10.75" style="145" customWidth="1"/>
    <col min="8704" max="8704" width="5.875" style="145" customWidth="1"/>
    <col min="8705" max="8705" width="8.5" style="145" customWidth="1"/>
    <col min="8706" max="8706" width="14" style="145" customWidth="1"/>
    <col min="8707" max="8707" width="2" style="145" customWidth="1"/>
    <col min="8708" max="8954" width="9" style="145" customWidth="1"/>
    <col min="8955" max="8955" width="6.5" style="145" customWidth="1"/>
    <col min="8956" max="8956" width="19.125" style="145" customWidth="1"/>
    <col min="8957" max="8959" width="10.75" style="145" customWidth="1"/>
    <col min="8960" max="8960" width="5.875" style="145" customWidth="1"/>
    <col min="8961" max="8961" width="8.5" style="145" customWidth="1"/>
    <col min="8962" max="8962" width="14" style="145" customWidth="1"/>
    <col min="8963" max="8963" width="2" style="145" customWidth="1"/>
    <col min="8964" max="9210" width="9" style="145" customWidth="1"/>
    <col min="9211" max="9211" width="6.5" style="145" customWidth="1"/>
    <col min="9212" max="9212" width="19.125" style="145" customWidth="1"/>
    <col min="9213" max="9215" width="10.75" style="145" customWidth="1"/>
    <col min="9216" max="9216" width="5.875" style="145" customWidth="1"/>
    <col min="9217" max="9217" width="8.5" style="145" customWidth="1"/>
    <col min="9218" max="9218" width="14" style="145" customWidth="1"/>
    <col min="9219" max="9219" width="2" style="145" customWidth="1"/>
    <col min="9220" max="9466" width="9" style="145" customWidth="1"/>
    <col min="9467" max="9467" width="6.5" style="145" customWidth="1"/>
    <col min="9468" max="9468" width="19.125" style="145" customWidth="1"/>
    <col min="9469" max="9471" width="10.75" style="145" customWidth="1"/>
    <col min="9472" max="9472" width="5.875" style="145" customWidth="1"/>
    <col min="9473" max="9473" width="8.5" style="145" customWidth="1"/>
    <col min="9474" max="9474" width="14" style="145" customWidth="1"/>
    <col min="9475" max="9475" width="2" style="145" customWidth="1"/>
    <col min="9476" max="9722" width="9" style="145" customWidth="1"/>
    <col min="9723" max="9723" width="6.5" style="145" customWidth="1"/>
    <col min="9724" max="9724" width="19.125" style="145" customWidth="1"/>
    <col min="9725" max="9727" width="10.75" style="145" customWidth="1"/>
    <col min="9728" max="9728" width="5.875" style="145" customWidth="1"/>
    <col min="9729" max="9729" width="8.5" style="145" customWidth="1"/>
    <col min="9730" max="9730" width="14" style="145" customWidth="1"/>
    <col min="9731" max="9731" width="2" style="145" customWidth="1"/>
    <col min="9732" max="9978" width="9" style="145" customWidth="1"/>
    <col min="9979" max="9979" width="6.5" style="145" customWidth="1"/>
    <col min="9980" max="9980" width="19.125" style="145" customWidth="1"/>
    <col min="9981" max="9983" width="10.75" style="145" customWidth="1"/>
    <col min="9984" max="9984" width="5.875" style="145" customWidth="1"/>
    <col min="9985" max="9985" width="8.5" style="145" customWidth="1"/>
    <col min="9986" max="9986" width="14" style="145" customWidth="1"/>
    <col min="9987" max="9987" width="2" style="145" customWidth="1"/>
    <col min="9988" max="10234" width="9" style="145" customWidth="1"/>
    <col min="10235" max="10235" width="6.5" style="145" customWidth="1"/>
    <col min="10236" max="10236" width="19.125" style="145" customWidth="1"/>
    <col min="10237" max="10239" width="10.75" style="145" customWidth="1"/>
    <col min="10240" max="10240" width="5.875" style="145" customWidth="1"/>
    <col min="10241" max="10241" width="8.5" style="145" customWidth="1"/>
    <col min="10242" max="10242" width="14" style="145" customWidth="1"/>
    <col min="10243" max="10243" width="2" style="145" customWidth="1"/>
    <col min="10244" max="10490" width="9" style="145" customWidth="1"/>
    <col min="10491" max="10491" width="6.5" style="145" customWidth="1"/>
    <col min="10492" max="10492" width="19.125" style="145" customWidth="1"/>
    <col min="10493" max="10495" width="10.75" style="145" customWidth="1"/>
    <col min="10496" max="10496" width="5.875" style="145" customWidth="1"/>
    <col min="10497" max="10497" width="8.5" style="145" customWidth="1"/>
    <col min="10498" max="10498" width="14" style="145" customWidth="1"/>
    <col min="10499" max="10499" width="2" style="145" customWidth="1"/>
    <col min="10500" max="10746" width="9" style="145" customWidth="1"/>
    <col min="10747" max="10747" width="6.5" style="145" customWidth="1"/>
    <col min="10748" max="10748" width="19.125" style="145" customWidth="1"/>
    <col min="10749" max="10751" width="10.75" style="145" customWidth="1"/>
    <col min="10752" max="10752" width="5.875" style="145" customWidth="1"/>
    <col min="10753" max="10753" width="8.5" style="145" customWidth="1"/>
    <col min="10754" max="10754" width="14" style="145" customWidth="1"/>
    <col min="10755" max="10755" width="2" style="145" customWidth="1"/>
    <col min="10756" max="11002" width="9" style="145" customWidth="1"/>
    <col min="11003" max="11003" width="6.5" style="145" customWidth="1"/>
    <col min="11004" max="11004" width="19.125" style="145" customWidth="1"/>
    <col min="11005" max="11007" width="10.75" style="145" customWidth="1"/>
    <col min="11008" max="11008" width="5.875" style="145" customWidth="1"/>
    <col min="11009" max="11009" width="8.5" style="145" customWidth="1"/>
    <col min="11010" max="11010" width="14" style="145" customWidth="1"/>
    <col min="11011" max="11011" width="2" style="145" customWidth="1"/>
    <col min="11012" max="11258" width="9" style="145" customWidth="1"/>
    <col min="11259" max="11259" width="6.5" style="145" customWidth="1"/>
    <col min="11260" max="11260" width="19.125" style="145" customWidth="1"/>
    <col min="11261" max="11263" width="10.75" style="145" customWidth="1"/>
    <col min="11264" max="11264" width="5.875" style="145" customWidth="1"/>
    <col min="11265" max="11265" width="8.5" style="145" customWidth="1"/>
    <col min="11266" max="11266" width="14" style="145" customWidth="1"/>
    <col min="11267" max="11267" width="2" style="145" customWidth="1"/>
    <col min="11268" max="11514" width="9" style="145" customWidth="1"/>
    <col min="11515" max="11515" width="6.5" style="145" customWidth="1"/>
    <col min="11516" max="11516" width="19.125" style="145" customWidth="1"/>
    <col min="11517" max="11519" width="10.75" style="145" customWidth="1"/>
    <col min="11520" max="11520" width="5.875" style="145" customWidth="1"/>
    <col min="11521" max="11521" width="8.5" style="145" customWidth="1"/>
    <col min="11522" max="11522" width="14" style="145" customWidth="1"/>
    <col min="11523" max="11523" width="2" style="145" customWidth="1"/>
    <col min="11524" max="11770" width="9" style="145" customWidth="1"/>
    <col min="11771" max="11771" width="6.5" style="145" customWidth="1"/>
    <col min="11772" max="11772" width="19.125" style="145" customWidth="1"/>
    <col min="11773" max="11775" width="10.75" style="145" customWidth="1"/>
    <col min="11776" max="11776" width="5.875" style="145" customWidth="1"/>
    <col min="11777" max="11777" width="8.5" style="145" customWidth="1"/>
    <col min="11778" max="11778" width="14" style="145" customWidth="1"/>
    <col min="11779" max="11779" width="2" style="145" customWidth="1"/>
    <col min="11780" max="12026" width="9" style="145" customWidth="1"/>
    <col min="12027" max="12027" width="6.5" style="145" customWidth="1"/>
    <col min="12028" max="12028" width="19.125" style="145" customWidth="1"/>
    <col min="12029" max="12031" width="10.75" style="145" customWidth="1"/>
    <col min="12032" max="12032" width="5.875" style="145" customWidth="1"/>
    <col min="12033" max="12033" width="8.5" style="145" customWidth="1"/>
    <col min="12034" max="12034" width="14" style="145" customWidth="1"/>
    <col min="12035" max="12035" width="2" style="145" customWidth="1"/>
    <col min="12036" max="12282" width="9" style="145" customWidth="1"/>
    <col min="12283" max="12283" width="6.5" style="145" customWidth="1"/>
    <col min="12284" max="12284" width="19.125" style="145" customWidth="1"/>
    <col min="12285" max="12287" width="10.75" style="145" customWidth="1"/>
    <col min="12288" max="12288" width="5.875" style="145" customWidth="1"/>
    <col min="12289" max="12289" width="8.5" style="145" customWidth="1"/>
    <col min="12290" max="12290" width="14" style="145" customWidth="1"/>
    <col min="12291" max="12291" width="2" style="145" customWidth="1"/>
    <col min="12292" max="12538" width="9" style="145" customWidth="1"/>
    <col min="12539" max="12539" width="6.5" style="145" customWidth="1"/>
    <col min="12540" max="12540" width="19.125" style="145" customWidth="1"/>
    <col min="12541" max="12543" width="10.75" style="145" customWidth="1"/>
    <col min="12544" max="12544" width="5.875" style="145" customWidth="1"/>
    <col min="12545" max="12545" width="8.5" style="145" customWidth="1"/>
    <col min="12546" max="12546" width="14" style="145" customWidth="1"/>
    <col min="12547" max="12547" width="2" style="145" customWidth="1"/>
    <col min="12548" max="12794" width="9" style="145" customWidth="1"/>
    <col min="12795" max="12795" width="6.5" style="145" customWidth="1"/>
    <col min="12796" max="12796" width="19.125" style="145" customWidth="1"/>
    <col min="12797" max="12799" width="10.75" style="145" customWidth="1"/>
    <col min="12800" max="12800" width="5.875" style="145" customWidth="1"/>
    <col min="12801" max="12801" width="8.5" style="145" customWidth="1"/>
    <col min="12802" max="12802" width="14" style="145" customWidth="1"/>
    <col min="12803" max="12803" width="2" style="145" customWidth="1"/>
    <col min="12804" max="13050" width="9" style="145" customWidth="1"/>
    <col min="13051" max="13051" width="6.5" style="145" customWidth="1"/>
    <col min="13052" max="13052" width="19.125" style="145" customWidth="1"/>
    <col min="13053" max="13055" width="10.75" style="145" customWidth="1"/>
    <col min="13056" max="13056" width="5.875" style="145" customWidth="1"/>
    <col min="13057" max="13057" width="8.5" style="145" customWidth="1"/>
    <col min="13058" max="13058" width="14" style="145" customWidth="1"/>
    <col min="13059" max="13059" width="2" style="145" customWidth="1"/>
    <col min="13060" max="13306" width="9" style="145" customWidth="1"/>
    <col min="13307" max="13307" width="6.5" style="145" customWidth="1"/>
    <col min="13308" max="13308" width="19.125" style="145" customWidth="1"/>
    <col min="13309" max="13311" width="10.75" style="145" customWidth="1"/>
    <col min="13312" max="13312" width="5.875" style="145" customWidth="1"/>
    <col min="13313" max="13313" width="8.5" style="145" customWidth="1"/>
    <col min="13314" max="13314" width="14" style="145" customWidth="1"/>
    <col min="13315" max="13315" width="2" style="145" customWidth="1"/>
    <col min="13316" max="13562" width="9" style="145" customWidth="1"/>
    <col min="13563" max="13563" width="6.5" style="145" customWidth="1"/>
    <col min="13564" max="13564" width="19.125" style="145" customWidth="1"/>
    <col min="13565" max="13567" width="10.75" style="145" customWidth="1"/>
    <col min="13568" max="13568" width="5.875" style="145" customWidth="1"/>
    <col min="13569" max="13569" width="8.5" style="145" customWidth="1"/>
    <col min="13570" max="13570" width="14" style="145" customWidth="1"/>
    <col min="13571" max="13571" width="2" style="145" customWidth="1"/>
    <col min="13572" max="13818" width="9" style="145" customWidth="1"/>
    <col min="13819" max="13819" width="6.5" style="145" customWidth="1"/>
    <col min="13820" max="13820" width="19.125" style="145" customWidth="1"/>
    <col min="13821" max="13823" width="10.75" style="145" customWidth="1"/>
    <col min="13824" max="13824" width="5.875" style="145" customWidth="1"/>
    <col min="13825" max="13825" width="8.5" style="145" customWidth="1"/>
    <col min="13826" max="13826" width="14" style="145" customWidth="1"/>
    <col min="13827" max="13827" width="2" style="145" customWidth="1"/>
    <col min="13828" max="14074" width="9" style="145" customWidth="1"/>
    <col min="14075" max="14075" width="6.5" style="145" customWidth="1"/>
    <col min="14076" max="14076" width="19.125" style="145" customWidth="1"/>
    <col min="14077" max="14079" width="10.75" style="145" customWidth="1"/>
    <col min="14080" max="14080" width="5.875" style="145" customWidth="1"/>
    <col min="14081" max="14081" width="8.5" style="145" customWidth="1"/>
    <col min="14082" max="14082" width="14" style="145" customWidth="1"/>
    <col min="14083" max="14083" width="2" style="145" customWidth="1"/>
    <col min="14084" max="14330" width="9" style="145" customWidth="1"/>
    <col min="14331" max="14331" width="6.5" style="145" customWidth="1"/>
    <col min="14332" max="14332" width="19.125" style="145" customWidth="1"/>
    <col min="14333" max="14335" width="10.75" style="145" customWidth="1"/>
    <col min="14336" max="14336" width="5.875" style="145" customWidth="1"/>
    <col min="14337" max="14337" width="8.5" style="145" customWidth="1"/>
    <col min="14338" max="14338" width="14" style="145" customWidth="1"/>
    <col min="14339" max="14339" width="2" style="145" customWidth="1"/>
    <col min="14340" max="14586" width="9" style="145" customWidth="1"/>
    <col min="14587" max="14587" width="6.5" style="145" customWidth="1"/>
    <col min="14588" max="14588" width="19.125" style="145" customWidth="1"/>
    <col min="14589" max="14591" width="10.75" style="145" customWidth="1"/>
    <col min="14592" max="14592" width="5.875" style="145" customWidth="1"/>
    <col min="14593" max="14593" width="8.5" style="145" customWidth="1"/>
    <col min="14594" max="14594" width="14" style="145" customWidth="1"/>
    <col min="14595" max="14595" width="2" style="145" customWidth="1"/>
    <col min="14596" max="14842" width="9" style="145" customWidth="1"/>
    <col min="14843" max="14843" width="6.5" style="145" customWidth="1"/>
    <col min="14844" max="14844" width="19.125" style="145" customWidth="1"/>
    <col min="14845" max="14847" width="10.75" style="145" customWidth="1"/>
    <col min="14848" max="14848" width="5.875" style="145" customWidth="1"/>
    <col min="14849" max="14849" width="8.5" style="145" customWidth="1"/>
    <col min="14850" max="14850" width="14" style="145" customWidth="1"/>
    <col min="14851" max="14851" width="2" style="145" customWidth="1"/>
    <col min="14852" max="15098" width="9" style="145" customWidth="1"/>
    <col min="15099" max="15099" width="6.5" style="145" customWidth="1"/>
    <col min="15100" max="15100" width="19.125" style="145" customWidth="1"/>
    <col min="15101" max="15103" width="10.75" style="145" customWidth="1"/>
    <col min="15104" max="15104" width="5.875" style="145" customWidth="1"/>
    <col min="15105" max="15105" width="8.5" style="145" customWidth="1"/>
    <col min="15106" max="15106" width="14" style="145" customWidth="1"/>
    <col min="15107" max="15107" width="2" style="145" customWidth="1"/>
    <col min="15108" max="15354" width="9" style="145" customWidth="1"/>
    <col min="15355" max="15355" width="6.5" style="145" customWidth="1"/>
    <col min="15356" max="15356" width="19.125" style="145" customWidth="1"/>
    <col min="15357" max="15359" width="10.75" style="145" customWidth="1"/>
    <col min="15360" max="15360" width="5.875" style="145" customWidth="1"/>
    <col min="15361" max="15361" width="8.5" style="145" customWidth="1"/>
    <col min="15362" max="15362" width="14" style="145" customWidth="1"/>
    <col min="15363" max="15363" width="2" style="145" customWidth="1"/>
    <col min="15364" max="15610" width="9" style="145" customWidth="1"/>
    <col min="15611" max="15611" width="6.5" style="145" customWidth="1"/>
    <col min="15612" max="15612" width="19.125" style="145" customWidth="1"/>
    <col min="15613" max="15615" width="10.75" style="145" customWidth="1"/>
    <col min="15616" max="15616" width="5.875" style="145" customWidth="1"/>
    <col min="15617" max="15617" width="8.5" style="145" customWidth="1"/>
    <col min="15618" max="15618" width="14" style="145" customWidth="1"/>
    <col min="15619" max="15619" width="2" style="145" customWidth="1"/>
    <col min="15620" max="15866" width="9" style="145" customWidth="1"/>
    <col min="15867" max="15867" width="6.5" style="145" customWidth="1"/>
    <col min="15868" max="15868" width="19.125" style="145" customWidth="1"/>
    <col min="15869" max="15871" width="10.75" style="145" customWidth="1"/>
    <col min="15872" max="15872" width="5.875" style="145" customWidth="1"/>
    <col min="15873" max="15873" width="8.5" style="145" customWidth="1"/>
    <col min="15874" max="15874" width="14" style="145" customWidth="1"/>
    <col min="15875" max="15875" width="2" style="145" customWidth="1"/>
    <col min="15876" max="16122" width="9" style="145" customWidth="1"/>
    <col min="16123" max="16123" width="6.5" style="145" customWidth="1"/>
    <col min="16124" max="16124" width="19.125" style="145" customWidth="1"/>
    <col min="16125" max="16127" width="10.75" style="145" customWidth="1"/>
    <col min="16128" max="16128" width="5.875" style="145" customWidth="1"/>
    <col min="16129" max="16129" width="8.5" style="145" customWidth="1"/>
    <col min="16130" max="16130" width="14" style="145" customWidth="1"/>
    <col min="16131" max="16131" width="2" style="145" customWidth="1"/>
    <col min="16132" max="16384" width="9" style="145" customWidth="1"/>
  </cols>
  <sheetData>
    <row r="1" ht="27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spans="1:25" x14ac:dyDescent="0.25">
      <c r="A2" s="146" t="s">
        <v>25</v>
      </c>
      <c r="B2" s="146"/>
      <c r="C2" s="146"/>
      <c r="D2" s="146"/>
      <c r="E2" s="146"/>
      <c r="F2" s="146"/>
      <c r="G2" s="146"/>
      <c r="H2" s="146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24.75" customHeight="1" spans="1:25" x14ac:dyDescent="0.25">
      <c r="A3" s="145"/>
      <c r="B3" s="145"/>
      <c r="C3" s="147" t="s">
        <v>26</v>
      </c>
      <c r="D3" s="7"/>
      <c r="E3" s="7"/>
      <c r="F3" s="8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3" customHeight="1" spans="1:25" x14ac:dyDescent="0.25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ht="4.5" customHeight="1" spans="1:25" x14ac:dyDescent="0.25">
      <c r="A5" s="148"/>
      <c r="B5" s="148"/>
      <c r="C5" s="148"/>
      <c r="D5" s="148"/>
      <c r="E5" s="148"/>
      <c r="F5" s="148"/>
      <c r="G5" s="148"/>
      <c r="H5" s="148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24" customHeight="1" spans="1:25" s="10" customFormat="1" x14ac:dyDescent="0.25">
      <c r="A6" s="149" t="s">
        <v>27</v>
      </c>
      <c r="B6" s="150"/>
      <c r="C6" s="149" t="s">
        <v>4</v>
      </c>
      <c r="D6" s="16"/>
      <c r="E6" s="16"/>
      <c r="F6" s="10"/>
      <c r="G6" s="151" t="s">
        <v>5</v>
      </c>
      <c r="H6" s="152">
        <f>'Final Work'!L4</f>
        <v>46214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1.25" customHeight="1" spans="1:25" s="10" customFormat="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24" customHeight="1" spans="1:25" s="10" customFormat="1" x14ac:dyDescent="0.25">
      <c r="A8" s="149" t="s">
        <v>28</v>
      </c>
      <c r="B8" s="153"/>
      <c r="C8" s="149" t="s">
        <v>29</v>
      </c>
      <c r="D8" s="16"/>
      <c r="E8" s="16"/>
      <c r="F8" s="149"/>
      <c r="G8" s="154" t="s">
        <v>30</v>
      </c>
      <c r="H8" s="2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1.25" customHeight="1" spans="1:25" s="10" customForma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5" customHeight="1" spans="1:25" s="10" customFormat="1" x14ac:dyDescent="0.25">
      <c r="A10" s="10"/>
      <c r="B10" s="10"/>
      <c r="C10" s="10"/>
      <c r="D10" s="10"/>
      <c r="E10" s="10"/>
      <c r="F10" s="10"/>
      <c r="G10" s="10"/>
      <c r="H10" s="149" t="s">
        <v>31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3.75" customHeight="1" spans="1:25" s="10" customForma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24.75" customHeight="1" spans="1:25" s="10" customFormat="1" x14ac:dyDescent="0.25">
      <c r="A12" s="155" t="s">
        <v>32</v>
      </c>
      <c r="B12" s="156"/>
      <c r="C12" s="157" t="s">
        <v>33</v>
      </c>
      <c r="D12" s="157"/>
      <c r="E12" s="157"/>
      <c r="F12" s="157"/>
      <c r="G12" s="157"/>
      <c r="H12" s="156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8" customHeight="1" spans="1:25" s="10" customFormat="1" x14ac:dyDescent="0.25">
      <c r="A13" s="158"/>
      <c r="B13" s="159"/>
      <c r="C13" s="160"/>
      <c r="D13" s="160"/>
      <c r="E13" s="160"/>
      <c r="F13" s="160"/>
      <c r="G13" s="160"/>
      <c r="H13" s="16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8" customHeight="1" spans="1:25" x14ac:dyDescent="0.25">
      <c r="A14" s="161"/>
      <c r="B14" s="162"/>
      <c r="C14" s="163"/>
      <c r="D14" s="164"/>
      <c r="E14" s="164"/>
      <c r="F14" s="164"/>
      <c r="G14" s="164"/>
      <c r="H14" s="16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18" customHeight="1" spans="1:25" x14ac:dyDescent="0.25">
      <c r="A15" s="161"/>
      <c r="B15" s="166"/>
      <c r="C15" s="163"/>
      <c r="D15" s="164"/>
      <c r="E15" s="164"/>
      <c r="F15" s="164"/>
      <c r="G15" s="164"/>
      <c r="H15" s="16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18" customHeight="1" spans="1:25" x14ac:dyDescent="0.25">
      <c r="A16" s="161"/>
      <c r="B16" s="166"/>
      <c r="C16" s="163"/>
      <c r="D16" s="164"/>
      <c r="E16" s="164"/>
      <c r="F16" s="164"/>
      <c r="G16" s="164"/>
      <c r="H16" s="16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ht="18" customHeight="1" spans="1:25" x14ac:dyDescent="0.25">
      <c r="A17" s="167"/>
      <c r="B17" s="168"/>
      <c r="C17" s="169"/>
      <c r="D17" s="170"/>
      <c r="E17" s="170"/>
      <c r="F17" s="170"/>
      <c r="G17" s="170"/>
      <c r="H17" s="171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ht="18" customHeight="1" spans="1:25" x14ac:dyDescent="0.25">
      <c r="A18" s="172"/>
      <c r="B18" s="173"/>
      <c r="C18" s="174"/>
      <c r="D18" s="174"/>
      <c r="E18" s="174"/>
      <c r="F18" s="174"/>
      <c r="G18" s="174"/>
      <c r="H18" s="174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ht="18" customHeight="1" spans="1:25" x14ac:dyDescent="0.25">
      <c r="A19" s="175"/>
      <c r="B19" s="162"/>
      <c r="C19" s="176"/>
      <c r="D19" s="176"/>
      <c r="E19" s="176"/>
      <c r="F19" s="176"/>
      <c r="G19" s="176"/>
      <c r="H19" s="176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18" customHeight="1" spans="1:25" x14ac:dyDescent="0.25">
      <c r="A20" s="161"/>
      <c r="B20" s="162"/>
      <c r="C20" s="176"/>
      <c r="D20" s="176"/>
      <c r="E20" s="176"/>
      <c r="F20" s="176"/>
      <c r="G20" s="176"/>
      <c r="H20" s="176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18" customHeight="1" spans="1:25" x14ac:dyDescent="0.25">
      <c r="A21" s="177"/>
      <c r="B21" s="162"/>
      <c r="C21" s="176"/>
      <c r="D21" s="176"/>
      <c r="E21" s="176"/>
      <c r="F21" s="176"/>
      <c r="G21" s="176"/>
      <c r="H21" s="176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ht="18" customHeight="1" spans="1:25" x14ac:dyDescent="0.25">
      <c r="A22" s="178"/>
      <c r="B22" s="168"/>
      <c r="C22" s="169"/>
      <c r="D22" s="170"/>
      <c r="E22" s="170"/>
      <c r="F22" s="170"/>
      <c r="G22" s="170"/>
      <c r="H22" s="171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18" customHeight="1" spans="1:25" x14ac:dyDescent="0.25">
      <c r="A23" s="179"/>
      <c r="B23" s="59"/>
      <c r="C23" s="180"/>
      <c r="D23" s="181"/>
      <c r="E23" s="181"/>
      <c r="F23" s="181"/>
      <c r="G23" s="181"/>
      <c r="H23" s="182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18" customHeight="1" spans="1:25" x14ac:dyDescent="0.25">
      <c r="A24" s="183"/>
      <c r="B24" s="166"/>
      <c r="C24" s="180"/>
      <c r="D24" s="181"/>
      <c r="E24" s="181"/>
      <c r="F24" s="181"/>
      <c r="G24" s="181"/>
      <c r="H24" s="182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18" customHeight="1" spans="1:25" x14ac:dyDescent="0.25">
      <c r="A25" s="184"/>
      <c r="B25" s="166"/>
      <c r="C25" s="163"/>
      <c r="D25" s="164"/>
      <c r="E25" s="164"/>
      <c r="F25" s="164"/>
      <c r="G25" s="164"/>
      <c r="H25" s="16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18" customHeight="1" spans="1:25" x14ac:dyDescent="0.25">
      <c r="A26" s="161"/>
      <c r="B26" s="166"/>
      <c r="C26" s="163"/>
      <c r="D26" s="164"/>
      <c r="E26" s="164"/>
      <c r="F26" s="164"/>
      <c r="G26" s="164"/>
      <c r="H26" s="16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18" customHeight="1" spans="1:25" x14ac:dyDescent="0.25">
      <c r="A27" s="167"/>
      <c r="B27" s="168"/>
      <c r="C27" s="169"/>
      <c r="D27" s="170"/>
      <c r="E27" s="170"/>
      <c r="F27" s="170"/>
      <c r="G27" s="170"/>
      <c r="H27" s="171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18" customHeight="1" spans="1:25" x14ac:dyDescent="0.25">
      <c r="A28" s="32"/>
      <c r="B28" s="59"/>
      <c r="C28" s="180"/>
      <c r="D28" s="181"/>
      <c r="E28" s="181"/>
      <c r="F28" s="181"/>
      <c r="G28" s="181"/>
      <c r="H28" s="182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18" customHeight="1" spans="1:25" x14ac:dyDescent="0.25">
      <c r="A29" s="161"/>
      <c r="B29" s="166"/>
      <c r="C29" s="163"/>
      <c r="D29" s="164"/>
      <c r="E29" s="164"/>
      <c r="F29" s="164"/>
      <c r="G29" s="164"/>
      <c r="H29" s="16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18" customHeight="1" spans="1:25" x14ac:dyDescent="0.25">
      <c r="A30" s="161"/>
      <c r="B30" s="166"/>
      <c r="C30" s="163"/>
      <c r="D30" s="164"/>
      <c r="E30" s="164"/>
      <c r="F30" s="164"/>
      <c r="G30" s="164"/>
      <c r="H30" s="16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18" customHeight="1" spans="1:25" x14ac:dyDescent="0.25">
      <c r="A31" s="161"/>
      <c r="B31" s="166"/>
      <c r="C31" s="163"/>
      <c r="D31" s="164"/>
      <c r="E31" s="164"/>
      <c r="F31" s="164"/>
      <c r="G31" s="164"/>
      <c r="H31" s="16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8" customHeight="1" spans="1:25" x14ac:dyDescent="0.25">
      <c r="A32" s="184"/>
      <c r="B32" s="168"/>
      <c r="C32" s="169"/>
      <c r="D32" s="170"/>
      <c r="E32" s="170"/>
      <c r="F32" s="170"/>
      <c r="G32" s="170"/>
      <c r="H32" s="171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18" customHeight="1" spans="1:25" x14ac:dyDescent="0.25">
      <c r="A33" s="32"/>
      <c r="B33" s="59"/>
      <c r="C33" s="180"/>
      <c r="D33" s="181"/>
      <c r="E33" s="181"/>
      <c r="F33" s="181"/>
      <c r="G33" s="181"/>
      <c r="H33" s="182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18" customHeight="1" spans="1:25" x14ac:dyDescent="0.25">
      <c r="A34" s="161"/>
      <c r="B34" s="162"/>
      <c r="C34" s="176"/>
      <c r="D34" s="176"/>
      <c r="E34" s="176"/>
      <c r="F34" s="176"/>
      <c r="G34" s="176"/>
      <c r="H34" s="176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ht="18" customHeight="1" spans="1:25" x14ac:dyDescent="0.25">
      <c r="A35" s="185"/>
      <c r="B35" s="166"/>
      <c r="C35" s="186"/>
      <c r="D35" s="164"/>
      <c r="E35" s="164"/>
      <c r="F35" s="164"/>
      <c r="G35" s="164"/>
      <c r="H35" s="16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ht="18" customHeight="1" spans="1:25" x14ac:dyDescent="0.25">
      <c r="A36" s="187"/>
      <c r="B36" s="166"/>
      <c r="C36" s="180"/>
      <c r="D36" s="181"/>
      <c r="E36" s="181"/>
      <c r="F36" s="181"/>
      <c r="G36" s="181"/>
      <c r="H36" s="182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ht="18" customHeight="1" spans="1:25" x14ac:dyDescent="0.25">
      <c r="A37" s="188"/>
      <c r="B37" s="168"/>
      <c r="C37" s="169"/>
      <c r="D37" s="170"/>
      <c r="E37" s="170"/>
      <c r="F37" s="170"/>
      <c r="G37" s="170"/>
      <c r="H37" s="171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ht="18" customHeight="1" hidden="1" spans="1:25" x14ac:dyDescent="0.25">
      <c r="A38" s="189"/>
      <c r="B38" s="59"/>
      <c r="C38" s="190"/>
      <c r="D38" s="191"/>
      <c r="E38" s="191"/>
      <c r="F38" s="191"/>
      <c r="G38" s="191"/>
      <c r="H38" s="192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ht="18" customHeight="1" hidden="1" spans="1:25" x14ac:dyDescent="0.25">
      <c r="A39" s="187"/>
      <c r="B39" s="166"/>
      <c r="C39" s="163"/>
      <c r="D39" s="164"/>
      <c r="E39" s="164"/>
      <c r="F39" s="164"/>
      <c r="G39" s="164"/>
      <c r="H39" s="16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ht="18" customHeight="1" hidden="1" spans="1:25" x14ac:dyDescent="0.25">
      <c r="A40" s="187"/>
      <c r="B40" s="166"/>
      <c r="C40" s="163"/>
      <c r="D40" s="164"/>
      <c r="E40" s="164"/>
      <c r="F40" s="164"/>
      <c r="G40" s="164"/>
      <c r="H40" s="16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ht="18" customHeight="1" hidden="1" spans="1:25" x14ac:dyDescent="0.25">
      <c r="A41" s="161"/>
      <c r="B41" s="166"/>
      <c r="C41" s="163"/>
      <c r="D41" s="164"/>
      <c r="E41" s="164"/>
      <c r="F41" s="164"/>
      <c r="G41" s="164"/>
      <c r="H41" s="16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</row>
    <row r="42" ht="18" customHeight="1" hidden="1" spans="1:25" x14ac:dyDescent="0.25">
      <c r="A42" s="161"/>
      <c r="B42" s="59"/>
      <c r="C42" s="163"/>
      <c r="D42" s="164"/>
      <c r="E42" s="164"/>
      <c r="F42" s="164"/>
      <c r="G42" s="164"/>
      <c r="H42" s="16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ht="16.9" customHeight="1" spans="1:25" x14ac:dyDescent="0.25">
      <c r="A43" s="145"/>
      <c r="B43" s="124"/>
      <c r="C43" s="193"/>
      <c r="D43" s="193"/>
      <c r="E43" s="193"/>
      <c r="F43" s="193"/>
      <c r="G43" s="193"/>
      <c r="H43" s="193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ht="16.9" customHeight="1" spans="1:25" x14ac:dyDescent="0.25">
      <c r="A44" s="145"/>
      <c r="B44" s="124"/>
      <c r="C44" s="193"/>
      <c r="D44" s="193"/>
      <c r="E44" s="193"/>
      <c r="F44" s="193"/>
      <c r="G44" s="193"/>
      <c r="H44" s="193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ht="16.9" customHeight="1" spans="1:25" x14ac:dyDescent="0.25">
      <c r="A45" s="194"/>
      <c r="B45" s="194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spans="1:25" x14ac:dyDescent="0.25">
      <c r="A46" s="195" t="s">
        <v>22</v>
      </c>
      <c r="B46" s="196"/>
      <c r="C46" s="10"/>
      <c r="D46" s="10"/>
      <c r="E46" s="10"/>
      <c r="F46" s="145"/>
      <c r="G46" s="197"/>
      <c r="H46" s="16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spans="1:25" x14ac:dyDescent="0.25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spans="1:25" x14ac:dyDescent="0.25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spans="1:25" x14ac:dyDescent="0.25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spans="1:25" x14ac:dyDescent="0.25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spans="1:25" x14ac:dyDescent="0.25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90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45" customWidth="1"/>
    <col min="2" max="3" width="6.625" style="145" customWidth="1"/>
    <col min="4" max="6" width="9.125" style="145" customWidth="1"/>
    <col min="7" max="7" width="10.125" style="145" customWidth="1"/>
    <col min="8" max="9" width="7.625" style="145" customWidth="1"/>
    <col min="10" max="10" width="14.625" style="145" customWidth="1"/>
    <col min="11" max="12" width="9.625" style="145" customWidth="1"/>
    <col min="13" max="13" width="19.125" style="145" customWidth="1"/>
    <col min="14" max="256" width="9" style="145" customWidth="1"/>
    <col min="257" max="257" width="9.25" style="145" customWidth="1"/>
    <col min="258" max="258" width="7" style="145" customWidth="1"/>
    <col min="259" max="259" width="7.625" style="145" customWidth="1"/>
    <col min="260" max="262" width="9.125" style="145" customWidth="1"/>
    <col min="263" max="263" width="10.125" style="145" customWidth="1"/>
    <col min="264" max="265" width="7.875" style="145" customWidth="1"/>
    <col min="266" max="266" width="15" style="145" customWidth="1"/>
    <col min="267" max="268" width="9.875" style="145" customWidth="1"/>
    <col min="269" max="269" width="18.75" style="145" customWidth="1"/>
    <col min="270" max="512" width="9" style="145" customWidth="1"/>
    <col min="513" max="513" width="9.25" style="145" customWidth="1"/>
    <col min="514" max="514" width="7" style="145" customWidth="1"/>
    <col min="515" max="515" width="7.625" style="145" customWidth="1"/>
    <col min="516" max="518" width="9.125" style="145" customWidth="1"/>
    <col min="519" max="519" width="10.125" style="145" customWidth="1"/>
    <col min="520" max="521" width="7.875" style="145" customWidth="1"/>
    <col min="522" max="522" width="15" style="145" customWidth="1"/>
    <col min="523" max="524" width="9.875" style="145" customWidth="1"/>
    <col min="525" max="525" width="18.75" style="145" customWidth="1"/>
    <col min="526" max="768" width="9" style="145" customWidth="1"/>
    <col min="769" max="769" width="9.25" style="145" customWidth="1"/>
    <col min="770" max="770" width="7" style="145" customWidth="1"/>
    <col min="771" max="771" width="7.625" style="145" customWidth="1"/>
    <col min="772" max="774" width="9.125" style="145" customWidth="1"/>
    <col min="775" max="775" width="10.125" style="145" customWidth="1"/>
    <col min="776" max="777" width="7.875" style="145" customWidth="1"/>
    <col min="778" max="778" width="15" style="145" customWidth="1"/>
    <col min="779" max="780" width="9.875" style="145" customWidth="1"/>
    <col min="781" max="781" width="18.75" style="145" customWidth="1"/>
    <col min="782" max="1024" width="9" style="145" customWidth="1"/>
    <col min="1025" max="1025" width="9.25" style="145" customWidth="1"/>
    <col min="1026" max="1026" width="7" style="145" customWidth="1"/>
    <col min="1027" max="1027" width="7.625" style="145" customWidth="1"/>
    <col min="1028" max="1030" width="9.125" style="145" customWidth="1"/>
    <col min="1031" max="1031" width="10.125" style="145" customWidth="1"/>
    <col min="1032" max="1033" width="7.875" style="145" customWidth="1"/>
    <col min="1034" max="1034" width="15" style="145" customWidth="1"/>
    <col min="1035" max="1036" width="9.875" style="145" customWidth="1"/>
    <col min="1037" max="1037" width="18.75" style="145" customWidth="1"/>
    <col min="1038" max="1280" width="9" style="145" customWidth="1"/>
    <col min="1281" max="1281" width="9.25" style="145" customWidth="1"/>
    <col min="1282" max="1282" width="7" style="145" customWidth="1"/>
    <col min="1283" max="1283" width="7.625" style="145" customWidth="1"/>
    <col min="1284" max="1286" width="9.125" style="145" customWidth="1"/>
    <col min="1287" max="1287" width="10.125" style="145" customWidth="1"/>
    <col min="1288" max="1289" width="7.875" style="145" customWidth="1"/>
    <col min="1290" max="1290" width="15" style="145" customWidth="1"/>
    <col min="1291" max="1292" width="9.875" style="145" customWidth="1"/>
    <col min="1293" max="1293" width="18.75" style="145" customWidth="1"/>
    <col min="1294" max="1536" width="9" style="145" customWidth="1"/>
    <col min="1537" max="1537" width="9.25" style="145" customWidth="1"/>
    <col min="1538" max="1538" width="7" style="145" customWidth="1"/>
    <col min="1539" max="1539" width="7.625" style="145" customWidth="1"/>
    <col min="1540" max="1542" width="9.125" style="145" customWidth="1"/>
    <col min="1543" max="1543" width="10.125" style="145" customWidth="1"/>
    <col min="1544" max="1545" width="7.875" style="145" customWidth="1"/>
    <col min="1546" max="1546" width="15" style="145" customWidth="1"/>
    <col min="1547" max="1548" width="9.875" style="145" customWidth="1"/>
    <col min="1549" max="1549" width="18.75" style="145" customWidth="1"/>
    <col min="1550" max="1792" width="9" style="145" customWidth="1"/>
    <col min="1793" max="1793" width="9.25" style="145" customWidth="1"/>
    <col min="1794" max="1794" width="7" style="145" customWidth="1"/>
    <col min="1795" max="1795" width="7.625" style="145" customWidth="1"/>
    <col min="1796" max="1798" width="9.125" style="145" customWidth="1"/>
    <col min="1799" max="1799" width="10.125" style="145" customWidth="1"/>
    <col min="1800" max="1801" width="7.875" style="145" customWidth="1"/>
    <col min="1802" max="1802" width="15" style="145" customWidth="1"/>
    <col min="1803" max="1804" width="9.875" style="145" customWidth="1"/>
    <col min="1805" max="1805" width="18.75" style="145" customWidth="1"/>
    <col min="1806" max="2048" width="9" style="145" customWidth="1"/>
    <col min="2049" max="2049" width="9.25" style="145" customWidth="1"/>
    <col min="2050" max="2050" width="7" style="145" customWidth="1"/>
    <col min="2051" max="2051" width="7.625" style="145" customWidth="1"/>
    <col min="2052" max="2054" width="9.125" style="145" customWidth="1"/>
    <col min="2055" max="2055" width="10.125" style="145" customWidth="1"/>
    <col min="2056" max="2057" width="7.875" style="145" customWidth="1"/>
    <col min="2058" max="2058" width="15" style="145" customWidth="1"/>
    <col min="2059" max="2060" width="9.875" style="145" customWidth="1"/>
    <col min="2061" max="2061" width="18.75" style="145" customWidth="1"/>
    <col min="2062" max="2304" width="9" style="145" customWidth="1"/>
    <col min="2305" max="2305" width="9.25" style="145" customWidth="1"/>
    <col min="2306" max="2306" width="7" style="145" customWidth="1"/>
    <col min="2307" max="2307" width="7.625" style="145" customWidth="1"/>
    <col min="2308" max="2310" width="9.125" style="145" customWidth="1"/>
    <col min="2311" max="2311" width="10.125" style="145" customWidth="1"/>
    <col min="2312" max="2313" width="7.875" style="145" customWidth="1"/>
    <col min="2314" max="2314" width="15" style="145" customWidth="1"/>
    <col min="2315" max="2316" width="9.875" style="145" customWidth="1"/>
    <col min="2317" max="2317" width="18.75" style="145" customWidth="1"/>
    <col min="2318" max="2560" width="9" style="145" customWidth="1"/>
    <col min="2561" max="2561" width="9.25" style="145" customWidth="1"/>
    <col min="2562" max="2562" width="7" style="145" customWidth="1"/>
    <col min="2563" max="2563" width="7.625" style="145" customWidth="1"/>
    <col min="2564" max="2566" width="9.125" style="145" customWidth="1"/>
    <col min="2567" max="2567" width="10.125" style="145" customWidth="1"/>
    <col min="2568" max="2569" width="7.875" style="145" customWidth="1"/>
    <col min="2570" max="2570" width="15" style="145" customWidth="1"/>
    <col min="2571" max="2572" width="9.875" style="145" customWidth="1"/>
    <col min="2573" max="2573" width="18.75" style="145" customWidth="1"/>
    <col min="2574" max="2816" width="9" style="145" customWidth="1"/>
    <col min="2817" max="2817" width="9.25" style="145" customWidth="1"/>
    <col min="2818" max="2818" width="7" style="145" customWidth="1"/>
    <col min="2819" max="2819" width="7.625" style="145" customWidth="1"/>
    <col min="2820" max="2822" width="9.125" style="145" customWidth="1"/>
    <col min="2823" max="2823" width="10.125" style="145" customWidth="1"/>
    <col min="2824" max="2825" width="7.875" style="145" customWidth="1"/>
    <col min="2826" max="2826" width="15" style="145" customWidth="1"/>
    <col min="2827" max="2828" width="9.875" style="145" customWidth="1"/>
    <col min="2829" max="2829" width="18.75" style="145" customWidth="1"/>
    <col min="2830" max="3072" width="9" style="145" customWidth="1"/>
    <col min="3073" max="3073" width="9.25" style="145" customWidth="1"/>
    <col min="3074" max="3074" width="7" style="145" customWidth="1"/>
    <col min="3075" max="3075" width="7.625" style="145" customWidth="1"/>
    <col min="3076" max="3078" width="9.125" style="145" customWidth="1"/>
    <col min="3079" max="3079" width="10.125" style="145" customWidth="1"/>
    <col min="3080" max="3081" width="7.875" style="145" customWidth="1"/>
    <col min="3082" max="3082" width="15" style="145" customWidth="1"/>
    <col min="3083" max="3084" width="9.875" style="145" customWidth="1"/>
    <col min="3085" max="3085" width="18.75" style="145" customWidth="1"/>
    <col min="3086" max="3328" width="9" style="145" customWidth="1"/>
    <col min="3329" max="3329" width="9.25" style="145" customWidth="1"/>
    <col min="3330" max="3330" width="7" style="145" customWidth="1"/>
    <col min="3331" max="3331" width="7.625" style="145" customWidth="1"/>
    <col min="3332" max="3334" width="9.125" style="145" customWidth="1"/>
    <col min="3335" max="3335" width="10.125" style="145" customWidth="1"/>
    <col min="3336" max="3337" width="7.875" style="145" customWidth="1"/>
    <col min="3338" max="3338" width="15" style="145" customWidth="1"/>
    <col min="3339" max="3340" width="9.875" style="145" customWidth="1"/>
    <col min="3341" max="3341" width="18.75" style="145" customWidth="1"/>
    <col min="3342" max="3584" width="9" style="145" customWidth="1"/>
    <col min="3585" max="3585" width="9.25" style="145" customWidth="1"/>
    <col min="3586" max="3586" width="7" style="145" customWidth="1"/>
    <col min="3587" max="3587" width="7.625" style="145" customWidth="1"/>
    <col min="3588" max="3590" width="9.125" style="145" customWidth="1"/>
    <col min="3591" max="3591" width="10.125" style="145" customWidth="1"/>
    <col min="3592" max="3593" width="7.875" style="145" customWidth="1"/>
    <col min="3594" max="3594" width="15" style="145" customWidth="1"/>
    <col min="3595" max="3596" width="9.875" style="145" customWidth="1"/>
    <col min="3597" max="3597" width="18.75" style="145" customWidth="1"/>
    <col min="3598" max="3840" width="9" style="145" customWidth="1"/>
    <col min="3841" max="3841" width="9.25" style="145" customWidth="1"/>
    <col min="3842" max="3842" width="7" style="145" customWidth="1"/>
    <col min="3843" max="3843" width="7.625" style="145" customWidth="1"/>
    <col min="3844" max="3846" width="9.125" style="145" customWidth="1"/>
    <col min="3847" max="3847" width="10.125" style="145" customWidth="1"/>
    <col min="3848" max="3849" width="7.875" style="145" customWidth="1"/>
    <col min="3850" max="3850" width="15" style="145" customWidth="1"/>
    <col min="3851" max="3852" width="9.875" style="145" customWidth="1"/>
    <col min="3853" max="3853" width="18.75" style="145" customWidth="1"/>
    <col min="3854" max="4096" width="9" style="145" customWidth="1"/>
    <col min="4097" max="4097" width="9.25" style="145" customWidth="1"/>
    <col min="4098" max="4098" width="7" style="145" customWidth="1"/>
    <col min="4099" max="4099" width="7.625" style="145" customWidth="1"/>
    <col min="4100" max="4102" width="9.125" style="145" customWidth="1"/>
    <col min="4103" max="4103" width="10.125" style="145" customWidth="1"/>
    <col min="4104" max="4105" width="7.875" style="145" customWidth="1"/>
    <col min="4106" max="4106" width="15" style="145" customWidth="1"/>
    <col min="4107" max="4108" width="9.875" style="145" customWidth="1"/>
    <col min="4109" max="4109" width="18.75" style="145" customWidth="1"/>
    <col min="4110" max="4352" width="9" style="145" customWidth="1"/>
    <col min="4353" max="4353" width="9.25" style="145" customWidth="1"/>
    <col min="4354" max="4354" width="7" style="145" customWidth="1"/>
    <col min="4355" max="4355" width="7.625" style="145" customWidth="1"/>
    <col min="4356" max="4358" width="9.125" style="145" customWidth="1"/>
    <col min="4359" max="4359" width="10.125" style="145" customWidth="1"/>
    <col min="4360" max="4361" width="7.875" style="145" customWidth="1"/>
    <col min="4362" max="4362" width="15" style="145" customWidth="1"/>
    <col min="4363" max="4364" width="9.875" style="145" customWidth="1"/>
    <col min="4365" max="4365" width="18.75" style="145" customWidth="1"/>
    <col min="4366" max="4608" width="9" style="145" customWidth="1"/>
    <col min="4609" max="4609" width="9.25" style="145" customWidth="1"/>
    <col min="4610" max="4610" width="7" style="145" customWidth="1"/>
    <col min="4611" max="4611" width="7.625" style="145" customWidth="1"/>
    <col min="4612" max="4614" width="9.125" style="145" customWidth="1"/>
    <col min="4615" max="4615" width="10.125" style="145" customWidth="1"/>
    <col min="4616" max="4617" width="7.875" style="145" customWidth="1"/>
    <col min="4618" max="4618" width="15" style="145" customWidth="1"/>
    <col min="4619" max="4620" width="9.875" style="145" customWidth="1"/>
    <col min="4621" max="4621" width="18.75" style="145" customWidth="1"/>
    <col min="4622" max="4864" width="9" style="145" customWidth="1"/>
    <col min="4865" max="4865" width="9.25" style="145" customWidth="1"/>
    <col min="4866" max="4866" width="7" style="145" customWidth="1"/>
    <col min="4867" max="4867" width="7.625" style="145" customWidth="1"/>
    <col min="4868" max="4870" width="9.125" style="145" customWidth="1"/>
    <col min="4871" max="4871" width="10.125" style="145" customWidth="1"/>
    <col min="4872" max="4873" width="7.875" style="145" customWidth="1"/>
    <col min="4874" max="4874" width="15" style="145" customWidth="1"/>
    <col min="4875" max="4876" width="9.875" style="145" customWidth="1"/>
    <col min="4877" max="4877" width="18.75" style="145" customWidth="1"/>
    <col min="4878" max="5120" width="9" style="145" customWidth="1"/>
    <col min="5121" max="5121" width="9.25" style="145" customWidth="1"/>
    <col min="5122" max="5122" width="7" style="145" customWidth="1"/>
    <col min="5123" max="5123" width="7.625" style="145" customWidth="1"/>
    <col min="5124" max="5126" width="9.125" style="145" customWidth="1"/>
    <col min="5127" max="5127" width="10.125" style="145" customWidth="1"/>
    <col min="5128" max="5129" width="7.875" style="145" customWidth="1"/>
    <col min="5130" max="5130" width="15" style="145" customWidth="1"/>
    <col min="5131" max="5132" width="9.875" style="145" customWidth="1"/>
    <col min="5133" max="5133" width="18.75" style="145" customWidth="1"/>
    <col min="5134" max="5376" width="9" style="145" customWidth="1"/>
    <col min="5377" max="5377" width="9.25" style="145" customWidth="1"/>
    <col min="5378" max="5378" width="7" style="145" customWidth="1"/>
    <col min="5379" max="5379" width="7.625" style="145" customWidth="1"/>
    <col min="5380" max="5382" width="9.125" style="145" customWidth="1"/>
    <col min="5383" max="5383" width="10.125" style="145" customWidth="1"/>
    <col min="5384" max="5385" width="7.875" style="145" customWidth="1"/>
    <col min="5386" max="5386" width="15" style="145" customWidth="1"/>
    <col min="5387" max="5388" width="9.875" style="145" customWidth="1"/>
    <col min="5389" max="5389" width="18.75" style="145" customWidth="1"/>
    <col min="5390" max="5632" width="9" style="145" customWidth="1"/>
    <col min="5633" max="5633" width="9.25" style="145" customWidth="1"/>
    <col min="5634" max="5634" width="7" style="145" customWidth="1"/>
    <col min="5635" max="5635" width="7.625" style="145" customWidth="1"/>
    <col min="5636" max="5638" width="9.125" style="145" customWidth="1"/>
    <col min="5639" max="5639" width="10.125" style="145" customWidth="1"/>
    <col min="5640" max="5641" width="7.875" style="145" customWidth="1"/>
    <col min="5642" max="5642" width="15" style="145" customWidth="1"/>
    <col min="5643" max="5644" width="9.875" style="145" customWidth="1"/>
    <col min="5645" max="5645" width="18.75" style="145" customWidth="1"/>
    <col min="5646" max="5888" width="9" style="145" customWidth="1"/>
    <col min="5889" max="5889" width="9.25" style="145" customWidth="1"/>
    <col min="5890" max="5890" width="7" style="145" customWidth="1"/>
    <col min="5891" max="5891" width="7.625" style="145" customWidth="1"/>
    <col min="5892" max="5894" width="9.125" style="145" customWidth="1"/>
    <col min="5895" max="5895" width="10.125" style="145" customWidth="1"/>
    <col min="5896" max="5897" width="7.875" style="145" customWidth="1"/>
    <col min="5898" max="5898" width="15" style="145" customWidth="1"/>
    <col min="5899" max="5900" width="9.875" style="145" customWidth="1"/>
    <col min="5901" max="5901" width="18.75" style="145" customWidth="1"/>
    <col min="5902" max="6144" width="9" style="145" customWidth="1"/>
    <col min="6145" max="6145" width="9.25" style="145" customWidth="1"/>
    <col min="6146" max="6146" width="7" style="145" customWidth="1"/>
    <col min="6147" max="6147" width="7.625" style="145" customWidth="1"/>
    <col min="6148" max="6150" width="9.125" style="145" customWidth="1"/>
    <col min="6151" max="6151" width="10.125" style="145" customWidth="1"/>
    <col min="6152" max="6153" width="7.875" style="145" customWidth="1"/>
    <col min="6154" max="6154" width="15" style="145" customWidth="1"/>
    <col min="6155" max="6156" width="9.875" style="145" customWidth="1"/>
    <col min="6157" max="6157" width="18.75" style="145" customWidth="1"/>
    <col min="6158" max="6400" width="9" style="145" customWidth="1"/>
    <col min="6401" max="6401" width="9.25" style="145" customWidth="1"/>
    <col min="6402" max="6402" width="7" style="145" customWidth="1"/>
    <col min="6403" max="6403" width="7.625" style="145" customWidth="1"/>
    <col min="6404" max="6406" width="9.125" style="145" customWidth="1"/>
    <col min="6407" max="6407" width="10.125" style="145" customWidth="1"/>
    <col min="6408" max="6409" width="7.875" style="145" customWidth="1"/>
    <col min="6410" max="6410" width="15" style="145" customWidth="1"/>
    <col min="6411" max="6412" width="9.875" style="145" customWidth="1"/>
    <col min="6413" max="6413" width="18.75" style="145" customWidth="1"/>
    <col min="6414" max="6656" width="9" style="145" customWidth="1"/>
    <col min="6657" max="6657" width="9.25" style="145" customWidth="1"/>
    <col min="6658" max="6658" width="7" style="145" customWidth="1"/>
    <col min="6659" max="6659" width="7.625" style="145" customWidth="1"/>
    <col min="6660" max="6662" width="9.125" style="145" customWidth="1"/>
    <col min="6663" max="6663" width="10.125" style="145" customWidth="1"/>
    <col min="6664" max="6665" width="7.875" style="145" customWidth="1"/>
    <col min="6666" max="6666" width="15" style="145" customWidth="1"/>
    <col min="6667" max="6668" width="9.875" style="145" customWidth="1"/>
    <col min="6669" max="6669" width="18.75" style="145" customWidth="1"/>
    <col min="6670" max="6912" width="9" style="145" customWidth="1"/>
    <col min="6913" max="6913" width="9.25" style="145" customWidth="1"/>
    <col min="6914" max="6914" width="7" style="145" customWidth="1"/>
    <col min="6915" max="6915" width="7.625" style="145" customWidth="1"/>
    <col min="6916" max="6918" width="9.125" style="145" customWidth="1"/>
    <col min="6919" max="6919" width="10.125" style="145" customWidth="1"/>
    <col min="6920" max="6921" width="7.875" style="145" customWidth="1"/>
    <col min="6922" max="6922" width="15" style="145" customWidth="1"/>
    <col min="6923" max="6924" width="9.875" style="145" customWidth="1"/>
    <col min="6925" max="6925" width="18.75" style="145" customWidth="1"/>
    <col min="6926" max="7168" width="9" style="145" customWidth="1"/>
    <col min="7169" max="7169" width="9.25" style="145" customWidth="1"/>
    <col min="7170" max="7170" width="7" style="145" customWidth="1"/>
    <col min="7171" max="7171" width="7.625" style="145" customWidth="1"/>
    <col min="7172" max="7174" width="9.125" style="145" customWidth="1"/>
    <col min="7175" max="7175" width="10.125" style="145" customWidth="1"/>
    <col min="7176" max="7177" width="7.875" style="145" customWidth="1"/>
    <col min="7178" max="7178" width="15" style="145" customWidth="1"/>
    <col min="7179" max="7180" width="9.875" style="145" customWidth="1"/>
    <col min="7181" max="7181" width="18.75" style="145" customWidth="1"/>
    <col min="7182" max="7424" width="9" style="145" customWidth="1"/>
    <col min="7425" max="7425" width="9.25" style="145" customWidth="1"/>
    <col min="7426" max="7426" width="7" style="145" customWidth="1"/>
    <col min="7427" max="7427" width="7.625" style="145" customWidth="1"/>
    <col min="7428" max="7430" width="9.125" style="145" customWidth="1"/>
    <col min="7431" max="7431" width="10.125" style="145" customWidth="1"/>
    <col min="7432" max="7433" width="7.875" style="145" customWidth="1"/>
    <col min="7434" max="7434" width="15" style="145" customWidth="1"/>
    <col min="7435" max="7436" width="9.875" style="145" customWidth="1"/>
    <col min="7437" max="7437" width="18.75" style="145" customWidth="1"/>
    <col min="7438" max="7680" width="9" style="145" customWidth="1"/>
    <col min="7681" max="7681" width="9.25" style="145" customWidth="1"/>
    <col min="7682" max="7682" width="7" style="145" customWidth="1"/>
    <col min="7683" max="7683" width="7.625" style="145" customWidth="1"/>
    <col min="7684" max="7686" width="9.125" style="145" customWidth="1"/>
    <col min="7687" max="7687" width="10.125" style="145" customWidth="1"/>
    <col min="7688" max="7689" width="7.875" style="145" customWidth="1"/>
    <col min="7690" max="7690" width="15" style="145" customWidth="1"/>
    <col min="7691" max="7692" width="9.875" style="145" customWidth="1"/>
    <col min="7693" max="7693" width="18.75" style="145" customWidth="1"/>
    <col min="7694" max="7936" width="9" style="145" customWidth="1"/>
    <col min="7937" max="7937" width="9.25" style="145" customWidth="1"/>
    <col min="7938" max="7938" width="7" style="145" customWidth="1"/>
    <col min="7939" max="7939" width="7.625" style="145" customWidth="1"/>
    <col min="7940" max="7942" width="9.125" style="145" customWidth="1"/>
    <col min="7943" max="7943" width="10.125" style="145" customWidth="1"/>
    <col min="7944" max="7945" width="7.875" style="145" customWidth="1"/>
    <col min="7946" max="7946" width="15" style="145" customWidth="1"/>
    <col min="7947" max="7948" width="9.875" style="145" customWidth="1"/>
    <col min="7949" max="7949" width="18.75" style="145" customWidth="1"/>
    <col min="7950" max="8192" width="9" style="145" customWidth="1"/>
    <col min="8193" max="8193" width="9.25" style="145" customWidth="1"/>
    <col min="8194" max="8194" width="7" style="145" customWidth="1"/>
    <col min="8195" max="8195" width="7.625" style="145" customWidth="1"/>
    <col min="8196" max="8198" width="9.125" style="145" customWidth="1"/>
    <col min="8199" max="8199" width="10.125" style="145" customWidth="1"/>
    <col min="8200" max="8201" width="7.875" style="145" customWidth="1"/>
    <col min="8202" max="8202" width="15" style="145" customWidth="1"/>
    <col min="8203" max="8204" width="9.875" style="145" customWidth="1"/>
    <col min="8205" max="8205" width="18.75" style="145" customWidth="1"/>
    <col min="8206" max="8448" width="9" style="145" customWidth="1"/>
    <col min="8449" max="8449" width="9.25" style="145" customWidth="1"/>
    <col min="8450" max="8450" width="7" style="145" customWidth="1"/>
    <col min="8451" max="8451" width="7.625" style="145" customWidth="1"/>
    <col min="8452" max="8454" width="9.125" style="145" customWidth="1"/>
    <col min="8455" max="8455" width="10.125" style="145" customWidth="1"/>
    <col min="8456" max="8457" width="7.875" style="145" customWidth="1"/>
    <col min="8458" max="8458" width="15" style="145" customWidth="1"/>
    <col min="8459" max="8460" width="9.875" style="145" customWidth="1"/>
    <col min="8461" max="8461" width="18.75" style="145" customWidth="1"/>
    <col min="8462" max="8704" width="9" style="145" customWidth="1"/>
    <col min="8705" max="8705" width="9.25" style="145" customWidth="1"/>
    <col min="8706" max="8706" width="7" style="145" customWidth="1"/>
    <col min="8707" max="8707" width="7.625" style="145" customWidth="1"/>
    <col min="8708" max="8710" width="9.125" style="145" customWidth="1"/>
    <col min="8711" max="8711" width="10.125" style="145" customWidth="1"/>
    <col min="8712" max="8713" width="7.875" style="145" customWidth="1"/>
    <col min="8714" max="8714" width="15" style="145" customWidth="1"/>
    <col min="8715" max="8716" width="9.875" style="145" customWidth="1"/>
    <col min="8717" max="8717" width="18.75" style="145" customWidth="1"/>
    <col min="8718" max="8960" width="9" style="145" customWidth="1"/>
    <col min="8961" max="8961" width="9.25" style="145" customWidth="1"/>
    <col min="8962" max="8962" width="7" style="145" customWidth="1"/>
    <col min="8963" max="8963" width="7.625" style="145" customWidth="1"/>
    <col min="8964" max="8966" width="9.125" style="145" customWidth="1"/>
    <col min="8967" max="8967" width="10.125" style="145" customWidth="1"/>
    <col min="8968" max="8969" width="7.875" style="145" customWidth="1"/>
    <col min="8970" max="8970" width="15" style="145" customWidth="1"/>
    <col min="8971" max="8972" width="9.875" style="145" customWidth="1"/>
    <col min="8973" max="8973" width="18.75" style="145" customWidth="1"/>
    <col min="8974" max="9216" width="9" style="145" customWidth="1"/>
    <col min="9217" max="9217" width="9.25" style="145" customWidth="1"/>
    <col min="9218" max="9218" width="7" style="145" customWidth="1"/>
    <col min="9219" max="9219" width="7.625" style="145" customWidth="1"/>
    <col min="9220" max="9222" width="9.125" style="145" customWidth="1"/>
    <col min="9223" max="9223" width="10.125" style="145" customWidth="1"/>
    <col min="9224" max="9225" width="7.875" style="145" customWidth="1"/>
    <col min="9226" max="9226" width="15" style="145" customWidth="1"/>
    <col min="9227" max="9228" width="9.875" style="145" customWidth="1"/>
    <col min="9229" max="9229" width="18.75" style="145" customWidth="1"/>
    <col min="9230" max="9472" width="9" style="145" customWidth="1"/>
    <col min="9473" max="9473" width="9.25" style="145" customWidth="1"/>
    <col min="9474" max="9474" width="7" style="145" customWidth="1"/>
    <col min="9475" max="9475" width="7.625" style="145" customWidth="1"/>
    <col min="9476" max="9478" width="9.125" style="145" customWidth="1"/>
    <col min="9479" max="9479" width="10.125" style="145" customWidth="1"/>
    <col min="9480" max="9481" width="7.875" style="145" customWidth="1"/>
    <col min="9482" max="9482" width="15" style="145" customWidth="1"/>
    <col min="9483" max="9484" width="9.875" style="145" customWidth="1"/>
    <col min="9485" max="9485" width="18.75" style="145" customWidth="1"/>
    <col min="9486" max="9728" width="9" style="145" customWidth="1"/>
    <col min="9729" max="9729" width="9.25" style="145" customWidth="1"/>
    <col min="9730" max="9730" width="7" style="145" customWidth="1"/>
    <col min="9731" max="9731" width="7.625" style="145" customWidth="1"/>
    <col min="9732" max="9734" width="9.125" style="145" customWidth="1"/>
    <col min="9735" max="9735" width="10.125" style="145" customWidth="1"/>
    <col min="9736" max="9737" width="7.875" style="145" customWidth="1"/>
    <col min="9738" max="9738" width="15" style="145" customWidth="1"/>
    <col min="9739" max="9740" width="9.875" style="145" customWidth="1"/>
    <col min="9741" max="9741" width="18.75" style="145" customWidth="1"/>
    <col min="9742" max="9984" width="9" style="145" customWidth="1"/>
    <col min="9985" max="9985" width="9.25" style="145" customWidth="1"/>
    <col min="9986" max="9986" width="7" style="145" customWidth="1"/>
    <col min="9987" max="9987" width="7.625" style="145" customWidth="1"/>
    <col min="9988" max="9990" width="9.125" style="145" customWidth="1"/>
    <col min="9991" max="9991" width="10.125" style="145" customWidth="1"/>
    <col min="9992" max="9993" width="7.875" style="145" customWidth="1"/>
    <col min="9994" max="9994" width="15" style="145" customWidth="1"/>
    <col min="9995" max="9996" width="9.875" style="145" customWidth="1"/>
    <col min="9997" max="9997" width="18.75" style="145" customWidth="1"/>
    <col min="9998" max="10240" width="9" style="145" customWidth="1"/>
    <col min="10241" max="10241" width="9.25" style="145" customWidth="1"/>
    <col min="10242" max="10242" width="7" style="145" customWidth="1"/>
    <col min="10243" max="10243" width="7.625" style="145" customWidth="1"/>
    <col min="10244" max="10246" width="9.125" style="145" customWidth="1"/>
    <col min="10247" max="10247" width="10.125" style="145" customWidth="1"/>
    <col min="10248" max="10249" width="7.875" style="145" customWidth="1"/>
    <col min="10250" max="10250" width="15" style="145" customWidth="1"/>
    <col min="10251" max="10252" width="9.875" style="145" customWidth="1"/>
    <col min="10253" max="10253" width="18.75" style="145" customWidth="1"/>
    <col min="10254" max="10496" width="9" style="145" customWidth="1"/>
    <col min="10497" max="10497" width="9.25" style="145" customWidth="1"/>
    <col min="10498" max="10498" width="7" style="145" customWidth="1"/>
    <col min="10499" max="10499" width="7.625" style="145" customWidth="1"/>
    <col min="10500" max="10502" width="9.125" style="145" customWidth="1"/>
    <col min="10503" max="10503" width="10.125" style="145" customWidth="1"/>
    <col min="10504" max="10505" width="7.875" style="145" customWidth="1"/>
    <col min="10506" max="10506" width="15" style="145" customWidth="1"/>
    <col min="10507" max="10508" width="9.875" style="145" customWidth="1"/>
    <col min="10509" max="10509" width="18.75" style="145" customWidth="1"/>
    <col min="10510" max="10752" width="9" style="145" customWidth="1"/>
    <col min="10753" max="10753" width="9.25" style="145" customWidth="1"/>
    <col min="10754" max="10754" width="7" style="145" customWidth="1"/>
    <col min="10755" max="10755" width="7.625" style="145" customWidth="1"/>
    <col min="10756" max="10758" width="9.125" style="145" customWidth="1"/>
    <col min="10759" max="10759" width="10.125" style="145" customWidth="1"/>
    <col min="10760" max="10761" width="7.875" style="145" customWidth="1"/>
    <col min="10762" max="10762" width="15" style="145" customWidth="1"/>
    <col min="10763" max="10764" width="9.875" style="145" customWidth="1"/>
    <col min="10765" max="10765" width="18.75" style="145" customWidth="1"/>
    <col min="10766" max="11008" width="9" style="145" customWidth="1"/>
    <col min="11009" max="11009" width="9.25" style="145" customWidth="1"/>
    <col min="11010" max="11010" width="7" style="145" customWidth="1"/>
    <col min="11011" max="11011" width="7.625" style="145" customWidth="1"/>
    <col min="11012" max="11014" width="9.125" style="145" customWidth="1"/>
    <col min="11015" max="11015" width="10.125" style="145" customWidth="1"/>
    <col min="11016" max="11017" width="7.875" style="145" customWidth="1"/>
    <col min="11018" max="11018" width="15" style="145" customWidth="1"/>
    <col min="11019" max="11020" width="9.875" style="145" customWidth="1"/>
    <col min="11021" max="11021" width="18.75" style="145" customWidth="1"/>
    <col min="11022" max="11264" width="9" style="145" customWidth="1"/>
    <col min="11265" max="11265" width="9.25" style="145" customWidth="1"/>
    <col min="11266" max="11266" width="7" style="145" customWidth="1"/>
    <col min="11267" max="11267" width="7.625" style="145" customWidth="1"/>
    <col min="11268" max="11270" width="9.125" style="145" customWidth="1"/>
    <col min="11271" max="11271" width="10.125" style="145" customWidth="1"/>
    <col min="11272" max="11273" width="7.875" style="145" customWidth="1"/>
    <col min="11274" max="11274" width="15" style="145" customWidth="1"/>
    <col min="11275" max="11276" width="9.875" style="145" customWidth="1"/>
    <col min="11277" max="11277" width="18.75" style="145" customWidth="1"/>
    <col min="11278" max="11520" width="9" style="145" customWidth="1"/>
    <col min="11521" max="11521" width="9.25" style="145" customWidth="1"/>
    <col min="11522" max="11522" width="7" style="145" customWidth="1"/>
    <col min="11523" max="11523" width="7.625" style="145" customWidth="1"/>
    <col min="11524" max="11526" width="9.125" style="145" customWidth="1"/>
    <col min="11527" max="11527" width="10.125" style="145" customWidth="1"/>
    <col min="11528" max="11529" width="7.875" style="145" customWidth="1"/>
    <col min="11530" max="11530" width="15" style="145" customWidth="1"/>
    <col min="11531" max="11532" width="9.875" style="145" customWidth="1"/>
    <col min="11533" max="11533" width="18.75" style="145" customWidth="1"/>
    <col min="11534" max="11776" width="9" style="145" customWidth="1"/>
    <col min="11777" max="11777" width="9.25" style="145" customWidth="1"/>
    <col min="11778" max="11778" width="7" style="145" customWidth="1"/>
    <col min="11779" max="11779" width="7.625" style="145" customWidth="1"/>
    <col min="11780" max="11782" width="9.125" style="145" customWidth="1"/>
    <col min="11783" max="11783" width="10.125" style="145" customWidth="1"/>
    <col min="11784" max="11785" width="7.875" style="145" customWidth="1"/>
    <col min="11786" max="11786" width="15" style="145" customWidth="1"/>
    <col min="11787" max="11788" width="9.875" style="145" customWidth="1"/>
    <col min="11789" max="11789" width="18.75" style="145" customWidth="1"/>
    <col min="11790" max="12032" width="9" style="145" customWidth="1"/>
    <col min="12033" max="12033" width="9.25" style="145" customWidth="1"/>
    <col min="12034" max="12034" width="7" style="145" customWidth="1"/>
    <col min="12035" max="12035" width="7.625" style="145" customWidth="1"/>
    <col min="12036" max="12038" width="9.125" style="145" customWidth="1"/>
    <col min="12039" max="12039" width="10.125" style="145" customWidth="1"/>
    <col min="12040" max="12041" width="7.875" style="145" customWidth="1"/>
    <col min="12042" max="12042" width="15" style="145" customWidth="1"/>
    <col min="12043" max="12044" width="9.875" style="145" customWidth="1"/>
    <col min="12045" max="12045" width="18.75" style="145" customWidth="1"/>
    <col min="12046" max="12288" width="9" style="145" customWidth="1"/>
    <col min="12289" max="12289" width="9.25" style="145" customWidth="1"/>
    <col min="12290" max="12290" width="7" style="145" customWidth="1"/>
    <col min="12291" max="12291" width="7.625" style="145" customWidth="1"/>
    <col min="12292" max="12294" width="9.125" style="145" customWidth="1"/>
    <col min="12295" max="12295" width="10.125" style="145" customWidth="1"/>
    <col min="12296" max="12297" width="7.875" style="145" customWidth="1"/>
    <col min="12298" max="12298" width="15" style="145" customWidth="1"/>
    <col min="12299" max="12300" width="9.875" style="145" customWidth="1"/>
    <col min="12301" max="12301" width="18.75" style="145" customWidth="1"/>
    <col min="12302" max="12544" width="9" style="145" customWidth="1"/>
    <col min="12545" max="12545" width="9.25" style="145" customWidth="1"/>
    <col min="12546" max="12546" width="7" style="145" customWidth="1"/>
    <col min="12547" max="12547" width="7.625" style="145" customWidth="1"/>
    <col min="12548" max="12550" width="9.125" style="145" customWidth="1"/>
    <col min="12551" max="12551" width="10.125" style="145" customWidth="1"/>
    <col min="12552" max="12553" width="7.875" style="145" customWidth="1"/>
    <col min="12554" max="12554" width="15" style="145" customWidth="1"/>
    <col min="12555" max="12556" width="9.875" style="145" customWidth="1"/>
    <col min="12557" max="12557" width="18.75" style="145" customWidth="1"/>
    <col min="12558" max="12800" width="9" style="145" customWidth="1"/>
    <col min="12801" max="12801" width="9.25" style="145" customWidth="1"/>
    <col min="12802" max="12802" width="7" style="145" customWidth="1"/>
    <col min="12803" max="12803" width="7.625" style="145" customWidth="1"/>
    <col min="12804" max="12806" width="9.125" style="145" customWidth="1"/>
    <col min="12807" max="12807" width="10.125" style="145" customWidth="1"/>
    <col min="12808" max="12809" width="7.875" style="145" customWidth="1"/>
    <col min="12810" max="12810" width="15" style="145" customWidth="1"/>
    <col min="12811" max="12812" width="9.875" style="145" customWidth="1"/>
    <col min="12813" max="12813" width="18.75" style="145" customWidth="1"/>
    <col min="12814" max="13056" width="9" style="145" customWidth="1"/>
    <col min="13057" max="13057" width="9.25" style="145" customWidth="1"/>
    <col min="13058" max="13058" width="7" style="145" customWidth="1"/>
    <col min="13059" max="13059" width="7.625" style="145" customWidth="1"/>
    <col min="13060" max="13062" width="9.125" style="145" customWidth="1"/>
    <col min="13063" max="13063" width="10.125" style="145" customWidth="1"/>
    <col min="13064" max="13065" width="7.875" style="145" customWidth="1"/>
    <col min="13066" max="13066" width="15" style="145" customWidth="1"/>
    <col min="13067" max="13068" width="9.875" style="145" customWidth="1"/>
    <col min="13069" max="13069" width="18.75" style="145" customWidth="1"/>
    <col min="13070" max="13312" width="9" style="145" customWidth="1"/>
    <col min="13313" max="13313" width="9.25" style="145" customWidth="1"/>
    <col min="13314" max="13314" width="7" style="145" customWidth="1"/>
    <col min="13315" max="13315" width="7.625" style="145" customWidth="1"/>
    <col min="13316" max="13318" width="9.125" style="145" customWidth="1"/>
    <col min="13319" max="13319" width="10.125" style="145" customWidth="1"/>
    <col min="13320" max="13321" width="7.875" style="145" customWidth="1"/>
    <col min="13322" max="13322" width="15" style="145" customWidth="1"/>
    <col min="13323" max="13324" width="9.875" style="145" customWidth="1"/>
    <col min="13325" max="13325" width="18.75" style="145" customWidth="1"/>
    <col min="13326" max="13568" width="9" style="145" customWidth="1"/>
    <col min="13569" max="13569" width="9.25" style="145" customWidth="1"/>
    <col min="13570" max="13570" width="7" style="145" customWidth="1"/>
    <col min="13571" max="13571" width="7.625" style="145" customWidth="1"/>
    <col min="13572" max="13574" width="9.125" style="145" customWidth="1"/>
    <col min="13575" max="13575" width="10.125" style="145" customWidth="1"/>
    <col min="13576" max="13577" width="7.875" style="145" customWidth="1"/>
    <col min="13578" max="13578" width="15" style="145" customWidth="1"/>
    <col min="13579" max="13580" width="9.875" style="145" customWidth="1"/>
    <col min="13581" max="13581" width="18.75" style="145" customWidth="1"/>
    <col min="13582" max="13824" width="9" style="145" customWidth="1"/>
    <col min="13825" max="13825" width="9.25" style="145" customWidth="1"/>
    <col min="13826" max="13826" width="7" style="145" customWidth="1"/>
    <col min="13827" max="13827" width="7.625" style="145" customWidth="1"/>
    <col min="13828" max="13830" width="9.125" style="145" customWidth="1"/>
    <col min="13831" max="13831" width="10.125" style="145" customWidth="1"/>
    <col min="13832" max="13833" width="7.875" style="145" customWidth="1"/>
    <col min="13834" max="13834" width="15" style="145" customWidth="1"/>
    <col min="13835" max="13836" width="9.875" style="145" customWidth="1"/>
    <col min="13837" max="13837" width="18.75" style="145" customWidth="1"/>
    <col min="13838" max="14080" width="9" style="145" customWidth="1"/>
    <col min="14081" max="14081" width="9.25" style="145" customWidth="1"/>
    <col min="14082" max="14082" width="7" style="145" customWidth="1"/>
    <col min="14083" max="14083" width="7.625" style="145" customWidth="1"/>
    <col min="14084" max="14086" width="9.125" style="145" customWidth="1"/>
    <col min="14087" max="14087" width="10.125" style="145" customWidth="1"/>
    <col min="14088" max="14089" width="7.875" style="145" customWidth="1"/>
    <col min="14090" max="14090" width="15" style="145" customWidth="1"/>
    <col min="14091" max="14092" width="9.875" style="145" customWidth="1"/>
    <col min="14093" max="14093" width="18.75" style="145" customWidth="1"/>
    <col min="14094" max="14336" width="9" style="145" customWidth="1"/>
    <col min="14337" max="14337" width="9.25" style="145" customWidth="1"/>
    <col min="14338" max="14338" width="7" style="145" customWidth="1"/>
    <col min="14339" max="14339" width="7.625" style="145" customWidth="1"/>
    <col min="14340" max="14342" width="9.125" style="145" customWidth="1"/>
    <col min="14343" max="14343" width="10.125" style="145" customWidth="1"/>
    <col min="14344" max="14345" width="7.875" style="145" customWidth="1"/>
    <col min="14346" max="14346" width="15" style="145" customWidth="1"/>
    <col min="14347" max="14348" width="9.875" style="145" customWidth="1"/>
    <col min="14349" max="14349" width="18.75" style="145" customWidth="1"/>
    <col min="14350" max="14592" width="9" style="145" customWidth="1"/>
    <col min="14593" max="14593" width="9.25" style="145" customWidth="1"/>
    <col min="14594" max="14594" width="7" style="145" customWidth="1"/>
    <col min="14595" max="14595" width="7.625" style="145" customWidth="1"/>
    <col min="14596" max="14598" width="9.125" style="145" customWidth="1"/>
    <col min="14599" max="14599" width="10.125" style="145" customWidth="1"/>
    <col min="14600" max="14601" width="7.875" style="145" customWidth="1"/>
    <col min="14602" max="14602" width="15" style="145" customWidth="1"/>
    <col min="14603" max="14604" width="9.875" style="145" customWidth="1"/>
    <col min="14605" max="14605" width="18.75" style="145" customWidth="1"/>
    <col min="14606" max="14848" width="9" style="145" customWidth="1"/>
    <col min="14849" max="14849" width="9.25" style="145" customWidth="1"/>
    <col min="14850" max="14850" width="7" style="145" customWidth="1"/>
    <col min="14851" max="14851" width="7.625" style="145" customWidth="1"/>
    <col min="14852" max="14854" width="9.125" style="145" customWidth="1"/>
    <col min="14855" max="14855" width="10.125" style="145" customWidth="1"/>
    <col min="14856" max="14857" width="7.875" style="145" customWidth="1"/>
    <col min="14858" max="14858" width="15" style="145" customWidth="1"/>
    <col min="14859" max="14860" width="9.875" style="145" customWidth="1"/>
    <col min="14861" max="14861" width="18.75" style="145" customWidth="1"/>
    <col min="14862" max="15104" width="9" style="145" customWidth="1"/>
    <col min="15105" max="15105" width="9.25" style="145" customWidth="1"/>
    <col min="15106" max="15106" width="7" style="145" customWidth="1"/>
    <col min="15107" max="15107" width="7.625" style="145" customWidth="1"/>
    <col min="15108" max="15110" width="9.125" style="145" customWidth="1"/>
    <col min="15111" max="15111" width="10.125" style="145" customWidth="1"/>
    <col min="15112" max="15113" width="7.875" style="145" customWidth="1"/>
    <col min="15114" max="15114" width="15" style="145" customWidth="1"/>
    <col min="15115" max="15116" width="9.875" style="145" customWidth="1"/>
    <col min="15117" max="15117" width="18.75" style="145" customWidth="1"/>
    <col min="15118" max="15360" width="9" style="145" customWidth="1"/>
    <col min="15361" max="15361" width="9.25" style="145" customWidth="1"/>
    <col min="15362" max="15362" width="7" style="145" customWidth="1"/>
    <col min="15363" max="15363" width="7.625" style="145" customWidth="1"/>
    <col min="15364" max="15366" width="9.125" style="145" customWidth="1"/>
    <col min="15367" max="15367" width="10.125" style="145" customWidth="1"/>
    <col min="15368" max="15369" width="7.875" style="145" customWidth="1"/>
    <col min="15370" max="15370" width="15" style="145" customWidth="1"/>
    <col min="15371" max="15372" width="9.875" style="145" customWidth="1"/>
    <col min="15373" max="15373" width="18.75" style="145" customWidth="1"/>
    <col min="15374" max="15616" width="9" style="145" customWidth="1"/>
    <col min="15617" max="15617" width="9.25" style="145" customWidth="1"/>
    <col min="15618" max="15618" width="7" style="145" customWidth="1"/>
    <col min="15619" max="15619" width="7.625" style="145" customWidth="1"/>
    <col min="15620" max="15622" width="9.125" style="145" customWidth="1"/>
    <col min="15623" max="15623" width="10.125" style="145" customWidth="1"/>
    <col min="15624" max="15625" width="7.875" style="145" customWidth="1"/>
    <col min="15626" max="15626" width="15" style="145" customWidth="1"/>
    <col min="15627" max="15628" width="9.875" style="145" customWidth="1"/>
    <col min="15629" max="15629" width="18.75" style="145" customWidth="1"/>
    <col min="15630" max="15872" width="9" style="145" customWidth="1"/>
    <col min="15873" max="15873" width="9.25" style="145" customWidth="1"/>
    <col min="15874" max="15874" width="7" style="145" customWidth="1"/>
    <col min="15875" max="15875" width="7.625" style="145" customWidth="1"/>
    <col min="15876" max="15878" width="9.125" style="145" customWidth="1"/>
    <col min="15879" max="15879" width="10.125" style="145" customWidth="1"/>
    <col min="15880" max="15881" width="7.875" style="145" customWidth="1"/>
    <col min="15882" max="15882" width="15" style="145" customWidth="1"/>
    <col min="15883" max="15884" width="9.875" style="145" customWidth="1"/>
    <col min="15885" max="15885" width="18.75" style="145" customWidth="1"/>
    <col min="15886" max="16128" width="9" style="145" customWidth="1"/>
    <col min="16129" max="16129" width="9.25" style="145" customWidth="1"/>
    <col min="16130" max="16130" width="7" style="145" customWidth="1"/>
    <col min="16131" max="16131" width="7.625" style="145" customWidth="1"/>
    <col min="16132" max="16134" width="9.125" style="145" customWidth="1"/>
    <col min="16135" max="16135" width="10.125" style="145" customWidth="1"/>
    <col min="16136" max="16137" width="7.875" style="145" customWidth="1"/>
    <col min="16138" max="16138" width="15" style="145" customWidth="1"/>
    <col min="16139" max="16140" width="9.875" style="145" customWidth="1"/>
    <col min="16141" max="16141" width="18.75" style="145" customWidth="1"/>
    <col min="16142" max="16384" width="9" style="145" customWidth="1"/>
  </cols>
  <sheetData>
    <row r="1" ht="27.95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2" customHeight="1" spans="1:25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9.75" customHeight="1" spans="1:25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0.25" customHeight="1" spans="1:25" x14ac:dyDescent="0.25">
      <c r="A4" s="199" t="s">
        <v>76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ht="10.5" customHeight="1" spans="1:25" x14ac:dyDescent="0.25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spans="1:25" x14ac:dyDescent="0.25">
      <c r="A6" s="145" t="s">
        <v>35</v>
      </c>
      <c r="B6" s="200" t="str">
        <f>'Final Work'!B4</f>
        <v>SAWASDEE RIGEL</v>
      </c>
      <c r="C6" s="145"/>
      <c r="D6" s="145"/>
      <c r="E6" s="145"/>
      <c r="F6" s="145"/>
      <c r="G6" s="145" t="s">
        <v>36</v>
      </c>
      <c r="H6" s="197"/>
      <c r="I6" s="197"/>
      <c r="J6" s="145"/>
      <c r="K6" s="145" t="s">
        <v>37</v>
      </c>
      <c r="L6" s="201"/>
      <c r="M6" s="197"/>
      <c r="N6" s="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ht="5.25" customHeight="1" spans="1:25" x14ac:dyDescent="0.25">
      <c r="A7" s="145"/>
      <c r="B7" s="145"/>
      <c r="C7" s="145"/>
      <c r="D7" s="145"/>
      <c r="E7" s="145"/>
      <c r="F7" s="145"/>
      <c r="G7" s="145"/>
      <c r="H7" s="202"/>
      <c r="I7" s="202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spans="1:25" x14ac:dyDescent="0.25">
      <c r="A8" s="200" t="s">
        <v>77</v>
      </c>
      <c r="B8" s="145" t="s">
        <v>25</v>
      </c>
      <c r="C8" s="291"/>
      <c r="D8" s="291"/>
      <c r="E8" s="145"/>
      <c r="F8" s="145"/>
      <c r="G8" s="145" t="s">
        <v>39</v>
      </c>
      <c r="H8" s="197"/>
      <c r="I8" s="197"/>
      <c r="J8" s="145"/>
      <c r="K8" s="200" t="s">
        <v>40</v>
      </c>
      <c r="L8" s="197"/>
      <c r="M8" s="197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ht="8.25" customHeight="1" spans="1:25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94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4.45" customHeight="1" spans="1:25" x14ac:dyDescent="0.25">
      <c r="A10" s="292" t="s">
        <v>41</v>
      </c>
      <c r="B10" s="204" t="s">
        <v>42</v>
      </c>
      <c r="C10" s="205"/>
      <c r="D10" s="292" t="s">
        <v>43</v>
      </c>
      <c r="E10" s="292"/>
      <c r="F10" s="292"/>
      <c r="G10" s="206" t="s">
        <v>44</v>
      </c>
      <c r="H10" s="277" t="s">
        <v>45</v>
      </c>
      <c r="I10" s="278"/>
      <c r="J10" s="206" t="s">
        <v>78</v>
      </c>
      <c r="K10" s="292" t="s">
        <v>47</v>
      </c>
      <c r="L10" s="292" t="s">
        <v>48</v>
      </c>
      <c r="M10" s="292" t="s">
        <v>49</v>
      </c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ht="14.45" customHeight="1" spans="1:25" x14ac:dyDescent="0.25">
      <c r="A11" s="207"/>
      <c r="B11" s="208"/>
      <c r="C11" s="209"/>
      <c r="D11" s="207"/>
      <c r="E11" s="207"/>
      <c r="F11" s="207"/>
      <c r="G11" s="210" t="s">
        <v>50</v>
      </c>
      <c r="H11" s="279"/>
      <c r="I11" s="281"/>
      <c r="J11" s="210"/>
      <c r="K11" s="207"/>
      <c r="L11" s="207"/>
      <c r="M11" s="207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ht="19.9" customHeight="1" hidden="1" spans="1:25" x14ac:dyDescent="0.25">
      <c r="A12" s="217"/>
      <c r="B12" s="217"/>
      <c r="C12" s="217"/>
      <c r="D12" s="214"/>
      <c r="E12" s="215"/>
      <c r="F12" s="293"/>
      <c r="G12" s="217"/>
      <c r="H12" s="294"/>
      <c r="I12" s="295"/>
      <c r="J12" s="296"/>
      <c r="K12" s="217"/>
      <c r="L12" s="217"/>
      <c r="M12" s="297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ht="30" customHeight="1" hidden="1" spans="1:25" x14ac:dyDescent="0.25">
      <c r="A13" s="221"/>
      <c r="B13" s="212"/>
      <c r="C13" s="213"/>
      <c r="D13" s="212"/>
      <c r="E13" s="224"/>
      <c r="F13" s="298"/>
      <c r="G13" s="223"/>
      <c r="H13" s="226"/>
      <c r="I13" s="227"/>
      <c r="J13" s="228"/>
      <c r="K13" s="223"/>
      <c r="L13" s="223"/>
      <c r="M13" s="299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</row>
    <row r="14" ht="30" customHeight="1" spans="1:25" x14ac:dyDescent="0.25">
      <c r="A14" s="221"/>
      <c r="B14" s="212"/>
      <c r="C14" s="213"/>
      <c r="D14" s="212"/>
      <c r="E14" s="224"/>
      <c r="F14" s="298"/>
      <c r="G14" s="223"/>
      <c r="H14" s="226"/>
      <c r="I14" s="227"/>
      <c r="J14" s="228"/>
      <c r="K14" s="223"/>
      <c r="L14" s="223"/>
      <c r="M14" s="299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30" customHeight="1" hidden="1" spans="1:25" x14ac:dyDescent="0.25">
      <c r="A15" s="221"/>
      <c r="B15" s="212"/>
      <c r="C15" s="213"/>
      <c r="D15" s="212"/>
      <c r="E15" s="224"/>
      <c r="F15" s="298"/>
      <c r="G15" s="223"/>
      <c r="H15" s="226"/>
      <c r="I15" s="227"/>
      <c r="J15" s="228"/>
      <c r="K15" s="223"/>
      <c r="L15" s="223"/>
      <c r="M15" s="299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30" customHeight="1" hidden="1" spans="1:25" x14ac:dyDescent="0.25">
      <c r="A16" s="221"/>
      <c r="B16" s="212"/>
      <c r="C16" s="213"/>
      <c r="D16" s="212"/>
      <c r="E16" s="224"/>
      <c r="F16" s="298"/>
      <c r="G16" s="223"/>
      <c r="H16" s="226"/>
      <c r="I16" s="227"/>
      <c r="J16" s="228"/>
      <c r="K16" s="223"/>
      <c r="L16" s="223"/>
      <c r="M16" s="299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ht="30" customHeight="1" hidden="1" spans="1:25" x14ac:dyDescent="0.25">
      <c r="A17" s="221"/>
      <c r="B17" s="212"/>
      <c r="C17" s="213"/>
      <c r="D17" s="212"/>
      <c r="E17" s="224"/>
      <c r="F17" s="298"/>
      <c r="G17" s="223"/>
      <c r="H17" s="226"/>
      <c r="I17" s="227"/>
      <c r="J17" s="228"/>
      <c r="K17" s="223"/>
      <c r="L17" s="223"/>
      <c r="M17" s="299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ht="30" customHeight="1" spans="1:25" x14ac:dyDescent="0.25">
      <c r="A18" s="221"/>
      <c r="B18" s="212"/>
      <c r="C18" s="213"/>
      <c r="D18" s="212"/>
      <c r="E18" s="224"/>
      <c r="F18" s="298"/>
      <c r="G18" s="223"/>
      <c r="H18" s="226"/>
      <c r="I18" s="227"/>
      <c r="J18" s="228"/>
      <c r="K18" s="223"/>
      <c r="L18" s="223"/>
      <c r="M18" s="299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ht="30" customHeight="1" hidden="1" spans="1:25" x14ac:dyDescent="0.25">
      <c r="A19" s="221"/>
      <c r="B19" s="212"/>
      <c r="C19" s="213"/>
      <c r="D19" s="212"/>
      <c r="E19" s="224"/>
      <c r="F19" s="298"/>
      <c r="G19" s="223"/>
      <c r="H19" s="226"/>
      <c r="I19" s="227"/>
      <c r="J19" s="228"/>
      <c r="K19" s="223"/>
      <c r="L19" s="223"/>
      <c r="M19" s="299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30" customHeight="1" hidden="1" spans="1:25" x14ac:dyDescent="0.25">
      <c r="A20" s="221"/>
      <c r="B20" s="212"/>
      <c r="C20" s="213"/>
      <c r="D20" s="212"/>
      <c r="E20" s="224"/>
      <c r="F20" s="298"/>
      <c r="G20" s="223"/>
      <c r="H20" s="226"/>
      <c r="I20" s="227"/>
      <c r="J20" s="228"/>
      <c r="K20" s="223"/>
      <c r="L20" s="223"/>
      <c r="M20" s="299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30" customHeight="1" hidden="1" spans="1:25" x14ac:dyDescent="0.25">
      <c r="A21" s="221"/>
      <c r="B21" s="212"/>
      <c r="C21" s="213"/>
      <c r="D21" s="212"/>
      <c r="E21" s="224"/>
      <c r="F21" s="298"/>
      <c r="G21" s="223"/>
      <c r="H21" s="226"/>
      <c r="I21" s="227"/>
      <c r="J21" s="228"/>
      <c r="K21" s="223"/>
      <c r="L21" s="223"/>
      <c r="M21" s="299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ht="30" customHeight="1" hidden="1" spans="1:25" x14ac:dyDescent="0.25">
      <c r="A22" s="221"/>
      <c r="B22" s="212"/>
      <c r="C22" s="213"/>
      <c r="D22" s="212"/>
      <c r="E22" s="224"/>
      <c r="F22" s="298"/>
      <c r="G22" s="223"/>
      <c r="H22" s="226"/>
      <c r="I22" s="227"/>
      <c r="J22" s="228"/>
      <c r="K22" s="223"/>
      <c r="L22" s="223"/>
      <c r="M22" s="299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30" customHeight="1" hidden="1" spans="1:25" x14ac:dyDescent="0.25">
      <c r="A23" s="221"/>
      <c r="B23" s="212"/>
      <c r="C23" s="213"/>
      <c r="D23" s="212"/>
      <c r="E23" s="224"/>
      <c r="F23" s="298"/>
      <c r="G23" s="223"/>
      <c r="H23" s="226"/>
      <c r="I23" s="227"/>
      <c r="J23" s="228"/>
      <c r="K23" s="223"/>
      <c r="L23" s="223"/>
      <c r="M23" s="299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30" customHeight="1" hidden="1" spans="1:25" x14ac:dyDescent="0.25">
      <c r="A24" s="221"/>
      <c r="B24" s="212"/>
      <c r="C24" s="213"/>
      <c r="D24" s="212"/>
      <c r="E24" s="224"/>
      <c r="F24" s="298"/>
      <c r="G24" s="223"/>
      <c r="H24" s="226"/>
      <c r="I24" s="227"/>
      <c r="J24" s="228"/>
      <c r="K24" s="223"/>
      <c r="L24" s="223"/>
      <c r="M24" s="299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30" customHeight="1" hidden="1" spans="1:25" x14ac:dyDescent="0.25">
      <c r="A25" s="221"/>
      <c r="B25" s="212"/>
      <c r="C25" s="213"/>
      <c r="D25" s="212"/>
      <c r="E25" s="224"/>
      <c r="F25" s="298"/>
      <c r="G25" s="223"/>
      <c r="H25" s="226"/>
      <c r="I25" s="227"/>
      <c r="J25" s="228"/>
      <c r="K25" s="223"/>
      <c r="L25" s="223"/>
      <c r="M25" s="299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30" customHeight="1" hidden="1" spans="1:25" x14ac:dyDescent="0.25">
      <c r="A26" s="221"/>
      <c r="B26" s="212"/>
      <c r="C26" s="213"/>
      <c r="D26" s="212"/>
      <c r="E26" s="224"/>
      <c r="F26" s="298"/>
      <c r="G26" s="223"/>
      <c r="H26" s="226"/>
      <c r="I26" s="227"/>
      <c r="J26" s="228"/>
      <c r="K26" s="223"/>
      <c r="L26" s="223"/>
      <c r="M26" s="299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30" customHeight="1" hidden="1" spans="1:25" x14ac:dyDescent="0.25">
      <c r="A27" s="221"/>
      <c r="B27" s="212"/>
      <c r="C27" s="213"/>
      <c r="D27" s="212"/>
      <c r="E27" s="224"/>
      <c r="F27" s="298"/>
      <c r="G27" s="223"/>
      <c r="H27" s="226"/>
      <c r="I27" s="227"/>
      <c r="J27" s="228"/>
      <c r="K27" s="223"/>
      <c r="L27" s="223"/>
      <c r="M27" s="299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30" customHeight="1" spans="1:25" x14ac:dyDescent="0.25">
      <c r="A28" s="300"/>
      <c r="B28" s="300"/>
      <c r="C28" s="300"/>
      <c r="D28" s="247" t="s">
        <v>51</v>
      </c>
      <c r="E28" s="248"/>
      <c r="F28" s="249"/>
      <c r="G28" s="250" t="s">
        <v>52</v>
      </c>
      <c r="H28" s="253">
        <f>SUM(H14:I18)</f>
        <v>375</v>
      </c>
      <c r="I28" s="253"/>
      <c r="J28" s="253">
        <f>SUM(J14:J18)</f>
        <v>375</v>
      </c>
      <c r="K28" s="250" t="s">
        <v>53</v>
      </c>
      <c r="L28" s="250" t="s">
        <v>53</v>
      </c>
      <c r="M28" s="254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30" customHeight="1" spans="1:25" x14ac:dyDescent="0.25">
      <c r="A29" s="223"/>
      <c r="B29" s="223"/>
      <c r="C29" s="223"/>
      <c r="D29" s="301"/>
      <c r="E29" s="302"/>
      <c r="F29" s="303"/>
      <c r="G29" s="304"/>
      <c r="H29" s="305"/>
      <c r="I29" s="305"/>
      <c r="J29" s="305"/>
      <c r="K29" s="304"/>
      <c r="L29" s="304"/>
      <c r="M29" s="306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30" customHeight="1" spans="1:25" x14ac:dyDescent="0.25">
      <c r="A30" s="221"/>
      <c r="B30" s="221"/>
      <c r="C30" s="221"/>
      <c r="D30" s="307"/>
      <c r="E30" s="308"/>
      <c r="F30" s="309"/>
      <c r="G30" s="310"/>
      <c r="H30" s="311"/>
      <c r="I30" s="311"/>
      <c r="J30" s="311"/>
      <c r="K30" s="310"/>
      <c r="L30" s="310"/>
      <c r="M30" s="312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30" customHeight="1" spans="1:25" x14ac:dyDescent="0.25">
      <c r="A31" s="223"/>
      <c r="B31" s="223"/>
      <c r="C31" s="223"/>
      <c r="D31" s="301"/>
      <c r="E31" s="302"/>
      <c r="F31" s="303"/>
      <c r="G31" s="304"/>
      <c r="H31" s="305"/>
      <c r="I31" s="305"/>
      <c r="J31" s="305"/>
      <c r="K31" s="304"/>
      <c r="L31" s="304"/>
      <c r="M31" s="306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30" customHeight="1" spans="1:25" x14ac:dyDescent="0.25">
      <c r="A32" s="235"/>
      <c r="B32" s="235"/>
      <c r="C32" s="235"/>
      <c r="D32" s="259"/>
      <c r="E32" s="260"/>
      <c r="F32" s="261"/>
      <c r="G32" s="262"/>
      <c r="H32" s="265"/>
      <c r="I32" s="265"/>
      <c r="J32" s="265"/>
      <c r="K32" s="262"/>
      <c r="L32" s="262"/>
      <c r="M32" s="266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30" customHeight="1" spans="1:25" x14ac:dyDescent="0.25">
      <c r="A33" s="313"/>
      <c r="B33" s="313"/>
      <c r="C33" s="313"/>
      <c r="D33" s="271"/>
      <c r="E33" s="271"/>
      <c r="F33" s="271"/>
      <c r="G33" s="271"/>
      <c r="H33" s="274"/>
      <c r="I33" s="274"/>
      <c r="J33" s="274"/>
      <c r="K33" s="271"/>
      <c r="L33" s="271"/>
      <c r="M33" s="306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15.95" customHeight="1" spans="1:25" x14ac:dyDescent="0.25">
      <c r="A34" s="314"/>
      <c r="B34" s="315"/>
      <c r="C34" s="315"/>
      <c r="D34" s="315"/>
      <c r="E34" s="315"/>
      <c r="F34" s="315"/>
      <c r="G34" s="315"/>
      <c r="H34" s="315"/>
      <c r="I34" s="315"/>
      <c r="J34" s="315"/>
      <c r="K34" s="315"/>
      <c r="L34" s="315"/>
      <c r="M34" s="31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ht="15.95" customHeight="1" spans="1:25" x14ac:dyDescent="0.25">
      <c r="A35" s="316"/>
      <c r="B35" s="276"/>
      <c r="C35" s="276"/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ht="15.95" customHeight="1" spans="1:25" x14ac:dyDescent="0.25">
      <c r="A36" s="316"/>
      <c r="B36" s="276"/>
      <c r="C36" s="276"/>
      <c r="D36" s="276"/>
      <c r="E36" s="276"/>
      <c r="F36" s="276"/>
      <c r="G36" s="276"/>
      <c r="H36" s="276"/>
      <c r="I36" s="276"/>
      <c r="J36" s="276"/>
      <c r="K36" s="276"/>
      <c r="L36" s="276"/>
      <c r="M36" s="276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ht="20.1" customHeight="1" spans="1:25" x14ac:dyDescent="0.25">
      <c r="A37" s="316"/>
      <c r="B37" s="276"/>
      <c r="C37" s="276"/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ht="20.1" customHeight="1" spans="1:25" x14ac:dyDescent="0.25">
      <c r="A38" s="194"/>
      <c r="B38" s="194"/>
      <c r="C38" s="194"/>
      <c r="D38" s="145"/>
      <c r="E38" s="145"/>
      <c r="F38" s="145"/>
      <c r="G38" s="194"/>
      <c r="H38" s="194"/>
      <c r="I38" s="194"/>
      <c r="J38" s="145"/>
      <c r="K38" s="145"/>
      <c r="L38" s="194"/>
      <c r="M38" s="194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spans="1:25" x14ac:dyDescent="0.25">
      <c r="A39" s="195" t="s">
        <v>22</v>
      </c>
      <c r="B39" s="195"/>
      <c r="C39" s="195"/>
      <c r="D39" s="145"/>
      <c r="E39" s="145"/>
      <c r="F39" s="145"/>
      <c r="G39" s="195" t="s">
        <v>54</v>
      </c>
      <c r="H39" s="195"/>
      <c r="I39" s="195"/>
      <c r="J39" s="145"/>
      <c r="K39" s="145"/>
      <c r="L39" s="195" t="s">
        <v>23</v>
      </c>
      <c r="M39" s="19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spans="1:25" x14ac:dyDescent="0.25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spans="1:25" x14ac:dyDescent="0.25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</row>
    <row r="42" spans="1:25" x14ac:dyDescent="0.25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spans="1:25" x14ac:dyDescent="0.25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spans="1:25" x14ac:dyDescent="0.25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spans="1:1" x14ac:dyDescent="0.25">
      <c r="A45" s="145"/>
    </row>
    <row r="46" spans="1:1" x14ac:dyDescent="0.25">
      <c r="A46" s="145"/>
    </row>
    <row r="47" spans="1:1" x14ac:dyDescent="0.25">
      <c r="A47" s="145"/>
    </row>
    <row r="48" spans="1:1" x14ac:dyDescent="0.25">
      <c r="A48" s="145"/>
    </row>
    <row r="49" spans="1:1" x14ac:dyDescent="0.25">
      <c r="A49" s="145"/>
    </row>
    <row r="50" spans="1:1" x14ac:dyDescent="0.25">
      <c r="A50" s="145"/>
    </row>
    <row r="51" spans="1:1" x14ac:dyDescent="0.25">
      <c r="A51" s="145"/>
    </row>
    <row r="52" spans="1:1" x14ac:dyDescent="0.25">
      <c r="A52" s="145"/>
    </row>
    <row r="53" spans="1:1" x14ac:dyDescent="0.25">
      <c r="A53" s="145"/>
    </row>
    <row r="54" spans="1:1" x14ac:dyDescent="0.25">
      <c r="A54" s="145"/>
    </row>
    <row r="55" spans="1:1" x14ac:dyDescent="0.25">
      <c r="A55" s="145"/>
    </row>
    <row r="56" spans="1:1" x14ac:dyDescent="0.25">
      <c r="A56" s="145"/>
    </row>
    <row r="57" spans="1:1" x14ac:dyDescent="0.25">
      <c r="A57" s="145"/>
    </row>
    <row r="58" spans="1:1" x14ac:dyDescent="0.25">
      <c r="A58" s="145"/>
    </row>
    <row r="59" spans="1:1" x14ac:dyDescent="0.25">
      <c r="A59" s="145"/>
    </row>
    <row r="60" spans="1:1" x14ac:dyDescent="0.25">
      <c r="A60" s="145"/>
    </row>
    <row r="61" spans="1:1" x14ac:dyDescent="0.25">
      <c r="A61" s="145"/>
    </row>
    <row r="62" spans="1:1" x14ac:dyDescent="0.25">
      <c r="A62" s="145"/>
    </row>
    <row r="63" spans="1:1" x14ac:dyDescent="0.25">
      <c r="A63" s="145"/>
    </row>
    <row r="64" spans="1:1" x14ac:dyDescent="0.25">
      <c r="A64" s="145"/>
    </row>
    <row r="65" spans="1:1" x14ac:dyDescent="0.25">
      <c r="A65" s="145"/>
    </row>
    <row r="66" spans="1:1" x14ac:dyDescent="0.25">
      <c r="A66" s="145"/>
    </row>
    <row r="67" spans="1:1" x14ac:dyDescent="0.25">
      <c r="A67" s="145"/>
    </row>
    <row r="68" spans="1:1" x14ac:dyDescent="0.25">
      <c r="A68" s="145"/>
    </row>
    <row r="69" spans="1:1" x14ac:dyDescent="0.25">
      <c r="A69" s="145"/>
    </row>
    <row r="70" spans="1:1" x14ac:dyDescent="0.25">
      <c r="A70" s="145"/>
    </row>
    <row r="71" spans="1:1" x14ac:dyDescent="0.25">
      <c r="A71" s="145"/>
    </row>
    <row r="72" spans="1:1" x14ac:dyDescent="0.25">
      <c r="A72" s="145"/>
    </row>
    <row r="73" spans="1:1" x14ac:dyDescent="0.25">
      <c r="A73" s="145"/>
    </row>
    <row r="74" spans="1:1" x14ac:dyDescent="0.25">
      <c r="A74" s="145"/>
    </row>
    <row r="75" spans="1:1" x14ac:dyDescent="0.25">
      <c r="A75" s="145"/>
    </row>
    <row r="76" spans="1:1" x14ac:dyDescent="0.25">
      <c r="A76" s="145"/>
    </row>
    <row r="77" spans="1:1" x14ac:dyDescent="0.25">
      <c r="A77" s="145"/>
    </row>
    <row r="78" spans="1:1" x14ac:dyDescent="0.25">
      <c r="A78" s="145"/>
    </row>
    <row r="79" spans="1:1" x14ac:dyDescent="0.25">
      <c r="A79" s="145"/>
    </row>
    <row r="80" spans="1:1" x14ac:dyDescent="0.25">
      <c r="A80" s="145"/>
    </row>
    <row r="81" spans="1:1" x14ac:dyDescent="0.25">
      <c r="A81" s="145"/>
    </row>
    <row r="82" spans="1:1" x14ac:dyDescent="0.25">
      <c r="A82" s="145"/>
    </row>
    <row r="83" spans="1:1" x14ac:dyDescent="0.25">
      <c r="A83" s="145"/>
    </row>
    <row r="84" spans="1:1" x14ac:dyDescent="0.25">
      <c r="A84" s="145"/>
    </row>
    <row r="85" spans="1:1" x14ac:dyDescent="0.25">
      <c r="A85" s="145"/>
    </row>
    <row r="86" spans="1:1" x14ac:dyDescent="0.25">
      <c r="A86" s="145"/>
    </row>
    <row r="87" spans="1:1" x14ac:dyDescent="0.25">
      <c r="A87" s="145"/>
    </row>
    <row r="88" spans="1:1" x14ac:dyDescent="0.25">
      <c r="A88" s="145"/>
    </row>
    <row r="89" spans="1:1" x14ac:dyDescent="0.25">
      <c r="A89" s="145"/>
    </row>
    <row r="90" spans="1:1" x14ac:dyDescent="0.25">
      <c r="A90" s="145"/>
    </row>
  </sheetData>
  <mergeCells count="3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8:C28"/>
    <mergeCell ref="D28:F28"/>
    <mergeCell ref="H28:I28"/>
    <mergeCell ref="B29:C29"/>
    <mergeCell ref="D29:F29"/>
    <mergeCell ref="H29:I29"/>
    <mergeCell ref="B30:C30"/>
    <mergeCell ref="D30:F30"/>
    <mergeCell ref="H30:I30"/>
    <mergeCell ref="B31:C31"/>
    <mergeCell ref="D31:F31"/>
    <mergeCell ref="H31:I31"/>
    <mergeCell ref="B32:C32"/>
    <mergeCell ref="D32:F32"/>
    <mergeCell ref="H32:I32"/>
    <mergeCell ref="B33:C33"/>
    <mergeCell ref="D33:F33"/>
    <mergeCell ref="H33:I33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79"/>
  <sheetViews>
    <sheetView workbookViewId="0" zoomScale="85" zoomScaleNormal="85">
      <selection activeCell="B8" sqref="B8"/>
    </sheetView>
  </sheetViews>
  <sheetFormatPr defaultRowHeight="14.25" outlineLevelRow="0" outlineLevelCol="0" x14ac:dyDescent="0" customHeight="1"/>
  <cols>
    <col min="1" max="2" width="7.625" style="145" customWidth="1"/>
    <col min="3" max="3" width="12.125" style="145" customWidth="1"/>
    <col min="4" max="4" width="7" style="145" customWidth="1"/>
    <col min="5" max="5" width="14.625" style="145" customWidth="1"/>
    <col min="6" max="6" width="13" style="145" customWidth="1"/>
    <col min="7" max="7" width="12.125" style="145" customWidth="1"/>
    <col min="8" max="8" width="13.625" style="145" customWidth="1"/>
    <col min="9" max="220" width="9" style="145" customWidth="1"/>
    <col min="221" max="221" width="9.125" style="145" customWidth="1"/>
    <col min="222" max="222" width="7.625" style="145" customWidth="1"/>
    <col min="223" max="223" width="12.125" style="145" customWidth="1"/>
    <col min="224" max="224" width="7" style="145" customWidth="1"/>
    <col min="225" max="225" width="16" style="145" customWidth="1"/>
    <col min="226" max="226" width="13" style="145" customWidth="1"/>
    <col min="227" max="227" width="12.125" style="145" customWidth="1"/>
    <col min="228" max="228" width="13.625" style="145" customWidth="1"/>
    <col min="229" max="476" width="9" style="145" customWidth="1"/>
    <col min="477" max="477" width="9.125" style="145" customWidth="1"/>
    <col min="478" max="478" width="7.625" style="145" customWidth="1"/>
    <col min="479" max="479" width="12.125" style="145" customWidth="1"/>
    <col min="480" max="480" width="7" style="145" customWidth="1"/>
    <col min="481" max="481" width="16" style="145" customWidth="1"/>
    <col min="482" max="482" width="13" style="145" customWidth="1"/>
    <col min="483" max="483" width="12.125" style="145" customWidth="1"/>
    <col min="484" max="484" width="13.625" style="145" customWidth="1"/>
    <col min="485" max="732" width="9" style="145" customWidth="1"/>
    <col min="733" max="733" width="9.125" style="145" customWidth="1"/>
    <col min="734" max="734" width="7.625" style="145" customWidth="1"/>
    <col min="735" max="735" width="12.125" style="145" customWidth="1"/>
    <col min="736" max="736" width="7" style="145" customWidth="1"/>
    <col min="737" max="737" width="16" style="145" customWidth="1"/>
    <col min="738" max="738" width="13" style="145" customWidth="1"/>
    <col min="739" max="739" width="12.125" style="145" customWidth="1"/>
    <col min="740" max="740" width="13.625" style="145" customWidth="1"/>
    <col min="741" max="988" width="9" style="145" customWidth="1"/>
    <col min="989" max="989" width="9.125" style="145" customWidth="1"/>
    <col min="990" max="990" width="7.625" style="145" customWidth="1"/>
    <col min="991" max="991" width="12.125" style="145" customWidth="1"/>
    <col min="992" max="992" width="7" style="145" customWidth="1"/>
    <col min="993" max="993" width="16" style="145" customWidth="1"/>
    <col min="994" max="994" width="13" style="145" customWidth="1"/>
    <col min="995" max="995" width="12.125" style="145" customWidth="1"/>
    <col min="996" max="996" width="13.625" style="145" customWidth="1"/>
    <col min="997" max="1244" width="9" style="145" customWidth="1"/>
    <col min="1245" max="1245" width="9.125" style="145" customWidth="1"/>
    <col min="1246" max="1246" width="7.625" style="145" customWidth="1"/>
    <col min="1247" max="1247" width="12.125" style="145" customWidth="1"/>
    <col min="1248" max="1248" width="7" style="145" customWidth="1"/>
    <col min="1249" max="1249" width="16" style="145" customWidth="1"/>
    <col min="1250" max="1250" width="13" style="145" customWidth="1"/>
    <col min="1251" max="1251" width="12.125" style="145" customWidth="1"/>
    <col min="1252" max="1252" width="13.625" style="145" customWidth="1"/>
    <col min="1253" max="1500" width="9" style="145" customWidth="1"/>
    <col min="1501" max="1501" width="9.125" style="145" customWidth="1"/>
    <col min="1502" max="1502" width="7.625" style="145" customWidth="1"/>
    <col min="1503" max="1503" width="12.125" style="145" customWidth="1"/>
    <col min="1504" max="1504" width="7" style="145" customWidth="1"/>
    <col min="1505" max="1505" width="16" style="145" customWidth="1"/>
    <col min="1506" max="1506" width="13" style="145" customWidth="1"/>
    <col min="1507" max="1507" width="12.125" style="145" customWidth="1"/>
    <col min="1508" max="1508" width="13.625" style="145" customWidth="1"/>
    <col min="1509" max="1756" width="9" style="145" customWidth="1"/>
    <col min="1757" max="1757" width="9.125" style="145" customWidth="1"/>
    <col min="1758" max="1758" width="7.625" style="145" customWidth="1"/>
    <col min="1759" max="1759" width="12.125" style="145" customWidth="1"/>
    <col min="1760" max="1760" width="7" style="145" customWidth="1"/>
    <col min="1761" max="1761" width="16" style="145" customWidth="1"/>
    <col min="1762" max="1762" width="13" style="145" customWidth="1"/>
    <col min="1763" max="1763" width="12.125" style="145" customWidth="1"/>
    <col min="1764" max="1764" width="13.625" style="145" customWidth="1"/>
    <col min="1765" max="2012" width="9" style="145" customWidth="1"/>
    <col min="2013" max="2013" width="9.125" style="145" customWidth="1"/>
    <col min="2014" max="2014" width="7.625" style="145" customWidth="1"/>
    <col min="2015" max="2015" width="12.125" style="145" customWidth="1"/>
    <col min="2016" max="2016" width="7" style="145" customWidth="1"/>
    <col min="2017" max="2017" width="16" style="145" customWidth="1"/>
    <col min="2018" max="2018" width="13" style="145" customWidth="1"/>
    <col min="2019" max="2019" width="12.125" style="145" customWidth="1"/>
    <col min="2020" max="2020" width="13.625" style="145" customWidth="1"/>
    <col min="2021" max="2268" width="9" style="145" customWidth="1"/>
    <col min="2269" max="2269" width="9.125" style="145" customWidth="1"/>
    <col min="2270" max="2270" width="7.625" style="145" customWidth="1"/>
    <col min="2271" max="2271" width="12.125" style="145" customWidth="1"/>
    <col min="2272" max="2272" width="7" style="145" customWidth="1"/>
    <col min="2273" max="2273" width="16" style="145" customWidth="1"/>
    <col min="2274" max="2274" width="13" style="145" customWidth="1"/>
    <col min="2275" max="2275" width="12.125" style="145" customWidth="1"/>
    <col min="2276" max="2276" width="13.625" style="145" customWidth="1"/>
    <col min="2277" max="2524" width="9" style="145" customWidth="1"/>
    <col min="2525" max="2525" width="9.125" style="145" customWidth="1"/>
    <col min="2526" max="2526" width="7.625" style="145" customWidth="1"/>
    <col min="2527" max="2527" width="12.125" style="145" customWidth="1"/>
    <col min="2528" max="2528" width="7" style="145" customWidth="1"/>
    <col min="2529" max="2529" width="16" style="145" customWidth="1"/>
    <col min="2530" max="2530" width="13" style="145" customWidth="1"/>
    <col min="2531" max="2531" width="12.125" style="145" customWidth="1"/>
    <col min="2532" max="2532" width="13.625" style="145" customWidth="1"/>
    <col min="2533" max="2780" width="9" style="145" customWidth="1"/>
    <col min="2781" max="2781" width="9.125" style="145" customWidth="1"/>
    <col min="2782" max="2782" width="7.625" style="145" customWidth="1"/>
    <col min="2783" max="2783" width="12.125" style="145" customWidth="1"/>
    <col min="2784" max="2784" width="7" style="145" customWidth="1"/>
    <col min="2785" max="2785" width="16" style="145" customWidth="1"/>
    <col min="2786" max="2786" width="13" style="145" customWidth="1"/>
    <col min="2787" max="2787" width="12.125" style="145" customWidth="1"/>
    <col min="2788" max="2788" width="13.625" style="145" customWidth="1"/>
    <col min="2789" max="3036" width="9" style="145" customWidth="1"/>
    <col min="3037" max="3037" width="9.125" style="145" customWidth="1"/>
    <col min="3038" max="3038" width="7.625" style="145" customWidth="1"/>
    <col min="3039" max="3039" width="12.125" style="145" customWidth="1"/>
    <col min="3040" max="3040" width="7" style="145" customWidth="1"/>
    <col min="3041" max="3041" width="16" style="145" customWidth="1"/>
    <col min="3042" max="3042" width="13" style="145" customWidth="1"/>
    <col min="3043" max="3043" width="12.125" style="145" customWidth="1"/>
    <col min="3044" max="3044" width="13.625" style="145" customWidth="1"/>
    <col min="3045" max="3292" width="9" style="145" customWidth="1"/>
    <col min="3293" max="3293" width="9.125" style="145" customWidth="1"/>
    <col min="3294" max="3294" width="7.625" style="145" customWidth="1"/>
    <col min="3295" max="3295" width="12.125" style="145" customWidth="1"/>
    <col min="3296" max="3296" width="7" style="145" customWidth="1"/>
    <col min="3297" max="3297" width="16" style="145" customWidth="1"/>
    <col min="3298" max="3298" width="13" style="145" customWidth="1"/>
    <col min="3299" max="3299" width="12.125" style="145" customWidth="1"/>
    <col min="3300" max="3300" width="13.625" style="145" customWidth="1"/>
    <col min="3301" max="3548" width="9" style="145" customWidth="1"/>
    <col min="3549" max="3549" width="9.125" style="145" customWidth="1"/>
    <col min="3550" max="3550" width="7.625" style="145" customWidth="1"/>
    <col min="3551" max="3551" width="12.125" style="145" customWidth="1"/>
    <col min="3552" max="3552" width="7" style="145" customWidth="1"/>
    <col min="3553" max="3553" width="16" style="145" customWidth="1"/>
    <col min="3554" max="3554" width="13" style="145" customWidth="1"/>
    <col min="3555" max="3555" width="12.125" style="145" customWidth="1"/>
    <col min="3556" max="3556" width="13.625" style="145" customWidth="1"/>
    <col min="3557" max="3804" width="9" style="145" customWidth="1"/>
    <col min="3805" max="3805" width="9.125" style="145" customWidth="1"/>
    <col min="3806" max="3806" width="7.625" style="145" customWidth="1"/>
    <col min="3807" max="3807" width="12.125" style="145" customWidth="1"/>
    <col min="3808" max="3808" width="7" style="145" customWidth="1"/>
    <col min="3809" max="3809" width="16" style="145" customWidth="1"/>
    <col min="3810" max="3810" width="13" style="145" customWidth="1"/>
    <col min="3811" max="3811" width="12.125" style="145" customWidth="1"/>
    <col min="3812" max="3812" width="13.625" style="145" customWidth="1"/>
    <col min="3813" max="4060" width="9" style="145" customWidth="1"/>
    <col min="4061" max="4061" width="9.125" style="145" customWidth="1"/>
    <col min="4062" max="4062" width="7.625" style="145" customWidth="1"/>
    <col min="4063" max="4063" width="12.125" style="145" customWidth="1"/>
    <col min="4064" max="4064" width="7" style="145" customWidth="1"/>
    <col min="4065" max="4065" width="16" style="145" customWidth="1"/>
    <col min="4066" max="4066" width="13" style="145" customWidth="1"/>
    <col min="4067" max="4067" width="12.125" style="145" customWidth="1"/>
    <col min="4068" max="4068" width="13.625" style="145" customWidth="1"/>
    <col min="4069" max="4316" width="9" style="145" customWidth="1"/>
    <col min="4317" max="4317" width="9.125" style="145" customWidth="1"/>
    <col min="4318" max="4318" width="7.625" style="145" customWidth="1"/>
    <col min="4319" max="4319" width="12.125" style="145" customWidth="1"/>
    <col min="4320" max="4320" width="7" style="145" customWidth="1"/>
    <col min="4321" max="4321" width="16" style="145" customWidth="1"/>
    <col min="4322" max="4322" width="13" style="145" customWidth="1"/>
    <col min="4323" max="4323" width="12.125" style="145" customWidth="1"/>
    <col min="4324" max="4324" width="13.625" style="145" customWidth="1"/>
    <col min="4325" max="4572" width="9" style="145" customWidth="1"/>
    <col min="4573" max="4573" width="9.125" style="145" customWidth="1"/>
    <col min="4574" max="4574" width="7.625" style="145" customWidth="1"/>
    <col min="4575" max="4575" width="12.125" style="145" customWidth="1"/>
    <col min="4576" max="4576" width="7" style="145" customWidth="1"/>
    <col min="4577" max="4577" width="16" style="145" customWidth="1"/>
    <col min="4578" max="4578" width="13" style="145" customWidth="1"/>
    <col min="4579" max="4579" width="12.125" style="145" customWidth="1"/>
    <col min="4580" max="4580" width="13.625" style="145" customWidth="1"/>
    <col min="4581" max="4828" width="9" style="145" customWidth="1"/>
    <col min="4829" max="4829" width="9.125" style="145" customWidth="1"/>
    <col min="4830" max="4830" width="7.625" style="145" customWidth="1"/>
    <col min="4831" max="4831" width="12.125" style="145" customWidth="1"/>
    <col min="4832" max="4832" width="7" style="145" customWidth="1"/>
    <col min="4833" max="4833" width="16" style="145" customWidth="1"/>
    <col min="4834" max="4834" width="13" style="145" customWidth="1"/>
    <col min="4835" max="4835" width="12.125" style="145" customWidth="1"/>
    <col min="4836" max="4836" width="13.625" style="145" customWidth="1"/>
    <col min="4837" max="5084" width="9" style="145" customWidth="1"/>
    <col min="5085" max="5085" width="9.125" style="145" customWidth="1"/>
    <col min="5086" max="5086" width="7.625" style="145" customWidth="1"/>
    <col min="5087" max="5087" width="12.125" style="145" customWidth="1"/>
    <col min="5088" max="5088" width="7" style="145" customWidth="1"/>
    <col min="5089" max="5089" width="16" style="145" customWidth="1"/>
    <col min="5090" max="5090" width="13" style="145" customWidth="1"/>
    <col min="5091" max="5091" width="12.125" style="145" customWidth="1"/>
    <col min="5092" max="5092" width="13.625" style="145" customWidth="1"/>
    <col min="5093" max="5340" width="9" style="145" customWidth="1"/>
    <col min="5341" max="5341" width="9.125" style="145" customWidth="1"/>
    <col min="5342" max="5342" width="7.625" style="145" customWidth="1"/>
    <col min="5343" max="5343" width="12.125" style="145" customWidth="1"/>
    <col min="5344" max="5344" width="7" style="145" customWidth="1"/>
    <col min="5345" max="5345" width="16" style="145" customWidth="1"/>
    <col min="5346" max="5346" width="13" style="145" customWidth="1"/>
    <col min="5347" max="5347" width="12.125" style="145" customWidth="1"/>
    <col min="5348" max="5348" width="13.625" style="145" customWidth="1"/>
    <col min="5349" max="5596" width="9" style="145" customWidth="1"/>
    <col min="5597" max="5597" width="9.125" style="145" customWidth="1"/>
    <col min="5598" max="5598" width="7.625" style="145" customWidth="1"/>
    <col min="5599" max="5599" width="12.125" style="145" customWidth="1"/>
    <col min="5600" max="5600" width="7" style="145" customWidth="1"/>
    <col min="5601" max="5601" width="16" style="145" customWidth="1"/>
    <col min="5602" max="5602" width="13" style="145" customWidth="1"/>
    <col min="5603" max="5603" width="12.125" style="145" customWidth="1"/>
    <col min="5604" max="5604" width="13.625" style="145" customWidth="1"/>
    <col min="5605" max="5852" width="9" style="145" customWidth="1"/>
    <col min="5853" max="5853" width="9.125" style="145" customWidth="1"/>
    <col min="5854" max="5854" width="7.625" style="145" customWidth="1"/>
    <col min="5855" max="5855" width="12.125" style="145" customWidth="1"/>
    <col min="5856" max="5856" width="7" style="145" customWidth="1"/>
    <col min="5857" max="5857" width="16" style="145" customWidth="1"/>
    <col min="5858" max="5858" width="13" style="145" customWidth="1"/>
    <col min="5859" max="5859" width="12.125" style="145" customWidth="1"/>
    <col min="5860" max="5860" width="13.625" style="145" customWidth="1"/>
    <col min="5861" max="6108" width="9" style="145" customWidth="1"/>
    <col min="6109" max="6109" width="9.125" style="145" customWidth="1"/>
    <col min="6110" max="6110" width="7.625" style="145" customWidth="1"/>
    <col min="6111" max="6111" width="12.125" style="145" customWidth="1"/>
    <col min="6112" max="6112" width="7" style="145" customWidth="1"/>
    <col min="6113" max="6113" width="16" style="145" customWidth="1"/>
    <col min="6114" max="6114" width="13" style="145" customWidth="1"/>
    <col min="6115" max="6115" width="12.125" style="145" customWidth="1"/>
    <col min="6116" max="6116" width="13.625" style="145" customWidth="1"/>
    <col min="6117" max="6364" width="9" style="145" customWidth="1"/>
    <col min="6365" max="6365" width="9.125" style="145" customWidth="1"/>
    <col min="6366" max="6366" width="7.625" style="145" customWidth="1"/>
    <col min="6367" max="6367" width="12.125" style="145" customWidth="1"/>
    <col min="6368" max="6368" width="7" style="145" customWidth="1"/>
    <col min="6369" max="6369" width="16" style="145" customWidth="1"/>
    <col min="6370" max="6370" width="13" style="145" customWidth="1"/>
    <col min="6371" max="6371" width="12.125" style="145" customWidth="1"/>
    <col min="6372" max="6372" width="13.625" style="145" customWidth="1"/>
    <col min="6373" max="6620" width="9" style="145" customWidth="1"/>
    <col min="6621" max="6621" width="9.125" style="145" customWidth="1"/>
    <col min="6622" max="6622" width="7.625" style="145" customWidth="1"/>
    <col min="6623" max="6623" width="12.125" style="145" customWidth="1"/>
    <col min="6624" max="6624" width="7" style="145" customWidth="1"/>
    <col min="6625" max="6625" width="16" style="145" customWidth="1"/>
    <col min="6626" max="6626" width="13" style="145" customWidth="1"/>
    <col min="6627" max="6627" width="12.125" style="145" customWidth="1"/>
    <col min="6628" max="6628" width="13.625" style="145" customWidth="1"/>
    <col min="6629" max="6876" width="9" style="145" customWidth="1"/>
    <col min="6877" max="6877" width="9.125" style="145" customWidth="1"/>
    <col min="6878" max="6878" width="7.625" style="145" customWidth="1"/>
    <col min="6879" max="6879" width="12.125" style="145" customWidth="1"/>
    <col min="6880" max="6880" width="7" style="145" customWidth="1"/>
    <col min="6881" max="6881" width="16" style="145" customWidth="1"/>
    <col min="6882" max="6882" width="13" style="145" customWidth="1"/>
    <col min="6883" max="6883" width="12.125" style="145" customWidth="1"/>
    <col min="6884" max="6884" width="13.625" style="145" customWidth="1"/>
    <col min="6885" max="7132" width="9" style="145" customWidth="1"/>
    <col min="7133" max="7133" width="9.125" style="145" customWidth="1"/>
    <col min="7134" max="7134" width="7.625" style="145" customWidth="1"/>
    <col min="7135" max="7135" width="12.125" style="145" customWidth="1"/>
    <col min="7136" max="7136" width="7" style="145" customWidth="1"/>
    <col min="7137" max="7137" width="16" style="145" customWidth="1"/>
    <col min="7138" max="7138" width="13" style="145" customWidth="1"/>
    <col min="7139" max="7139" width="12.125" style="145" customWidth="1"/>
    <col min="7140" max="7140" width="13.625" style="145" customWidth="1"/>
    <col min="7141" max="7388" width="9" style="145" customWidth="1"/>
    <col min="7389" max="7389" width="9.125" style="145" customWidth="1"/>
    <col min="7390" max="7390" width="7.625" style="145" customWidth="1"/>
    <col min="7391" max="7391" width="12.125" style="145" customWidth="1"/>
    <col min="7392" max="7392" width="7" style="145" customWidth="1"/>
    <col min="7393" max="7393" width="16" style="145" customWidth="1"/>
    <col min="7394" max="7394" width="13" style="145" customWidth="1"/>
    <col min="7395" max="7395" width="12.125" style="145" customWidth="1"/>
    <col min="7396" max="7396" width="13.625" style="145" customWidth="1"/>
    <col min="7397" max="7644" width="9" style="145" customWidth="1"/>
    <col min="7645" max="7645" width="9.125" style="145" customWidth="1"/>
    <col min="7646" max="7646" width="7.625" style="145" customWidth="1"/>
    <col min="7647" max="7647" width="12.125" style="145" customWidth="1"/>
    <col min="7648" max="7648" width="7" style="145" customWidth="1"/>
    <col min="7649" max="7649" width="16" style="145" customWidth="1"/>
    <col min="7650" max="7650" width="13" style="145" customWidth="1"/>
    <col min="7651" max="7651" width="12.125" style="145" customWidth="1"/>
    <col min="7652" max="7652" width="13.625" style="145" customWidth="1"/>
    <col min="7653" max="7900" width="9" style="145" customWidth="1"/>
    <col min="7901" max="7901" width="9.125" style="145" customWidth="1"/>
    <col min="7902" max="7902" width="7.625" style="145" customWidth="1"/>
    <col min="7903" max="7903" width="12.125" style="145" customWidth="1"/>
    <col min="7904" max="7904" width="7" style="145" customWidth="1"/>
    <col min="7905" max="7905" width="16" style="145" customWidth="1"/>
    <col min="7906" max="7906" width="13" style="145" customWidth="1"/>
    <col min="7907" max="7907" width="12.125" style="145" customWidth="1"/>
    <col min="7908" max="7908" width="13.625" style="145" customWidth="1"/>
    <col min="7909" max="8156" width="9" style="145" customWidth="1"/>
    <col min="8157" max="8157" width="9.125" style="145" customWidth="1"/>
    <col min="8158" max="8158" width="7.625" style="145" customWidth="1"/>
    <col min="8159" max="8159" width="12.125" style="145" customWidth="1"/>
    <col min="8160" max="8160" width="7" style="145" customWidth="1"/>
    <col min="8161" max="8161" width="16" style="145" customWidth="1"/>
    <col min="8162" max="8162" width="13" style="145" customWidth="1"/>
    <col min="8163" max="8163" width="12.125" style="145" customWidth="1"/>
    <col min="8164" max="8164" width="13.625" style="145" customWidth="1"/>
    <col min="8165" max="8412" width="9" style="145" customWidth="1"/>
    <col min="8413" max="8413" width="9.125" style="145" customWidth="1"/>
    <col min="8414" max="8414" width="7.625" style="145" customWidth="1"/>
    <col min="8415" max="8415" width="12.125" style="145" customWidth="1"/>
    <col min="8416" max="8416" width="7" style="145" customWidth="1"/>
    <col min="8417" max="8417" width="16" style="145" customWidth="1"/>
    <col min="8418" max="8418" width="13" style="145" customWidth="1"/>
    <col min="8419" max="8419" width="12.125" style="145" customWidth="1"/>
    <col min="8420" max="8420" width="13.625" style="145" customWidth="1"/>
    <col min="8421" max="8668" width="9" style="145" customWidth="1"/>
    <col min="8669" max="8669" width="9.125" style="145" customWidth="1"/>
    <col min="8670" max="8670" width="7.625" style="145" customWidth="1"/>
    <col min="8671" max="8671" width="12.125" style="145" customWidth="1"/>
    <col min="8672" max="8672" width="7" style="145" customWidth="1"/>
    <col min="8673" max="8673" width="16" style="145" customWidth="1"/>
    <col min="8674" max="8674" width="13" style="145" customWidth="1"/>
    <col min="8675" max="8675" width="12.125" style="145" customWidth="1"/>
    <col min="8676" max="8676" width="13.625" style="145" customWidth="1"/>
    <col min="8677" max="8924" width="9" style="145" customWidth="1"/>
    <col min="8925" max="8925" width="9.125" style="145" customWidth="1"/>
    <col min="8926" max="8926" width="7.625" style="145" customWidth="1"/>
    <col min="8927" max="8927" width="12.125" style="145" customWidth="1"/>
    <col min="8928" max="8928" width="7" style="145" customWidth="1"/>
    <col min="8929" max="8929" width="16" style="145" customWidth="1"/>
    <col min="8930" max="8930" width="13" style="145" customWidth="1"/>
    <col min="8931" max="8931" width="12.125" style="145" customWidth="1"/>
    <col min="8932" max="8932" width="13.625" style="145" customWidth="1"/>
    <col min="8933" max="9180" width="9" style="145" customWidth="1"/>
    <col min="9181" max="9181" width="9.125" style="145" customWidth="1"/>
    <col min="9182" max="9182" width="7.625" style="145" customWidth="1"/>
    <col min="9183" max="9183" width="12.125" style="145" customWidth="1"/>
    <col min="9184" max="9184" width="7" style="145" customWidth="1"/>
    <col min="9185" max="9185" width="16" style="145" customWidth="1"/>
    <col min="9186" max="9186" width="13" style="145" customWidth="1"/>
    <col min="9187" max="9187" width="12.125" style="145" customWidth="1"/>
    <col min="9188" max="9188" width="13.625" style="145" customWidth="1"/>
    <col min="9189" max="9436" width="9" style="145" customWidth="1"/>
    <col min="9437" max="9437" width="9.125" style="145" customWidth="1"/>
    <col min="9438" max="9438" width="7.625" style="145" customWidth="1"/>
    <col min="9439" max="9439" width="12.125" style="145" customWidth="1"/>
    <col min="9440" max="9440" width="7" style="145" customWidth="1"/>
    <col min="9441" max="9441" width="16" style="145" customWidth="1"/>
    <col min="9442" max="9442" width="13" style="145" customWidth="1"/>
    <col min="9443" max="9443" width="12.125" style="145" customWidth="1"/>
    <col min="9444" max="9444" width="13.625" style="145" customWidth="1"/>
    <col min="9445" max="9692" width="9" style="145" customWidth="1"/>
    <col min="9693" max="9693" width="9.125" style="145" customWidth="1"/>
    <col min="9694" max="9694" width="7.625" style="145" customWidth="1"/>
    <col min="9695" max="9695" width="12.125" style="145" customWidth="1"/>
    <col min="9696" max="9696" width="7" style="145" customWidth="1"/>
    <col min="9697" max="9697" width="16" style="145" customWidth="1"/>
    <col min="9698" max="9698" width="13" style="145" customWidth="1"/>
    <col min="9699" max="9699" width="12.125" style="145" customWidth="1"/>
    <col min="9700" max="9700" width="13.625" style="145" customWidth="1"/>
    <col min="9701" max="9948" width="9" style="145" customWidth="1"/>
    <col min="9949" max="9949" width="9.125" style="145" customWidth="1"/>
    <col min="9950" max="9950" width="7.625" style="145" customWidth="1"/>
    <col min="9951" max="9951" width="12.125" style="145" customWidth="1"/>
    <col min="9952" max="9952" width="7" style="145" customWidth="1"/>
    <col min="9953" max="9953" width="16" style="145" customWidth="1"/>
    <col min="9954" max="9954" width="13" style="145" customWidth="1"/>
    <col min="9955" max="9955" width="12.125" style="145" customWidth="1"/>
    <col min="9956" max="9956" width="13.625" style="145" customWidth="1"/>
    <col min="9957" max="10204" width="9" style="145" customWidth="1"/>
    <col min="10205" max="10205" width="9.125" style="145" customWidth="1"/>
    <col min="10206" max="10206" width="7.625" style="145" customWidth="1"/>
    <col min="10207" max="10207" width="12.125" style="145" customWidth="1"/>
    <col min="10208" max="10208" width="7" style="145" customWidth="1"/>
    <col min="10209" max="10209" width="16" style="145" customWidth="1"/>
    <col min="10210" max="10210" width="13" style="145" customWidth="1"/>
    <col min="10211" max="10211" width="12.125" style="145" customWidth="1"/>
    <col min="10212" max="10212" width="13.625" style="145" customWidth="1"/>
    <col min="10213" max="10460" width="9" style="145" customWidth="1"/>
    <col min="10461" max="10461" width="9.125" style="145" customWidth="1"/>
    <col min="10462" max="10462" width="7.625" style="145" customWidth="1"/>
    <col min="10463" max="10463" width="12.125" style="145" customWidth="1"/>
    <col min="10464" max="10464" width="7" style="145" customWidth="1"/>
    <col min="10465" max="10465" width="16" style="145" customWidth="1"/>
    <col min="10466" max="10466" width="13" style="145" customWidth="1"/>
    <col min="10467" max="10467" width="12.125" style="145" customWidth="1"/>
    <col min="10468" max="10468" width="13.625" style="145" customWidth="1"/>
    <col min="10469" max="10716" width="9" style="145" customWidth="1"/>
    <col min="10717" max="10717" width="9.125" style="145" customWidth="1"/>
    <col min="10718" max="10718" width="7.625" style="145" customWidth="1"/>
    <col min="10719" max="10719" width="12.125" style="145" customWidth="1"/>
    <col min="10720" max="10720" width="7" style="145" customWidth="1"/>
    <col min="10721" max="10721" width="16" style="145" customWidth="1"/>
    <col min="10722" max="10722" width="13" style="145" customWidth="1"/>
    <col min="10723" max="10723" width="12.125" style="145" customWidth="1"/>
    <col min="10724" max="10724" width="13.625" style="145" customWidth="1"/>
    <col min="10725" max="10972" width="9" style="145" customWidth="1"/>
    <col min="10973" max="10973" width="9.125" style="145" customWidth="1"/>
    <col min="10974" max="10974" width="7.625" style="145" customWidth="1"/>
    <col min="10975" max="10975" width="12.125" style="145" customWidth="1"/>
    <col min="10976" max="10976" width="7" style="145" customWidth="1"/>
    <col min="10977" max="10977" width="16" style="145" customWidth="1"/>
    <col min="10978" max="10978" width="13" style="145" customWidth="1"/>
    <col min="10979" max="10979" width="12.125" style="145" customWidth="1"/>
    <col min="10980" max="10980" width="13.625" style="145" customWidth="1"/>
    <col min="10981" max="11228" width="9" style="145" customWidth="1"/>
    <col min="11229" max="11229" width="9.125" style="145" customWidth="1"/>
    <col min="11230" max="11230" width="7.625" style="145" customWidth="1"/>
    <col min="11231" max="11231" width="12.125" style="145" customWidth="1"/>
    <col min="11232" max="11232" width="7" style="145" customWidth="1"/>
    <col min="11233" max="11233" width="16" style="145" customWidth="1"/>
    <col min="11234" max="11234" width="13" style="145" customWidth="1"/>
    <col min="11235" max="11235" width="12.125" style="145" customWidth="1"/>
    <col min="11236" max="11236" width="13.625" style="145" customWidth="1"/>
    <col min="11237" max="11484" width="9" style="145" customWidth="1"/>
    <col min="11485" max="11485" width="9.125" style="145" customWidth="1"/>
    <col min="11486" max="11486" width="7.625" style="145" customWidth="1"/>
    <col min="11487" max="11487" width="12.125" style="145" customWidth="1"/>
    <col min="11488" max="11488" width="7" style="145" customWidth="1"/>
    <col min="11489" max="11489" width="16" style="145" customWidth="1"/>
    <col min="11490" max="11490" width="13" style="145" customWidth="1"/>
    <col min="11491" max="11491" width="12.125" style="145" customWidth="1"/>
    <col min="11492" max="11492" width="13.625" style="145" customWidth="1"/>
    <col min="11493" max="11740" width="9" style="145" customWidth="1"/>
    <col min="11741" max="11741" width="9.125" style="145" customWidth="1"/>
    <col min="11742" max="11742" width="7.625" style="145" customWidth="1"/>
    <col min="11743" max="11743" width="12.125" style="145" customWidth="1"/>
    <col min="11744" max="11744" width="7" style="145" customWidth="1"/>
    <col min="11745" max="11745" width="16" style="145" customWidth="1"/>
    <col min="11746" max="11746" width="13" style="145" customWidth="1"/>
    <col min="11747" max="11747" width="12.125" style="145" customWidth="1"/>
    <col min="11748" max="11748" width="13.625" style="145" customWidth="1"/>
    <col min="11749" max="11996" width="9" style="145" customWidth="1"/>
    <col min="11997" max="11997" width="9.125" style="145" customWidth="1"/>
    <col min="11998" max="11998" width="7.625" style="145" customWidth="1"/>
    <col min="11999" max="11999" width="12.125" style="145" customWidth="1"/>
    <col min="12000" max="12000" width="7" style="145" customWidth="1"/>
    <col min="12001" max="12001" width="16" style="145" customWidth="1"/>
    <col min="12002" max="12002" width="13" style="145" customWidth="1"/>
    <col min="12003" max="12003" width="12.125" style="145" customWidth="1"/>
    <col min="12004" max="12004" width="13.625" style="145" customWidth="1"/>
    <col min="12005" max="12252" width="9" style="145" customWidth="1"/>
    <col min="12253" max="12253" width="9.125" style="145" customWidth="1"/>
    <col min="12254" max="12254" width="7.625" style="145" customWidth="1"/>
    <col min="12255" max="12255" width="12.125" style="145" customWidth="1"/>
    <col min="12256" max="12256" width="7" style="145" customWidth="1"/>
    <col min="12257" max="12257" width="16" style="145" customWidth="1"/>
    <col min="12258" max="12258" width="13" style="145" customWidth="1"/>
    <col min="12259" max="12259" width="12.125" style="145" customWidth="1"/>
    <col min="12260" max="12260" width="13.625" style="145" customWidth="1"/>
    <col min="12261" max="12508" width="9" style="145" customWidth="1"/>
    <col min="12509" max="12509" width="9.125" style="145" customWidth="1"/>
    <col min="12510" max="12510" width="7.625" style="145" customWidth="1"/>
    <col min="12511" max="12511" width="12.125" style="145" customWidth="1"/>
    <col min="12512" max="12512" width="7" style="145" customWidth="1"/>
    <col min="12513" max="12513" width="16" style="145" customWidth="1"/>
    <col min="12514" max="12514" width="13" style="145" customWidth="1"/>
    <col min="12515" max="12515" width="12.125" style="145" customWidth="1"/>
    <col min="12516" max="12516" width="13.625" style="145" customWidth="1"/>
    <col min="12517" max="12764" width="9" style="145" customWidth="1"/>
    <col min="12765" max="12765" width="9.125" style="145" customWidth="1"/>
    <col min="12766" max="12766" width="7.625" style="145" customWidth="1"/>
    <col min="12767" max="12767" width="12.125" style="145" customWidth="1"/>
    <col min="12768" max="12768" width="7" style="145" customWidth="1"/>
    <col min="12769" max="12769" width="16" style="145" customWidth="1"/>
    <col min="12770" max="12770" width="13" style="145" customWidth="1"/>
    <col min="12771" max="12771" width="12.125" style="145" customWidth="1"/>
    <col min="12772" max="12772" width="13.625" style="145" customWidth="1"/>
    <col min="12773" max="13020" width="9" style="145" customWidth="1"/>
    <col min="13021" max="13021" width="9.125" style="145" customWidth="1"/>
    <col min="13022" max="13022" width="7.625" style="145" customWidth="1"/>
    <col min="13023" max="13023" width="12.125" style="145" customWidth="1"/>
    <col min="13024" max="13024" width="7" style="145" customWidth="1"/>
    <col min="13025" max="13025" width="16" style="145" customWidth="1"/>
    <col min="13026" max="13026" width="13" style="145" customWidth="1"/>
    <col min="13027" max="13027" width="12.125" style="145" customWidth="1"/>
    <col min="13028" max="13028" width="13.625" style="145" customWidth="1"/>
    <col min="13029" max="13276" width="9" style="145" customWidth="1"/>
    <col min="13277" max="13277" width="9.125" style="145" customWidth="1"/>
    <col min="13278" max="13278" width="7.625" style="145" customWidth="1"/>
    <col min="13279" max="13279" width="12.125" style="145" customWidth="1"/>
    <col min="13280" max="13280" width="7" style="145" customWidth="1"/>
    <col min="13281" max="13281" width="16" style="145" customWidth="1"/>
    <col min="13282" max="13282" width="13" style="145" customWidth="1"/>
    <col min="13283" max="13283" width="12.125" style="145" customWidth="1"/>
    <col min="13284" max="13284" width="13.625" style="145" customWidth="1"/>
    <col min="13285" max="13532" width="9" style="145" customWidth="1"/>
    <col min="13533" max="13533" width="9.125" style="145" customWidth="1"/>
    <col min="13534" max="13534" width="7.625" style="145" customWidth="1"/>
    <col min="13535" max="13535" width="12.125" style="145" customWidth="1"/>
    <col min="13536" max="13536" width="7" style="145" customWidth="1"/>
    <col min="13537" max="13537" width="16" style="145" customWidth="1"/>
    <col min="13538" max="13538" width="13" style="145" customWidth="1"/>
    <col min="13539" max="13539" width="12.125" style="145" customWidth="1"/>
    <col min="13540" max="13540" width="13.625" style="145" customWidth="1"/>
    <col min="13541" max="13788" width="9" style="145" customWidth="1"/>
    <col min="13789" max="13789" width="9.125" style="145" customWidth="1"/>
    <col min="13790" max="13790" width="7.625" style="145" customWidth="1"/>
    <col min="13791" max="13791" width="12.125" style="145" customWidth="1"/>
    <col min="13792" max="13792" width="7" style="145" customWidth="1"/>
    <col min="13793" max="13793" width="16" style="145" customWidth="1"/>
    <col min="13794" max="13794" width="13" style="145" customWidth="1"/>
    <col min="13795" max="13795" width="12.125" style="145" customWidth="1"/>
    <col min="13796" max="13796" width="13.625" style="145" customWidth="1"/>
    <col min="13797" max="14044" width="9" style="145" customWidth="1"/>
    <col min="14045" max="14045" width="9.125" style="145" customWidth="1"/>
    <col min="14046" max="14046" width="7.625" style="145" customWidth="1"/>
    <col min="14047" max="14047" width="12.125" style="145" customWidth="1"/>
    <col min="14048" max="14048" width="7" style="145" customWidth="1"/>
    <col min="14049" max="14049" width="16" style="145" customWidth="1"/>
    <col min="14050" max="14050" width="13" style="145" customWidth="1"/>
    <col min="14051" max="14051" width="12.125" style="145" customWidth="1"/>
    <col min="14052" max="14052" width="13.625" style="145" customWidth="1"/>
    <col min="14053" max="14300" width="9" style="145" customWidth="1"/>
    <col min="14301" max="14301" width="9.125" style="145" customWidth="1"/>
    <col min="14302" max="14302" width="7.625" style="145" customWidth="1"/>
    <col min="14303" max="14303" width="12.125" style="145" customWidth="1"/>
    <col min="14304" max="14304" width="7" style="145" customWidth="1"/>
    <col min="14305" max="14305" width="16" style="145" customWidth="1"/>
    <col min="14306" max="14306" width="13" style="145" customWidth="1"/>
    <col min="14307" max="14307" width="12.125" style="145" customWidth="1"/>
    <col min="14308" max="14308" width="13.625" style="145" customWidth="1"/>
    <col min="14309" max="14556" width="9" style="145" customWidth="1"/>
    <col min="14557" max="14557" width="9.125" style="145" customWidth="1"/>
    <col min="14558" max="14558" width="7.625" style="145" customWidth="1"/>
    <col min="14559" max="14559" width="12.125" style="145" customWidth="1"/>
    <col min="14560" max="14560" width="7" style="145" customWidth="1"/>
    <col min="14561" max="14561" width="16" style="145" customWidth="1"/>
    <col min="14562" max="14562" width="13" style="145" customWidth="1"/>
    <col min="14563" max="14563" width="12.125" style="145" customWidth="1"/>
    <col min="14564" max="14564" width="13.625" style="145" customWidth="1"/>
    <col min="14565" max="14812" width="9" style="145" customWidth="1"/>
    <col min="14813" max="14813" width="9.125" style="145" customWidth="1"/>
    <col min="14814" max="14814" width="7.625" style="145" customWidth="1"/>
    <col min="14815" max="14815" width="12.125" style="145" customWidth="1"/>
    <col min="14816" max="14816" width="7" style="145" customWidth="1"/>
    <col min="14817" max="14817" width="16" style="145" customWidth="1"/>
    <col min="14818" max="14818" width="13" style="145" customWidth="1"/>
    <col min="14819" max="14819" width="12.125" style="145" customWidth="1"/>
    <col min="14820" max="14820" width="13.625" style="145" customWidth="1"/>
    <col min="14821" max="15068" width="9" style="145" customWidth="1"/>
    <col min="15069" max="15069" width="9.125" style="145" customWidth="1"/>
    <col min="15070" max="15070" width="7.625" style="145" customWidth="1"/>
    <col min="15071" max="15071" width="12.125" style="145" customWidth="1"/>
    <col min="15072" max="15072" width="7" style="145" customWidth="1"/>
    <col min="15073" max="15073" width="16" style="145" customWidth="1"/>
    <col min="15074" max="15074" width="13" style="145" customWidth="1"/>
    <col min="15075" max="15075" width="12.125" style="145" customWidth="1"/>
    <col min="15076" max="15076" width="13.625" style="145" customWidth="1"/>
    <col min="15077" max="15324" width="9" style="145" customWidth="1"/>
    <col min="15325" max="15325" width="9.125" style="145" customWidth="1"/>
    <col min="15326" max="15326" width="7.625" style="145" customWidth="1"/>
    <col min="15327" max="15327" width="12.125" style="145" customWidth="1"/>
    <col min="15328" max="15328" width="7" style="145" customWidth="1"/>
    <col min="15329" max="15329" width="16" style="145" customWidth="1"/>
    <col min="15330" max="15330" width="13" style="145" customWidth="1"/>
    <col min="15331" max="15331" width="12.125" style="145" customWidth="1"/>
    <col min="15332" max="15332" width="13.625" style="145" customWidth="1"/>
    <col min="15333" max="15580" width="9" style="145" customWidth="1"/>
    <col min="15581" max="15581" width="9.125" style="145" customWidth="1"/>
    <col min="15582" max="15582" width="7.625" style="145" customWidth="1"/>
    <col min="15583" max="15583" width="12.125" style="145" customWidth="1"/>
    <col min="15584" max="15584" width="7" style="145" customWidth="1"/>
    <col min="15585" max="15585" width="16" style="145" customWidth="1"/>
    <col min="15586" max="15586" width="13" style="145" customWidth="1"/>
    <col min="15587" max="15587" width="12.125" style="145" customWidth="1"/>
    <col min="15588" max="15588" width="13.625" style="145" customWidth="1"/>
    <col min="15589" max="15836" width="9" style="145" customWidth="1"/>
    <col min="15837" max="15837" width="9.125" style="145" customWidth="1"/>
    <col min="15838" max="15838" width="7.625" style="145" customWidth="1"/>
    <col min="15839" max="15839" width="12.125" style="145" customWidth="1"/>
    <col min="15840" max="15840" width="7" style="145" customWidth="1"/>
    <col min="15841" max="15841" width="16" style="145" customWidth="1"/>
    <col min="15842" max="15842" width="13" style="145" customWidth="1"/>
    <col min="15843" max="15843" width="12.125" style="145" customWidth="1"/>
    <col min="15844" max="15844" width="13.625" style="145" customWidth="1"/>
    <col min="15845" max="16092" width="9" style="145" customWidth="1"/>
    <col min="16093" max="16093" width="9.125" style="145" customWidth="1"/>
    <col min="16094" max="16094" width="7.625" style="145" customWidth="1"/>
    <col min="16095" max="16095" width="12.125" style="145" customWidth="1"/>
    <col min="16096" max="16096" width="7" style="145" customWidth="1"/>
    <col min="16097" max="16097" width="16" style="145" customWidth="1"/>
    <col min="16098" max="16098" width="13" style="145" customWidth="1"/>
    <col min="16099" max="16099" width="12.125" style="145" customWidth="1"/>
    <col min="16100" max="16100" width="13.625" style="145" customWidth="1"/>
    <col min="16101" max="16384" width="9" style="145" customWidth="1"/>
  </cols>
  <sheetData>
    <row r="1" ht="30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5" customHeight="1" spans="1:25" x14ac:dyDescent="0.25">
      <c r="A2" s="317" t="s">
        <v>25</v>
      </c>
      <c r="B2" s="317"/>
      <c r="C2" s="317"/>
      <c r="D2" s="317"/>
      <c r="E2" s="317"/>
      <c r="F2" s="317"/>
      <c r="G2" s="317"/>
      <c r="H2" s="317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15" customHeight="1" spans="1:25" x14ac:dyDescent="0.25">
      <c r="A3" s="197"/>
      <c r="B3" s="197"/>
      <c r="C3" s="197"/>
      <c r="D3" s="197"/>
      <c r="E3" s="197"/>
      <c r="F3" s="146"/>
      <c r="G3" s="146"/>
      <c r="H3" s="146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15" customHeight="1" spans="1:25" x14ac:dyDescent="0.25">
      <c r="A4" s="145" t="s">
        <v>82</v>
      </c>
      <c r="B4" s="145" t="str">
        <f>'Final Work'!B4</f>
        <v>SAWASDEE RIGEL</v>
      </c>
      <c r="C4" s="145"/>
      <c r="D4" s="145"/>
      <c r="E4" s="318"/>
      <c r="F4" s="13" t="s">
        <v>83</v>
      </c>
      <c r="G4" s="201"/>
      <c r="H4" s="197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ht="12.75" customHeight="1" spans="1:25" x14ac:dyDescent="0.25">
      <c r="A5" s="319"/>
      <c r="B5" s="318"/>
      <c r="C5" s="145"/>
      <c r="D5" s="145"/>
      <c r="E5" s="318"/>
      <c r="F5" s="9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15" customHeight="1" spans="1:25" x14ac:dyDescent="0.25">
      <c r="A6" s="145" t="s">
        <v>84</v>
      </c>
      <c r="B6" s="197" t="str">
        <f>'OS-IN'!H6</f>
        <v>2606N</v>
      </c>
      <c r="C6" s="197"/>
      <c r="D6" s="145"/>
      <c r="E6" s="145" t="s">
        <v>85</v>
      </c>
      <c r="F6" s="13" t="s">
        <v>86</v>
      </c>
      <c r="G6" s="318" t="s">
        <v>25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ht="15.75" customHeight="1" spans="1:25" x14ac:dyDescent="0.25">
      <c r="A7" s="318" t="s">
        <v>85</v>
      </c>
      <c r="B7" s="318"/>
      <c r="C7" s="145"/>
      <c r="D7" s="145"/>
      <c r="E7" s="145"/>
      <c r="F7" s="146"/>
      <c r="G7" s="145"/>
      <c r="H7" s="318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30.75" customHeight="1" spans="1:25" x14ac:dyDescent="0.25">
      <c r="A8" s="145"/>
      <c r="B8" s="320" t="s">
        <v>87</v>
      </c>
      <c r="C8" s="321"/>
      <c r="D8" s="321"/>
      <c r="E8" s="321"/>
      <c r="F8" s="321"/>
      <c r="G8" s="322"/>
      <c r="H8" s="146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ht="17.25" customHeight="1" spans="1:25" x14ac:dyDescent="0.25">
      <c r="A9" s="145"/>
      <c r="B9" s="145"/>
      <c r="C9" s="145"/>
      <c r="D9" s="145"/>
      <c r="E9" s="145"/>
      <c r="F9" s="145"/>
      <c r="G9" s="145"/>
      <c r="H9" s="197" t="s">
        <v>88</v>
      </c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24" customHeight="1" spans="1:25" x14ac:dyDescent="0.25">
      <c r="A10" s="323" t="s">
        <v>89</v>
      </c>
      <c r="B10" s="324"/>
      <c r="C10" s="246"/>
      <c r="D10" s="325" t="s">
        <v>90</v>
      </c>
      <c r="E10" s="245" t="s">
        <v>91</v>
      </c>
      <c r="F10" s="246"/>
      <c r="G10" s="326" t="s">
        <v>92</v>
      </c>
      <c r="H10" s="327" t="s">
        <v>49</v>
      </c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ht="24" customHeight="1" spans="1:25" x14ac:dyDescent="0.25">
      <c r="A11" s="328" t="s">
        <v>93</v>
      </c>
      <c r="B11" s="156"/>
      <c r="C11" s="329" t="s">
        <v>94</v>
      </c>
      <c r="D11" s="330"/>
      <c r="E11" s="329" t="s">
        <v>93</v>
      </c>
      <c r="F11" s="329" t="s">
        <v>94</v>
      </c>
      <c r="G11" s="210"/>
      <c r="H11" s="331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ht="21.95" customHeight="1" spans="1:25" x14ac:dyDescent="0.25">
      <c r="A12" s="332"/>
      <c r="B12" s="333"/>
      <c r="C12" s="333"/>
      <c r="D12" s="334"/>
      <c r="E12" s="334"/>
      <c r="F12" s="333"/>
      <c r="G12" s="334"/>
      <c r="H12" s="33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ht="21.95" customHeight="1" spans="1:25" x14ac:dyDescent="0.25">
      <c r="A13" s="336"/>
      <c r="B13" s="337"/>
      <c r="C13" s="337"/>
      <c r="D13" s="338"/>
      <c r="E13" s="338"/>
      <c r="F13" s="337"/>
      <c r="G13" s="338"/>
      <c r="H13" s="339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</row>
    <row r="14" ht="21.95" customHeight="1" spans="1:25" x14ac:dyDescent="0.25">
      <c r="A14" s="336"/>
      <c r="B14" s="337"/>
      <c r="C14" s="337"/>
      <c r="D14" s="338"/>
      <c r="E14" s="338"/>
      <c r="F14" s="340"/>
      <c r="G14" s="338"/>
      <c r="H14" s="339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21.95" customHeight="1" spans="1:25" x14ac:dyDescent="0.25">
      <c r="A15" s="336"/>
      <c r="B15" s="337"/>
      <c r="C15" s="337"/>
      <c r="D15" s="338"/>
      <c r="E15" s="338"/>
      <c r="F15" s="340"/>
      <c r="G15" s="338"/>
      <c r="H15" s="339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21.95" customHeight="1" spans="1:25" x14ac:dyDescent="0.25">
      <c r="A16" s="336"/>
      <c r="B16" s="337"/>
      <c r="C16" s="337"/>
      <c r="D16" s="338"/>
      <c r="E16" s="338"/>
      <c r="F16" s="341"/>
      <c r="G16" s="338"/>
      <c r="H16" s="339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ht="21.95" customHeight="1" spans="1:25" x14ac:dyDescent="0.25">
      <c r="A17" s="342"/>
      <c r="B17" s="343"/>
      <c r="C17" s="343"/>
      <c r="D17" s="343"/>
      <c r="E17" s="343"/>
      <c r="F17" s="344"/>
      <c r="G17" s="343"/>
      <c r="H17" s="3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ht="21.95" customHeight="1" spans="1:25" x14ac:dyDescent="0.25">
      <c r="A18" s="336"/>
      <c r="B18" s="337"/>
      <c r="C18" s="337"/>
      <c r="D18" s="338"/>
      <c r="E18" s="338"/>
      <c r="F18" s="341"/>
      <c r="G18" s="338"/>
      <c r="H18" s="339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ht="21.95" customHeight="1" spans="1:25" x14ac:dyDescent="0.25">
      <c r="A19" s="336"/>
      <c r="B19" s="337"/>
      <c r="C19" s="337"/>
      <c r="D19" s="338"/>
      <c r="E19" s="338"/>
      <c r="F19" s="341"/>
      <c r="G19" s="338"/>
      <c r="H19" s="339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21.95" customHeight="1" spans="1:25" x14ac:dyDescent="0.25">
      <c r="A20" s="336"/>
      <c r="B20" s="337"/>
      <c r="C20" s="337"/>
      <c r="D20" s="338"/>
      <c r="E20" s="338"/>
      <c r="F20" s="341"/>
      <c r="G20" s="338"/>
      <c r="H20" s="339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21.95" customHeight="1" spans="1:25" x14ac:dyDescent="0.25">
      <c r="A21" s="346"/>
      <c r="B21" s="347"/>
      <c r="C21" s="347"/>
      <c r="D21" s="348"/>
      <c r="E21" s="348"/>
      <c r="F21" s="349"/>
      <c r="G21" s="348"/>
      <c r="H21" s="350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ht="21.95" customHeight="1" spans="1:25" x14ac:dyDescent="0.25">
      <c r="A22" s="351"/>
      <c r="B22" s="352"/>
      <c r="C22" s="352"/>
      <c r="D22" s="353"/>
      <c r="E22" s="353"/>
      <c r="F22" s="354"/>
      <c r="G22" s="353"/>
      <c r="H22" s="35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21.95" customHeight="1" spans="1:25" x14ac:dyDescent="0.25">
      <c r="A23" s="336"/>
      <c r="B23" s="337"/>
      <c r="C23" s="337"/>
      <c r="D23" s="338"/>
      <c r="E23" s="338"/>
      <c r="F23" s="340"/>
      <c r="G23" s="338"/>
      <c r="H23" s="339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21.95" customHeight="1" spans="1:25" x14ac:dyDescent="0.25">
      <c r="A24" s="336"/>
      <c r="B24" s="337"/>
      <c r="C24" s="337"/>
      <c r="D24" s="338"/>
      <c r="E24" s="338"/>
      <c r="F24" s="340"/>
      <c r="G24" s="338"/>
      <c r="H24" s="339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21.95" customHeight="1" spans="1:25" x14ac:dyDescent="0.25">
      <c r="A25" s="336"/>
      <c r="B25" s="337"/>
      <c r="C25" s="337"/>
      <c r="D25" s="338"/>
      <c r="E25" s="338"/>
      <c r="F25" s="340"/>
      <c r="G25" s="338"/>
      <c r="H25" s="339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21.95" customHeight="1" spans="1:25" x14ac:dyDescent="0.25">
      <c r="A26" s="356"/>
      <c r="B26" s="357"/>
      <c r="C26" s="357"/>
      <c r="D26" s="358"/>
      <c r="E26" s="358"/>
      <c r="F26" s="359"/>
      <c r="G26" s="358"/>
      <c r="H26" s="360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21.95" customHeight="1" spans="1:25" x14ac:dyDescent="0.25">
      <c r="A27" s="361"/>
      <c r="B27" s="362"/>
      <c r="C27" s="363"/>
      <c r="D27" s="363"/>
      <c r="E27" s="363"/>
      <c r="F27" s="363"/>
      <c r="G27" s="363"/>
      <c r="H27" s="364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21.95" customHeight="1" spans="1:25" x14ac:dyDescent="0.25">
      <c r="A28" s="365"/>
      <c r="B28" s="366"/>
      <c r="C28" s="337"/>
      <c r="D28" s="337"/>
      <c r="E28" s="337"/>
      <c r="F28" s="337"/>
      <c r="G28" s="337"/>
      <c r="H28" s="339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21.95" customHeight="1" spans="1:25" x14ac:dyDescent="0.25">
      <c r="A29" s="365"/>
      <c r="B29" s="366"/>
      <c r="C29" s="367"/>
      <c r="D29" s="367"/>
      <c r="E29" s="367"/>
      <c r="F29" s="367"/>
      <c r="G29" s="367"/>
      <c r="H29" s="368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21.95" customHeight="1" spans="1:25" x14ac:dyDescent="0.25">
      <c r="A30" s="365"/>
      <c r="B30" s="366"/>
      <c r="C30" s="367"/>
      <c r="D30" s="367"/>
      <c r="E30" s="367"/>
      <c r="F30" s="367"/>
      <c r="G30" s="367"/>
      <c r="H30" s="368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21.95" customHeight="1" spans="1:25" x14ac:dyDescent="0.25">
      <c r="A31" s="369"/>
      <c r="B31" s="370"/>
      <c r="C31" s="371"/>
      <c r="D31" s="371"/>
      <c r="E31" s="371"/>
      <c r="F31" s="371"/>
      <c r="G31" s="371"/>
      <c r="H31" s="372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9" customHeight="1" spans="1:25" x14ac:dyDescent="0.25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21.95" customHeight="1" spans="1:25" x14ac:dyDescent="0.25">
      <c r="A33" s="206" t="s">
        <v>95</v>
      </c>
      <c r="B33" s="203" t="s">
        <v>96</v>
      </c>
      <c r="C33" s="313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21.95" customHeight="1" spans="1:25" x14ac:dyDescent="0.25">
      <c r="A34" s="373"/>
      <c r="B34" s="203" t="s">
        <v>97</v>
      </c>
      <c r="C34" s="313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ht="21.95" customHeight="1" spans="1:25" x14ac:dyDescent="0.25">
      <c r="A35" s="206" t="s">
        <v>98</v>
      </c>
      <c r="B35" s="203" t="s">
        <v>96</v>
      </c>
      <c r="C35" s="313">
        <v>2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ht="21.95" customHeight="1" spans="1:25" x14ac:dyDescent="0.25">
      <c r="A36" s="210"/>
      <c r="B36" s="207" t="s">
        <v>97</v>
      </c>
      <c r="C36" s="38"/>
      <c r="D36" s="145"/>
      <c r="E36" s="145"/>
      <c r="F36" s="145"/>
      <c r="G36" s="194"/>
      <c r="H36" s="194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ht="21.95" customHeight="1" spans="1:25" x14ac:dyDescent="0.25">
      <c r="A37" s="374" t="s">
        <v>99</v>
      </c>
      <c r="B37" s="375"/>
      <c r="C37" s="313">
        <f>SUM(C33:C36)</f>
        <v>2</v>
      </c>
      <c r="D37" s="145"/>
      <c r="E37" s="145"/>
      <c r="F37" s="145"/>
      <c r="G37" s="195" t="s">
        <v>22</v>
      </c>
      <c r="H37" s="19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ht="30" customHeight="1" spans="1:25" x14ac:dyDescent="0.25">
      <c r="A38" s="198" t="s">
        <v>24</v>
      </c>
      <c r="B38" s="198"/>
      <c r="C38" s="198"/>
      <c r="D38" s="198"/>
      <c r="E38" s="198"/>
      <c r="F38" s="198"/>
      <c r="G38" s="198"/>
      <c r="H38" s="198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ht="15" customHeight="1" spans="1:25" x14ac:dyDescent="0.25">
      <c r="A39" s="317" t="s">
        <v>25</v>
      </c>
      <c r="B39" s="317"/>
      <c r="C39" s="317"/>
      <c r="D39" s="317"/>
      <c r="E39" s="317"/>
      <c r="F39" s="317"/>
      <c r="G39" s="317"/>
      <c r="H39" s="317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ht="15" customHeight="1" spans="1:25" x14ac:dyDescent="0.25">
      <c r="A40" s="197"/>
      <c r="B40" s="197"/>
      <c r="C40" s="197"/>
      <c r="D40" s="197"/>
      <c r="E40" s="197"/>
      <c r="F40" s="146"/>
      <c r="G40" s="146"/>
      <c r="H40" s="146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ht="15" customHeight="1" spans="1:25" x14ac:dyDescent="0.25">
      <c r="A41" s="145" t="s">
        <v>82</v>
      </c>
      <c r="B41" s="145" t="str">
        <f>'Final Work'!B4</f>
        <v>SAWASDEE RIGEL</v>
      </c>
      <c r="C41" s="145"/>
      <c r="D41" s="145"/>
      <c r="E41" s="318"/>
      <c r="F41" s="13" t="s">
        <v>83</v>
      </c>
      <c r="G41" s="201">
        <f>'OS-OUT'!L6</f>
        <v>46214</v>
      </c>
      <c r="H41" s="197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</row>
    <row r="42" ht="12.75" customHeight="1" spans="1:25" x14ac:dyDescent="0.25">
      <c r="A42" s="319"/>
      <c r="B42" s="318"/>
      <c r="C42" s="145"/>
      <c r="D42" s="145"/>
      <c r="E42" s="318"/>
      <c r="F42" s="9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ht="15" customHeight="1" spans="1:25" x14ac:dyDescent="0.25">
      <c r="A43" s="145" t="s">
        <v>84</v>
      </c>
      <c r="B43" s="197" t="str">
        <f>'OS-OUT'!H6</f>
        <v>2606N</v>
      </c>
      <c r="C43" s="197"/>
      <c r="D43" s="145"/>
      <c r="E43" s="145" t="s">
        <v>85</v>
      </c>
      <c r="F43" s="13" t="s">
        <v>86</v>
      </c>
      <c r="G43" s="318" t="s">
        <v>25</v>
      </c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ht="15.75" customHeight="1" spans="1:25" x14ac:dyDescent="0.25">
      <c r="A44" s="318" t="s">
        <v>85</v>
      </c>
      <c r="B44" s="318"/>
      <c r="C44" s="145"/>
      <c r="D44" s="145"/>
      <c r="E44" s="145"/>
      <c r="F44" s="146"/>
      <c r="G44" s="145"/>
      <c r="H44" s="318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ht="30.75" customHeight="1" spans="1:25" x14ac:dyDescent="0.25">
      <c r="A45" s="145"/>
      <c r="B45" s="320" t="s">
        <v>87</v>
      </c>
      <c r="C45" s="321"/>
      <c r="D45" s="321"/>
      <c r="E45" s="321"/>
      <c r="F45" s="321"/>
      <c r="G45" s="322"/>
      <c r="H45" s="376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ht="17.25" customHeight="1" spans="1:25" x14ac:dyDescent="0.25">
      <c r="A46" s="145"/>
      <c r="B46" s="145"/>
      <c r="C46" s="145"/>
      <c r="D46" s="145"/>
      <c r="E46" s="145"/>
      <c r="F46" s="145"/>
      <c r="G46" s="145"/>
      <c r="H46" s="197" t="s">
        <v>100</v>
      </c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ht="24" customHeight="1" spans="1:25" x14ac:dyDescent="0.25">
      <c r="A47" s="323" t="s">
        <v>89</v>
      </c>
      <c r="B47" s="324"/>
      <c r="C47" s="246"/>
      <c r="D47" s="325" t="s">
        <v>90</v>
      </c>
      <c r="E47" s="245" t="s">
        <v>91</v>
      </c>
      <c r="F47" s="246"/>
      <c r="G47" s="326" t="s">
        <v>92</v>
      </c>
      <c r="H47" s="327" t="s">
        <v>49</v>
      </c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ht="24" customHeight="1" spans="1:25" x14ac:dyDescent="0.25">
      <c r="A48" s="328" t="s">
        <v>93</v>
      </c>
      <c r="B48" s="156"/>
      <c r="C48" s="329" t="s">
        <v>94</v>
      </c>
      <c r="D48" s="330"/>
      <c r="E48" s="329" t="s">
        <v>93</v>
      </c>
      <c r="F48" s="329" t="s">
        <v>94</v>
      </c>
      <c r="G48" s="210"/>
      <c r="H48" s="331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ht="21.95" customHeight="1" spans="1:25" x14ac:dyDescent="0.25">
      <c r="A49" s="332" t="s">
        <v>53</v>
      </c>
      <c r="B49" s="333"/>
      <c r="C49" s="377"/>
      <c r="D49" s="334"/>
      <c r="E49" s="334"/>
      <c r="F49" s="378"/>
      <c r="G49" s="334"/>
      <c r="H49" s="379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ht="21.95" customHeight="1" spans="1:25" x14ac:dyDescent="0.25">
      <c r="A50" s="351"/>
      <c r="B50" s="352"/>
      <c r="C50" s="353"/>
      <c r="D50" s="353"/>
      <c r="E50" s="353"/>
      <c r="F50" s="380"/>
      <c r="G50" s="353"/>
      <c r="H50" s="381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ht="21.95" customHeight="1" spans="1:25" x14ac:dyDescent="0.25">
      <c r="A51" s="336"/>
      <c r="B51" s="382"/>
      <c r="C51" s="383"/>
      <c r="D51" s="384"/>
      <c r="E51" s="384"/>
      <c r="F51" s="385"/>
      <c r="G51" s="384"/>
      <c r="H51" s="386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  <row r="52" ht="21.95" customHeight="1" spans="1:25" x14ac:dyDescent="0.25">
      <c r="A52" s="387"/>
      <c r="B52" s="384"/>
      <c r="C52" s="383"/>
      <c r="D52" s="384"/>
      <c r="E52" s="384"/>
      <c r="F52" s="385"/>
      <c r="G52" s="384"/>
      <c r="H52" s="386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</row>
    <row r="53" ht="21.95" customHeight="1" spans="1:25" x14ac:dyDescent="0.25">
      <c r="A53" s="388"/>
      <c r="B53" s="389"/>
      <c r="C53" s="389"/>
      <c r="D53" s="348"/>
      <c r="E53" s="348"/>
      <c r="F53" s="390"/>
      <c r="G53" s="348"/>
      <c r="H53" s="391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</row>
    <row r="54" ht="21.95" customHeight="1" spans="1:25" x14ac:dyDescent="0.25">
      <c r="A54" s="392"/>
      <c r="B54" s="393"/>
      <c r="C54" s="393"/>
      <c r="D54" s="394"/>
      <c r="E54" s="394"/>
      <c r="F54" s="395"/>
      <c r="G54" s="394"/>
      <c r="H54" s="396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</row>
    <row r="55" ht="21.95" customHeight="1" spans="1:25" x14ac:dyDescent="0.25">
      <c r="A55" s="397"/>
      <c r="B55" s="398"/>
      <c r="C55" s="398"/>
      <c r="D55" s="384"/>
      <c r="E55" s="384"/>
      <c r="F55" s="385"/>
      <c r="G55" s="384"/>
      <c r="H55" s="386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</row>
    <row r="56" ht="21.95" customHeight="1" spans="1:25" x14ac:dyDescent="0.25">
      <c r="A56" s="399"/>
      <c r="B56" s="400"/>
      <c r="C56" s="398"/>
      <c r="D56" s="384"/>
      <c r="E56" s="384"/>
      <c r="F56" s="385"/>
      <c r="G56" s="384"/>
      <c r="H56" s="386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</row>
    <row r="57" ht="21.95" customHeight="1" spans="1:25" x14ac:dyDescent="0.25">
      <c r="A57" s="401"/>
      <c r="B57" s="402"/>
      <c r="C57" s="383"/>
      <c r="D57" s="384"/>
      <c r="E57" s="384"/>
      <c r="F57" s="385"/>
      <c r="G57" s="384"/>
      <c r="H57" s="386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</row>
    <row r="58" ht="21.95" customHeight="1" spans="1:25" x14ac:dyDescent="0.25">
      <c r="A58" s="403"/>
      <c r="B58" s="348"/>
      <c r="C58" s="404"/>
      <c r="D58" s="348"/>
      <c r="E58" s="348"/>
      <c r="F58" s="348"/>
      <c r="G58" s="348"/>
      <c r="H58" s="391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</row>
    <row r="59" ht="21.95" customHeight="1" spans="1:25" x14ac:dyDescent="0.25">
      <c r="A59" s="405"/>
      <c r="B59" s="353"/>
      <c r="C59" s="406"/>
      <c r="D59" s="353"/>
      <c r="E59" s="353"/>
      <c r="F59" s="353"/>
      <c r="G59" s="353"/>
      <c r="H59" s="381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</row>
    <row r="60" ht="21.95" customHeight="1" spans="1:25" x14ac:dyDescent="0.25">
      <c r="A60" s="387"/>
      <c r="B60" s="384"/>
      <c r="C60" s="407"/>
      <c r="D60" s="384"/>
      <c r="E60" s="384"/>
      <c r="F60" s="384"/>
      <c r="G60" s="384"/>
      <c r="H60" s="386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</row>
    <row r="61" ht="21.95" customHeight="1" spans="1:25" x14ac:dyDescent="0.25">
      <c r="A61" s="387"/>
      <c r="B61" s="384"/>
      <c r="C61" s="383"/>
      <c r="D61" s="384"/>
      <c r="E61" s="384"/>
      <c r="F61" s="384"/>
      <c r="G61" s="384"/>
      <c r="H61" s="386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</row>
    <row r="62" ht="21.95" customHeight="1" spans="1:25" x14ac:dyDescent="0.25">
      <c r="A62" s="387"/>
      <c r="B62" s="384"/>
      <c r="C62" s="383"/>
      <c r="D62" s="384"/>
      <c r="E62" s="384"/>
      <c r="F62" s="384"/>
      <c r="G62" s="384"/>
      <c r="H62" s="386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</row>
    <row r="63" ht="21.95" customHeight="1" spans="1:25" x14ac:dyDescent="0.25">
      <c r="A63" s="403"/>
      <c r="B63" s="348"/>
      <c r="C63" s="404"/>
      <c r="D63" s="348"/>
      <c r="E63" s="348"/>
      <c r="F63" s="348"/>
      <c r="G63" s="348"/>
      <c r="H63" s="391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</row>
    <row r="64" ht="21.95" customHeight="1" spans="1:25" x14ac:dyDescent="0.25">
      <c r="A64" s="342"/>
      <c r="B64" s="343"/>
      <c r="C64" s="408"/>
      <c r="D64" s="343"/>
      <c r="E64" s="343"/>
      <c r="F64" s="343"/>
      <c r="G64" s="343"/>
      <c r="H64" s="3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</row>
    <row r="65" ht="21.95" customHeight="1" spans="1:25" x14ac:dyDescent="0.25">
      <c r="A65" s="387"/>
      <c r="B65" s="384"/>
      <c r="C65" s="383"/>
      <c r="D65" s="384"/>
      <c r="E65" s="384"/>
      <c r="F65" s="384"/>
      <c r="G65" s="384"/>
      <c r="H65" s="386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</row>
    <row r="66" ht="21.95" customHeight="1" spans="1:25" x14ac:dyDescent="0.25">
      <c r="A66" s="387"/>
      <c r="B66" s="384"/>
      <c r="C66" s="383"/>
      <c r="D66" s="384"/>
      <c r="E66" s="384"/>
      <c r="F66" s="384"/>
      <c r="G66" s="384"/>
      <c r="H66" s="386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</row>
    <row r="67" ht="21.95" customHeight="1" spans="1:25" x14ac:dyDescent="0.25">
      <c r="A67" s="387"/>
      <c r="B67" s="384"/>
      <c r="C67" s="383"/>
      <c r="D67" s="384"/>
      <c r="E67" s="384"/>
      <c r="F67" s="384"/>
      <c r="G67" s="384"/>
      <c r="H67" s="386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</row>
    <row r="68" ht="21.95" customHeight="1" spans="1:25" x14ac:dyDescent="0.25">
      <c r="A68" s="403"/>
      <c r="B68" s="348"/>
      <c r="C68" s="404"/>
      <c r="D68" s="348"/>
      <c r="E68" s="348"/>
      <c r="F68" s="404"/>
      <c r="G68" s="348"/>
      <c r="H68" s="391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</row>
    <row r="69" ht="9" customHeight="1" spans="1:25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</row>
    <row r="70" ht="21.95" customHeight="1" spans="1:25" x14ac:dyDescent="0.25">
      <c r="A70" s="206" t="s">
        <v>95</v>
      </c>
      <c r="B70" s="292" t="s">
        <v>96</v>
      </c>
      <c r="C70" s="289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</row>
    <row r="71" ht="21.95" customHeight="1" spans="1:25" x14ac:dyDescent="0.25">
      <c r="A71" s="373"/>
      <c r="B71" s="292" t="s">
        <v>97</v>
      </c>
      <c r="C71" s="289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</row>
    <row r="72" ht="21.95" customHeight="1" spans="1:25" x14ac:dyDescent="0.25">
      <c r="A72" s="206" t="s">
        <v>98</v>
      </c>
      <c r="B72" s="292" t="s">
        <v>96</v>
      </c>
      <c r="C72" s="289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</row>
    <row r="73" ht="21.95" customHeight="1" spans="1:25" x14ac:dyDescent="0.25">
      <c r="A73" s="210"/>
      <c r="B73" s="207" t="s">
        <v>97</v>
      </c>
      <c r="C73" s="38"/>
      <c r="D73" s="145"/>
      <c r="E73" s="145"/>
      <c r="F73" s="145"/>
      <c r="G73" s="194"/>
      <c r="H73" s="194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</row>
    <row r="74" ht="21.95" customHeight="1" spans="1:25" x14ac:dyDescent="0.25">
      <c r="A74" s="374" t="s">
        <v>99</v>
      </c>
      <c r="B74" s="375"/>
      <c r="C74" s="289">
        <f>SUM(C70:C73)</f>
        <v>0</v>
      </c>
      <c r="D74" s="145"/>
      <c r="E74" s="145"/>
      <c r="F74" s="145"/>
      <c r="G74" s="195" t="s">
        <v>22</v>
      </c>
      <c r="H74" s="19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</row>
    <row r="75" spans="1:25" x14ac:dyDescent="0.25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</row>
    <row r="76" spans="1:25" x14ac:dyDescent="0.25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</row>
    <row r="77" spans="1:25" x14ac:dyDescent="0.25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</row>
    <row r="78" spans="1:25" x14ac:dyDescent="0.25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</row>
    <row r="79" spans="1:25" x14ac:dyDescent="0.25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</row>
  </sheetData>
  <mergeCells count="50">
    <mergeCell ref="A1:H1"/>
    <mergeCell ref="A2:H2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7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13.875" style="5" customWidth="1"/>
    <col min="2" max="2" width="9.875" style="5" customWidth="1"/>
    <col min="3" max="3" width="8.125" style="5" customWidth="1"/>
    <col min="4" max="4" width="7.625" style="5" customWidth="1"/>
    <col min="5" max="5" width="5.625" style="5" customWidth="1"/>
    <col min="6" max="7" width="8.375" style="5" customWidth="1"/>
    <col min="8" max="9" width="11.125" style="5" customWidth="1"/>
    <col min="10" max="253" width="9" style="5" customWidth="1"/>
    <col min="254" max="254" width="13.875" style="5" customWidth="1"/>
    <col min="255" max="255" width="9.875" style="5" customWidth="1"/>
    <col min="256" max="256" width="8.375" style="5" customWidth="1"/>
    <col min="257" max="257" width="8.25" style="5" customWidth="1"/>
    <col min="258" max="258" width="5.625" style="5" customWidth="1"/>
    <col min="259" max="260" width="8.375" style="5" customWidth="1"/>
    <col min="261" max="261" width="11.125" style="5" customWidth="1"/>
    <col min="262" max="262" width="11.625" style="5" customWidth="1"/>
    <col min="263" max="509" width="9" style="5" customWidth="1"/>
    <col min="510" max="510" width="13.875" style="5" customWidth="1"/>
    <col min="511" max="511" width="9.875" style="5" customWidth="1"/>
    <col min="512" max="512" width="8.375" style="5" customWidth="1"/>
    <col min="513" max="513" width="8.25" style="5" customWidth="1"/>
    <col min="514" max="514" width="5.625" style="5" customWidth="1"/>
    <col min="515" max="516" width="8.375" style="5" customWidth="1"/>
    <col min="517" max="517" width="11.125" style="5" customWidth="1"/>
    <col min="518" max="518" width="11.625" style="5" customWidth="1"/>
    <col min="519" max="765" width="9" style="5" customWidth="1"/>
    <col min="766" max="766" width="13.875" style="5" customWidth="1"/>
    <col min="767" max="767" width="9.875" style="5" customWidth="1"/>
    <col min="768" max="768" width="8.375" style="5" customWidth="1"/>
    <col min="769" max="769" width="8.25" style="5" customWidth="1"/>
    <col min="770" max="770" width="5.625" style="5" customWidth="1"/>
    <col min="771" max="772" width="8.375" style="5" customWidth="1"/>
    <col min="773" max="773" width="11.125" style="5" customWidth="1"/>
    <col min="774" max="774" width="11.625" style="5" customWidth="1"/>
    <col min="775" max="1021" width="9" style="5" customWidth="1"/>
    <col min="1022" max="1022" width="13.875" style="5" customWidth="1"/>
    <col min="1023" max="1023" width="9.875" style="5" customWidth="1"/>
    <col min="1024" max="1024" width="8.375" style="5" customWidth="1"/>
    <col min="1025" max="1025" width="8.25" style="5" customWidth="1"/>
    <col min="1026" max="1026" width="5.625" style="5" customWidth="1"/>
    <col min="1027" max="1028" width="8.375" style="5" customWidth="1"/>
    <col min="1029" max="1029" width="11.125" style="5" customWidth="1"/>
    <col min="1030" max="1030" width="11.625" style="5" customWidth="1"/>
    <col min="1031" max="1277" width="9" style="5" customWidth="1"/>
    <col min="1278" max="1278" width="13.875" style="5" customWidth="1"/>
    <col min="1279" max="1279" width="9.875" style="5" customWidth="1"/>
    <col min="1280" max="1280" width="8.375" style="5" customWidth="1"/>
    <col min="1281" max="1281" width="8.25" style="5" customWidth="1"/>
    <col min="1282" max="1282" width="5.625" style="5" customWidth="1"/>
    <col min="1283" max="1284" width="8.375" style="5" customWidth="1"/>
    <col min="1285" max="1285" width="11.125" style="5" customWidth="1"/>
    <col min="1286" max="1286" width="11.625" style="5" customWidth="1"/>
    <col min="1287" max="1533" width="9" style="5" customWidth="1"/>
    <col min="1534" max="1534" width="13.875" style="5" customWidth="1"/>
    <col min="1535" max="1535" width="9.875" style="5" customWidth="1"/>
    <col min="1536" max="1536" width="8.375" style="5" customWidth="1"/>
    <col min="1537" max="1537" width="8.25" style="5" customWidth="1"/>
    <col min="1538" max="1538" width="5.625" style="5" customWidth="1"/>
    <col min="1539" max="1540" width="8.375" style="5" customWidth="1"/>
    <col min="1541" max="1541" width="11.125" style="5" customWidth="1"/>
    <col min="1542" max="1542" width="11.625" style="5" customWidth="1"/>
    <col min="1543" max="1789" width="9" style="5" customWidth="1"/>
    <col min="1790" max="1790" width="13.875" style="5" customWidth="1"/>
    <col min="1791" max="1791" width="9.875" style="5" customWidth="1"/>
    <col min="1792" max="1792" width="8.375" style="5" customWidth="1"/>
    <col min="1793" max="1793" width="8.25" style="5" customWidth="1"/>
    <col min="1794" max="1794" width="5.625" style="5" customWidth="1"/>
    <col min="1795" max="1796" width="8.375" style="5" customWidth="1"/>
    <col min="1797" max="1797" width="11.125" style="5" customWidth="1"/>
    <col min="1798" max="1798" width="11.625" style="5" customWidth="1"/>
    <col min="1799" max="2045" width="9" style="5" customWidth="1"/>
    <col min="2046" max="2046" width="13.875" style="5" customWidth="1"/>
    <col min="2047" max="2047" width="9.875" style="5" customWidth="1"/>
    <col min="2048" max="2048" width="8.375" style="5" customWidth="1"/>
    <col min="2049" max="2049" width="8.25" style="5" customWidth="1"/>
    <col min="2050" max="2050" width="5.625" style="5" customWidth="1"/>
    <col min="2051" max="2052" width="8.375" style="5" customWidth="1"/>
    <col min="2053" max="2053" width="11.125" style="5" customWidth="1"/>
    <col min="2054" max="2054" width="11.625" style="5" customWidth="1"/>
    <col min="2055" max="2301" width="9" style="5" customWidth="1"/>
    <col min="2302" max="2302" width="13.875" style="5" customWidth="1"/>
    <col min="2303" max="2303" width="9.875" style="5" customWidth="1"/>
    <col min="2304" max="2304" width="8.375" style="5" customWidth="1"/>
    <col min="2305" max="2305" width="8.25" style="5" customWidth="1"/>
    <col min="2306" max="2306" width="5.625" style="5" customWidth="1"/>
    <col min="2307" max="2308" width="8.375" style="5" customWidth="1"/>
    <col min="2309" max="2309" width="11.125" style="5" customWidth="1"/>
    <col min="2310" max="2310" width="11.625" style="5" customWidth="1"/>
    <col min="2311" max="2557" width="9" style="5" customWidth="1"/>
    <col min="2558" max="2558" width="13.875" style="5" customWidth="1"/>
    <col min="2559" max="2559" width="9.875" style="5" customWidth="1"/>
    <col min="2560" max="2560" width="8.375" style="5" customWidth="1"/>
    <col min="2561" max="2561" width="8.25" style="5" customWidth="1"/>
    <col min="2562" max="2562" width="5.625" style="5" customWidth="1"/>
    <col min="2563" max="2564" width="8.375" style="5" customWidth="1"/>
    <col min="2565" max="2565" width="11.125" style="5" customWidth="1"/>
    <col min="2566" max="2566" width="11.625" style="5" customWidth="1"/>
    <col min="2567" max="2813" width="9" style="5" customWidth="1"/>
    <col min="2814" max="2814" width="13.875" style="5" customWidth="1"/>
    <col min="2815" max="2815" width="9.875" style="5" customWidth="1"/>
    <col min="2816" max="2816" width="8.375" style="5" customWidth="1"/>
    <col min="2817" max="2817" width="8.25" style="5" customWidth="1"/>
    <col min="2818" max="2818" width="5.625" style="5" customWidth="1"/>
    <col min="2819" max="2820" width="8.375" style="5" customWidth="1"/>
    <col min="2821" max="2821" width="11.125" style="5" customWidth="1"/>
    <col min="2822" max="2822" width="11.625" style="5" customWidth="1"/>
    <col min="2823" max="3069" width="9" style="5" customWidth="1"/>
    <col min="3070" max="3070" width="13.875" style="5" customWidth="1"/>
    <col min="3071" max="3071" width="9.875" style="5" customWidth="1"/>
    <col min="3072" max="3072" width="8.375" style="5" customWidth="1"/>
    <col min="3073" max="3073" width="8.25" style="5" customWidth="1"/>
    <col min="3074" max="3074" width="5.625" style="5" customWidth="1"/>
    <col min="3075" max="3076" width="8.375" style="5" customWidth="1"/>
    <col min="3077" max="3077" width="11.125" style="5" customWidth="1"/>
    <col min="3078" max="3078" width="11.625" style="5" customWidth="1"/>
    <col min="3079" max="3325" width="9" style="5" customWidth="1"/>
    <col min="3326" max="3326" width="13.875" style="5" customWidth="1"/>
    <col min="3327" max="3327" width="9.875" style="5" customWidth="1"/>
    <col min="3328" max="3328" width="8.375" style="5" customWidth="1"/>
    <col min="3329" max="3329" width="8.25" style="5" customWidth="1"/>
    <col min="3330" max="3330" width="5.625" style="5" customWidth="1"/>
    <col min="3331" max="3332" width="8.375" style="5" customWidth="1"/>
    <col min="3333" max="3333" width="11.125" style="5" customWidth="1"/>
    <col min="3334" max="3334" width="11.625" style="5" customWidth="1"/>
    <col min="3335" max="3581" width="9" style="5" customWidth="1"/>
    <col min="3582" max="3582" width="13.875" style="5" customWidth="1"/>
    <col min="3583" max="3583" width="9.875" style="5" customWidth="1"/>
    <col min="3584" max="3584" width="8.375" style="5" customWidth="1"/>
    <col min="3585" max="3585" width="8.25" style="5" customWidth="1"/>
    <col min="3586" max="3586" width="5.625" style="5" customWidth="1"/>
    <col min="3587" max="3588" width="8.375" style="5" customWidth="1"/>
    <col min="3589" max="3589" width="11.125" style="5" customWidth="1"/>
    <col min="3590" max="3590" width="11.625" style="5" customWidth="1"/>
    <col min="3591" max="3837" width="9" style="5" customWidth="1"/>
    <col min="3838" max="3838" width="13.875" style="5" customWidth="1"/>
    <col min="3839" max="3839" width="9.875" style="5" customWidth="1"/>
    <col min="3840" max="3840" width="8.375" style="5" customWidth="1"/>
    <col min="3841" max="3841" width="8.25" style="5" customWidth="1"/>
    <col min="3842" max="3842" width="5.625" style="5" customWidth="1"/>
    <col min="3843" max="3844" width="8.375" style="5" customWidth="1"/>
    <col min="3845" max="3845" width="11.125" style="5" customWidth="1"/>
    <col min="3846" max="3846" width="11.625" style="5" customWidth="1"/>
    <col min="3847" max="4093" width="9" style="5" customWidth="1"/>
    <col min="4094" max="4094" width="13.875" style="5" customWidth="1"/>
    <col min="4095" max="4095" width="9.875" style="5" customWidth="1"/>
    <col min="4096" max="4096" width="8.375" style="5" customWidth="1"/>
    <col min="4097" max="4097" width="8.25" style="5" customWidth="1"/>
    <col min="4098" max="4098" width="5.625" style="5" customWidth="1"/>
    <col min="4099" max="4100" width="8.375" style="5" customWidth="1"/>
    <col min="4101" max="4101" width="11.125" style="5" customWidth="1"/>
    <col min="4102" max="4102" width="11.625" style="5" customWidth="1"/>
    <col min="4103" max="4349" width="9" style="5" customWidth="1"/>
    <col min="4350" max="4350" width="13.875" style="5" customWidth="1"/>
    <col min="4351" max="4351" width="9.875" style="5" customWidth="1"/>
    <col min="4352" max="4352" width="8.375" style="5" customWidth="1"/>
    <col min="4353" max="4353" width="8.25" style="5" customWidth="1"/>
    <col min="4354" max="4354" width="5.625" style="5" customWidth="1"/>
    <col min="4355" max="4356" width="8.375" style="5" customWidth="1"/>
    <col min="4357" max="4357" width="11.125" style="5" customWidth="1"/>
    <col min="4358" max="4358" width="11.625" style="5" customWidth="1"/>
    <col min="4359" max="4605" width="9" style="5" customWidth="1"/>
    <col min="4606" max="4606" width="13.875" style="5" customWidth="1"/>
    <col min="4607" max="4607" width="9.875" style="5" customWidth="1"/>
    <col min="4608" max="4608" width="8.375" style="5" customWidth="1"/>
    <col min="4609" max="4609" width="8.25" style="5" customWidth="1"/>
    <col min="4610" max="4610" width="5.625" style="5" customWidth="1"/>
    <col min="4611" max="4612" width="8.375" style="5" customWidth="1"/>
    <col min="4613" max="4613" width="11.125" style="5" customWidth="1"/>
    <col min="4614" max="4614" width="11.625" style="5" customWidth="1"/>
    <col min="4615" max="4861" width="9" style="5" customWidth="1"/>
    <col min="4862" max="4862" width="13.875" style="5" customWidth="1"/>
    <col min="4863" max="4863" width="9.875" style="5" customWidth="1"/>
    <col min="4864" max="4864" width="8.375" style="5" customWidth="1"/>
    <col min="4865" max="4865" width="8.25" style="5" customWidth="1"/>
    <col min="4866" max="4866" width="5.625" style="5" customWidth="1"/>
    <col min="4867" max="4868" width="8.375" style="5" customWidth="1"/>
    <col min="4869" max="4869" width="11.125" style="5" customWidth="1"/>
    <col min="4870" max="4870" width="11.625" style="5" customWidth="1"/>
    <col min="4871" max="5117" width="9" style="5" customWidth="1"/>
    <col min="5118" max="5118" width="13.875" style="5" customWidth="1"/>
    <col min="5119" max="5119" width="9.875" style="5" customWidth="1"/>
    <col min="5120" max="5120" width="8.375" style="5" customWidth="1"/>
    <col min="5121" max="5121" width="8.25" style="5" customWidth="1"/>
    <col min="5122" max="5122" width="5.625" style="5" customWidth="1"/>
    <col min="5123" max="5124" width="8.375" style="5" customWidth="1"/>
    <col min="5125" max="5125" width="11.125" style="5" customWidth="1"/>
    <col min="5126" max="5126" width="11.625" style="5" customWidth="1"/>
    <col min="5127" max="5373" width="9" style="5" customWidth="1"/>
    <col min="5374" max="5374" width="13.875" style="5" customWidth="1"/>
    <col min="5375" max="5375" width="9.875" style="5" customWidth="1"/>
    <col min="5376" max="5376" width="8.375" style="5" customWidth="1"/>
    <col min="5377" max="5377" width="8.25" style="5" customWidth="1"/>
    <col min="5378" max="5378" width="5.625" style="5" customWidth="1"/>
    <col min="5379" max="5380" width="8.375" style="5" customWidth="1"/>
    <col min="5381" max="5381" width="11.125" style="5" customWidth="1"/>
    <col min="5382" max="5382" width="11.625" style="5" customWidth="1"/>
    <col min="5383" max="5629" width="9" style="5" customWidth="1"/>
    <col min="5630" max="5630" width="13.875" style="5" customWidth="1"/>
    <col min="5631" max="5631" width="9.875" style="5" customWidth="1"/>
    <col min="5632" max="5632" width="8.375" style="5" customWidth="1"/>
    <col min="5633" max="5633" width="8.25" style="5" customWidth="1"/>
    <col min="5634" max="5634" width="5.625" style="5" customWidth="1"/>
    <col min="5635" max="5636" width="8.375" style="5" customWidth="1"/>
    <col min="5637" max="5637" width="11.125" style="5" customWidth="1"/>
    <col min="5638" max="5638" width="11.625" style="5" customWidth="1"/>
    <col min="5639" max="5885" width="9" style="5" customWidth="1"/>
    <col min="5886" max="5886" width="13.875" style="5" customWidth="1"/>
    <col min="5887" max="5887" width="9.875" style="5" customWidth="1"/>
    <col min="5888" max="5888" width="8.375" style="5" customWidth="1"/>
    <col min="5889" max="5889" width="8.25" style="5" customWidth="1"/>
    <col min="5890" max="5890" width="5.625" style="5" customWidth="1"/>
    <col min="5891" max="5892" width="8.375" style="5" customWidth="1"/>
    <col min="5893" max="5893" width="11.125" style="5" customWidth="1"/>
    <col min="5894" max="5894" width="11.625" style="5" customWidth="1"/>
    <col min="5895" max="6141" width="9" style="5" customWidth="1"/>
    <col min="6142" max="6142" width="13.875" style="5" customWidth="1"/>
    <col min="6143" max="6143" width="9.875" style="5" customWidth="1"/>
    <col min="6144" max="6144" width="8.375" style="5" customWidth="1"/>
    <col min="6145" max="6145" width="8.25" style="5" customWidth="1"/>
    <col min="6146" max="6146" width="5.625" style="5" customWidth="1"/>
    <col min="6147" max="6148" width="8.375" style="5" customWidth="1"/>
    <col min="6149" max="6149" width="11.125" style="5" customWidth="1"/>
    <col min="6150" max="6150" width="11.625" style="5" customWidth="1"/>
    <col min="6151" max="6397" width="9" style="5" customWidth="1"/>
    <col min="6398" max="6398" width="13.875" style="5" customWidth="1"/>
    <col min="6399" max="6399" width="9.875" style="5" customWidth="1"/>
    <col min="6400" max="6400" width="8.375" style="5" customWidth="1"/>
    <col min="6401" max="6401" width="8.25" style="5" customWidth="1"/>
    <col min="6402" max="6402" width="5.625" style="5" customWidth="1"/>
    <col min="6403" max="6404" width="8.375" style="5" customWidth="1"/>
    <col min="6405" max="6405" width="11.125" style="5" customWidth="1"/>
    <col min="6406" max="6406" width="11.625" style="5" customWidth="1"/>
    <col min="6407" max="6653" width="9" style="5" customWidth="1"/>
    <col min="6654" max="6654" width="13.875" style="5" customWidth="1"/>
    <col min="6655" max="6655" width="9.875" style="5" customWidth="1"/>
    <col min="6656" max="6656" width="8.375" style="5" customWidth="1"/>
    <col min="6657" max="6657" width="8.25" style="5" customWidth="1"/>
    <col min="6658" max="6658" width="5.625" style="5" customWidth="1"/>
    <col min="6659" max="6660" width="8.375" style="5" customWidth="1"/>
    <col min="6661" max="6661" width="11.125" style="5" customWidth="1"/>
    <col min="6662" max="6662" width="11.625" style="5" customWidth="1"/>
    <col min="6663" max="6909" width="9" style="5" customWidth="1"/>
    <col min="6910" max="6910" width="13.875" style="5" customWidth="1"/>
    <col min="6911" max="6911" width="9.875" style="5" customWidth="1"/>
    <col min="6912" max="6912" width="8.375" style="5" customWidth="1"/>
    <col min="6913" max="6913" width="8.25" style="5" customWidth="1"/>
    <col min="6914" max="6914" width="5.625" style="5" customWidth="1"/>
    <col min="6915" max="6916" width="8.375" style="5" customWidth="1"/>
    <col min="6917" max="6917" width="11.125" style="5" customWidth="1"/>
    <col min="6918" max="6918" width="11.625" style="5" customWidth="1"/>
    <col min="6919" max="7165" width="9" style="5" customWidth="1"/>
    <col min="7166" max="7166" width="13.875" style="5" customWidth="1"/>
    <col min="7167" max="7167" width="9.875" style="5" customWidth="1"/>
    <col min="7168" max="7168" width="8.375" style="5" customWidth="1"/>
    <col min="7169" max="7169" width="8.25" style="5" customWidth="1"/>
    <col min="7170" max="7170" width="5.625" style="5" customWidth="1"/>
    <col min="7171" max="7172" width="8.375" style="5" customWidth="1"/>
    <col min="7173" max="7173" width="11.125" style="5" customWidth="1"/>
    <col min="7174" max="7174" width="11.625" style="5" customWidth="1"/>
    <col min="7175" max="7421" width="9" style="5" customWidth="1"/>
    <col min="7422" max="7422" width="13.875" style="5" customWidth="1"/>
    <col min="7423" max="7423" width="9.875" style="5" customWidth="1"/>
    <col min="7424" max="7424" width="8.375" style="5" customWidth="1"/>
    <col min="7425" max="7425" width="8.25" style="5" customWidth="1"/>
    <col min="7426" max="7426" width="5.625" style="5" customWidth="1"/>
    <col min="7427" max="7428" width="8.375" style="5" customWidth="1"/>
    <col min="7429" max="7429" width="11.125" style="5" customWidth="1"/>
    <col min="7430" max="7430" width="11.625" style="5" customWidth="1"/>
    <col min="7431" max="7677" width="9" style="5" customWidth="1"/>
    <col min="7678" max="7678" width="13.875" style="5" customWidth="1"/>
    <col min="7679" max="7679" width="9.875" style="5" customWidth="1"/>
    <col min="7680" max="7680" width="8.375" style="5" customWidth="1"/>
    <col min="7681" max="7681" width="8.25" style="5" customWidth="1"/>
    <col min="7682" max="7682" width="5.625" style="5" customWidth="1"/>
    <col min="7683" max="7684" width="8.375" style="5" customWidth="1"/>
    <col min="7685" max="7685" width="11.125" style="5" customWidth="1"/>
    <col min="7686" max="7686" width="11.625" style="5" customWidth="1"/>
    <col min="7687" max="7933" width="9" style="5" customWidth="1"/>
    <col min="7934" max="7934" width="13.875" style="5" customWidth="1"/>
    <col min="7935" max="7935" width="9.875" style="5" customWidth="1"/>
    <col min="7936" max="7936" width="8.375" style="5" customWidth="1"/>
    <col min="7937" max="7937" width="8.25" style="5" customWidth="1"/>
    <col min="7938" max="7938" width="5.625" style="5" customWidth="1"/>
    <col min="7939" max="7940" width="8.375" style="5" customWidth="1"/>
    <col min="7941" max="7941" width="11.125" style="5" customWidth="1"/>
    <col min="7942" max="7942" width="11.625" style="5" customWidth="1"/>
    <col min="7943" max="8189" width="9" style="5" customWidth="1"/>
    <col min="8190" max="8190" width="13.875" style="5" customWidth="1"/>
    <col min="8191" max="8191" width="9.875" style="5" customWidth="1"/>
    <col min="8192" max="8192" width="8.375" style="5" customWidth="1"/>
    <col min="8193" max="8193" width="8.25" style="5" customWidth="1"/>
    <col min="8194" max="8194" width="5.625" style="5" customWidth="1"/>
    <col min="8195" max="8196" width="8.375" style="5" customWidth="1"/>
    <col min="8197" max="8197" width="11.125" style="5" customWidth="1"/>
    <col min="8198" max="8198" width="11.625" style="5" customWidth="1"/>
    <col min="8199" max="8445" width="9" style="5" customWidth="1"/>
    <col min="8446" max="8446" width="13.875" style="5" customWidth="1"/>
    <col min="8447" max="8447" width="9.875" style="5" customWidth="1"/>
    <col min="8448" max="8448" width="8.375" style="5" customWidth="1"/>
    <col min="8449" max="8449" width="8.25" style="5" customWidth="1"/>
    <col min="8450" max="8450" width="5.625" style="5" customWidth="1"/>
    <col min="8451" max="8452" width="8.375" style="5" customWidth="1"/>
    <col min="8453" max="8453" width="11.125" style="5" customWidth="1"/>
    <col min="8454" max="8454" width="11.625" style="5" customWidth="1"/>
    <col min="8455" max="8701" width="9" style="5" customWidth="1"/>
    <col min="8702" max="8702" width="13.875" style="5" customWidth="1"/>
    <col min="8703" max="8703" width="9.875" style="5" customWidth="1"/>
    <col min="8704" max="8704" width="8.375" style="5" customWidth="1"/>
    <col min="8705" max="8705" width="8.25" style="5" customWidth="1"/>
    <col min="8706" max="8706" width="5.625" style="5" customWidth="1"/>
    <col min="8707" max="8708" width="8.375" style="5" customWidth="1"/>
    <col min="8709" max="8709" width="11.125" style="5" customWidth="1"/>
    <col min="8710" max="8710" width="11.625" style="5" customWidth="1"/>
    <col min="8711" max="8957" width="9" style="5" customWidth="1"/>
    <col min="8958" max="8958" width="13.875" style="5" customWidth="1"/>
    <col min="8959" max="8959" width="9.875" style="5" customWidth="1"/>
    <col min="8960" max="8960" width="8.375" style="5" customWidth="1"/>
    <col min="8961" max="8961" width="8.25" style="5" customWidth="1"/>
    <col min="8962" max="8962" width="5.625" style="5" customWidth="1"/>
    <col min="8963" max="8964" width="8.375" style="5" customWidth="1"/>
    <col min="8965" max="8965" width="11.125" style="5" customWidth="1"/>
    <col min="8966" max="8966" width="11.625" style="5" customWidth="1"/>
    <col min="8967" max="9213" width="9" style="5" customWidth="1"/>
    <col min="9214" max="9214" width="13.875" style="5" customWidth="1"/>
    <col min="9215" max="9215" width="9.875" style="5" customWidth="1"/>
    <col min="9216" max="9216" width="8.375" style="5" customWidth="1"/>
    <col min="9217" max="9217" width="8.25" style="5" customWidth="1"/>
    <col min="9218" max="9218" width="5.625" style="5" customWidth="1"/>
    <col min="9219" max="9220" width="8.375" style="5" customWidth="1"/>
    <col min="9221" max="9221" width="11.125" style="5" customWidth="1"/>
    <col min="9222" max="9222" width="11.625" style="5" customWidth="1"/>
    <col min="9223" max="9469" width="9" style="5" customWidth="1"/>
    <col min="9470" max="9470" width="13.875" style="5" customWidth="1"/>
    <col min="9471" max="9471" width="9.875" style="5" customWidth="1"/>
    <col min="9472" max="9472" width="8.375" style="5" customWidth="1"/>
    <col min="9473" max="9473" width="8.25" style="5" customWidth="1"/>
    <col min="9474" max="9474" width="5.625" style="5" customWidth="1"/>
    <col min="9475" max="9476" width="8.375" style="5" customWidth="1"/>
    <col min="9477" max="9477" width="11.125" style="5" customWidth="1"/>
    <col min="9478" max="9478" width="11.625" style="5" customWidth="1"/>
    <col min="9479" max="9725" width="9" style="5" customWidth="1"/>
    <col min="9726" max="9726" width="13.875" style="5" customWidth="1"/>
    <col min="9727" max="9727" width="9.875" style="5" customWidth="1"/>
    <col min="9728" max="9728" width="8.375" style="5" customWidth="1"/>
    <col min="9729" max="9729" width="8.25" style="5" customWidth="1"/>
    <col min="9730" max="9730" width="5.625" style="5" customWidth="1"/>
    <col min="9731" max="9732" width="8.375" style="5" customWidth="1"/>
    <col min="9733" max="9733" width="11.125" style="5" customWidth="1"/>
    <col min="9734" max="9734" width="11.625" style="5" customWidth="1"/>
    <col min="9735" max="9981" width="9" style="5" customWidth="1"/>
    <col min="9982" max="9982" width="13.875" style="5" customWidth="1"/>
    <col min="9983" max="9983" width="9.875" style="5" customWidth="1"/>
    <col min="9984" max="9984" width="8.375" style="5" customWidth="1"/>
    <col min="9985" max="9985" width="8.25" style="5" customWidth="1"/>
    <col min="9986" max="9986" width="5.625" style="5" customWidth="1"/>
    <col min="9987" max="9988" width="8.375" style="5" customWidth="1"/>
    <col min="9989" max="9989" width="11.125" style="5" customWidth="1"/>
    <col min="9990" max="9990" width="11.625" style="5" customWidth="1"/>
    <col min="9991" max="10237" width="9" style="5" customWidth="1"/>
    <col min="10238" max="10238" width="13.875" style="5" customWidth="1"/>
    <col min="10239" max="10239" width="9.875" style="5" customWidth="1"/>
    <col min="10240" max="10240" width="8.375" style="5" customWidth="1"/>
    <col min="10241" max="10241" width="8.25" style="5" customWidth="1"/>
    <col min="10242" max="10242" width="5.625" style="5" customWidth="1"/>
    <col min="10243" max="10244" width="8.375" style="5" customWidth="1"/>
    <col min="10245" max="10245" width="11.125" style="5" customWidth="1"/>
    <col min="10246" max="10246" width="11.625" style="5" customWidth="1"/>
    <col min="10247" max="10493" width="9" style="5" customWidth="1"/>
    <col min="10494" max="10494" width="13.875" style="5" customWidth="1"/>
    <col min="10495" max="10495" width="9.875" style="5" customWidth="1"/>
    <col min="10496" max="10496" width="8.375" style="5" customWidth="1"/>
    <col min="10497" max="10497" width="8.25" style="5" customWidth="1"/>
    <col min="10498" max="10498" width="5.625" style="5" customWidth="1"/>
    <col min="10499" max="10500" width="8.375" style="5" customWidth="1"/>
    <col min="10501" max="10501" width="11.125" style="5" customWidth="1"/>
    <col min="10502" max="10502" width="11.625" style="5" customWidth="1"/>
    <col min="10503" max="10749" width="9" style="5" customWidth="1"/>
    <col min="10750" max="10750" width="13.875" style="5" customWidth="1"/>
    <col min="10751" max="10751" width="9.875" style="5" customWidth="1"/>
    <col min="10752" max="10752" width="8.375" style="5" customWidth="1"/>
    <col min="10753" max="10753" width="8.25" style="5" customWidth="1"/>
    <col min="10754" max="10754" width="5.625" style="5" customWidth="1"/>
    <col min="10755" max="10756" width="8.375" style="5" customWidth="1"/>
    <col min="10757" max="10757" width="11.125" style="5" customWidth="1"/>
    <col min="10758" max="10758" width="11.625" style="5" customWidth="1"/>
    <col min="10759" max="11005" width="9" style="5" customWidth="1"/>
    <col min="11006" max="11006" width="13.875" style="5" customWidth="1"/>
    <col min="11007" max="11007" width="9.875" style="5" customWidth="1"/>
    <col min="11008" max="11008" width="8.375" style="5" customWidth="1"/>
    <col min="11009" max="11009" width="8.25" style="5" customWidth="1"/>
    <col min="11010" max="11010" width="5.625" style="5" customWidth="1"/>
    <col min="11011" max="11012" width="8.375" style="5" customWidth="1"/>
    <col min="11013" max="11013" width="11.125" style="5" customWidth="1"/>
    <col min="11014" max="11014" width="11.625" style="5" customWidth="1"/>
    <col min="11015" max="11261" width="9" style="5" customWidth="1"/>
    <col min="11262" max="11262" width="13.875" style="5" customWidth="1"/>
    <col min="11263" max="11263" width="9.875" style="5" customWidth="1"/>
    <col min="11264" max="11264" width="8.375" style="5" customWidth="1"/>
    <col min="11265" max="11265" width="8.25" style="5" customWidth="1"/>
    <col min="11266" max="11266" width="5.625" style="5" customWidth="1"/>
    <col min="11267" max="11268" width="8.375" style="5" customWidth="1"/>
    <col min="11269" max="11269" width="11.125" style="5" customWidth="1"/>
    <col min="11270" max="11270" width="11.625" style="5" customWidth="1"/>
    <col min="11271" max="11517" width="9" style="5" customWidth="1"/>
    <col min="11518" max="11518" width="13.875" style="5" customWidth="1"/>
    <col min="11519" max="11519" width="9.875" style="5" customWidth="1"/>
    <col min="11520" max="11520" width="8.375" style="5" customWidth="1"/>
    <col min="11521" max="11521" width="8.25" style="5" customWidth="1"/>
    <col min="11522" max="11522" width="5.625" style="5" customWidth="1"/>
    <col min="11523" max="11524" width="8.375" style="5" customWidth="1"/>
    <col min="11525" max="11525" width="11.125" style="5" customWidth="1"/>
    <col min="11526" max="11526" width="11.625" style="5" customWidth="1"/>
    <col min="11527" max="11773" width="9" style="5" customWidth="1"/>
    <col min="11774" max="11774" width="13.875" style="5" customWidth="1"/>
    <col min="11775" max="11775" width="9.875" style="5" customWidth="1"/>
    <col min="11776" max="11776" width="8.375" style="5" customWidth="1"/>
    <col min="11777" max="11777" width="8.25" style="5" customWidth="1"/>
    <col min="11778" max="11778" width="5.625" style="5" customWidth="1"/>
    <col min="11779" max="11780" width="8.375" style="5" customWidth="1"/>
    <col min="11781" max="11781" width="11.125" style="5" customWidth="1"/>
    <col min="11782" max="11782" width="11.625" style="5" customWidth="1"/>
    <col min="11783" max="12029" width="9" style="5" customWidth="1"/>
    <col min="12030" max="12030" width="13.875" style="5" customWidth="1"/>
    <col min="12031" max="12031" width="9.875" style="5" customWidth="1"/>
    <col min="12032" max="12032" width="8.375" style="5" customWidth="1"/>
    <col min="12033" max="12033" width="8.25" style="5" customWidth="1"/>
    <col min="12034" max="12034" width="5.625" style="5" customWidth="1"/>
    <col min="12035" max="12036" width="8.375" style="5" customWidth="1"/>
    <col min="12037" max="12037" width="11.125" style="5" customWidth="1"/>
    <col min="12038" max="12038" width="11.625" style="5" customWidth="1"/>
    <col min="12039" max="12285" width="9" style="5" customWidth="1"/>
    <col min="12286" max="12286" width="13.875" style="5" customWidth="1"/>
    <col min="12287" max="12287" width="9.875" style="5" customWidth="1"/>
    <col min="12288" max="12288" width="8.375" style="5" customWidth="1"/>
    <col min="12289" max="12289" width="8.25" style="5" customWidth="1"/>
    <col min="12290" max="12290" width="5.625" style="5" customWidth="1"/>
    <col min="12291" max="12292" width="8.375" style="5" customWidth="1"/>
    <col min="12293" max="12293" width="11.125" style="5" customWidth="1"/>
    <col min="12294" max="12294" width="11.625" style="5" customWidth="1"/>
    <col min="12295" max="12541" width="9" style="5" customWidth="1"/>
    <col min="12542" max="12542" width="13.875" style="5" customWidth="1"/>
    <col min="12543" max="12543" width="9.875" style="5" customWidth="1"/>
    <col min="12544" max="12544" width="8.375" style="5" customWidth="1"/>
    <col min="12545" max="12545" width="8.25" style="5" customWidth="1"/>
    <col min="12546" max="12546" width="5.625" style="5" customWidth="1"/>
    <col min="12547" max="12548" width="8.375" style="5" customWidth="1"/>
    <col min="12549" max="12549" width="11.125" style="5" customWidth="1"/>
    <col min="12550" max="12550" width="11.625" style="5" customWidth="1"/>
    <col min="12551" max="12797" width="9" style="5" customWidth="1"/>
    <col min="12798" max="12798" width="13.875" style="5" customWidth="1"/>
    <col min="12799" max="12799" width="9.875" style="5" customWidth="1"/>
    <col min="12800" max="12800" width="8.375" style="5" customWidth="1"/>
    <col min="12801" max="12801" width="8.25" style="5" customWidth="1"/>
    <col min="12802" max="12802" width="5.625" style="5" customWidth="1"/>
    <col min="12803" max="12804" width="8.375" style="5" customWidth="1"/>
    <col min="12805" max="12805" width="11.125" style="5" customWidth="1"/>
    <col min="12806" max="12806" width="11.625" style="5" customWidth="1"/>
    <col min="12807" max="13053" width="9" style="5" customWidth="1"/>
    <col min="13054" max="13054" width="13.875" style="5" customWidth="1"/>
    <col min="13055" max="13055" width="9.875" style="5" customWidth="1"/>
    <col min="13056" max="13056" width="8.375" style="5" customWidth="1"/>
    <col min="13057" max="13057" width="8.25" style="5" customWidth="1"/>
    <col min="13058" max="13058" width="5.625" style="5" customWidth="1"/>
    <col min="13059" max="13060" width="8.375" style="5" customWidth="1"/>
    <col min="13061" max="13061" width="11.125" style="5" customWidth="1"/>
    <col min="13062" max="13062" width="11.625" style="5" customWidth="1"/>
    <col min="13063" max="13309" width="9" style="5" customWidth="1"/>
    <col min="13310" max="13310" width="13.875" style="5" customWidth="1"/>
    <col min="13311" max="13311" width="9.875" style="5" customWidth="1"/>
    <col min="13312" max="13312" width="8.375" style="5" customWidth="1"/>
    <col min="13313" max="13313" width="8.25" style="5" customWidth="1"/>
    <col min="13314" max="13314" width="5.625" style="5" customWidth="1"/>
    <col min="13315" max="13316" width="8.375" style="5" customWidth="1"/>
    <col min="13317" max="13317" width="11.125" style="5" customWidth="1"/>
    <col min="13318" max="13318" width="11.625" style="5" customWidth="1"/>
    <col min="13319" max="13565" width="9" style="5" customWidth="1"/>
    <col min="13566" max="13566" width="13.875" style="5" customWidth="1"/>
    <col min="13567" max="13567" width="9.875" style="5" customWidth="1"/>
    <col min="13568" max="13568" width="8.375" style="5" customWidth="1"/>
    <col min="13569" max="13569" width="8.25" style="5" customWidth="1"/>
    <col min="13570" max="13570" width="5.625" style="5" customWidth="1"/>
    <col min="13571" max="13572" width="8.375" style="5" customWidth="1"/>
    <col min="13573" max="13573" width="11.125" style="5" customWidth="1"/>
    <col min="13574" max="13574" width="11.625" style="5" customWidth="1"/>
    <col min="13575" max="13821" width="9" style="5" customWidth="1"/>
    <col min="13822" max="13822" width="13.875" style="5" customWidth="1"/>
    <col min="13823" max="13823" width="9.875" style="5" customWidth="1"/>
    <col min="13824" max="13824" width="8.375" style="5" customWidth="1"/>
    <col min="13825" max="13825" width="8.25" style="5" customWidth="1"/>
    <col min="13826" max="13826" width="5.625" style="5" customWidth="1"/>
    <col min="13827" max="13828" width="8.375" style="5" customWidth="1"/>
    <col min="13829" max="13829" width="11.125" style="5" customWidth="1"/>
    <col min="13830" max="13830" width="11.625" style="5" customWidth="1"/>
    <col min="13831" max="14077" width="9" style="5" customWidth="1"/>
    <col min="14078" max="14078" width="13.875" style="5" customWidth="1"/>
    <col min="14079" max="14079" width="9.875" style="5" customWidth="1"/>
    <col min="14080" max="14080" width="8.375" style="5" customWidth="1"/>
    <col min="14081" max="14081" width="8.25" style="5" customWidth="1"/>
    <col min="14082" max="14082" width="5.625" style="5" customWidth="1"/>
    <col min="14083" max="14084" width="8.375" style="5" customWidth="1"/>
    <col min="14085" max="14085" width="11.125" style="5" customWidth="1"/>
    <col min="14086" max="14086" width="11.625" style="5" customWidth="1"/>
    <col min="14087" max="14333" width="9" style="5" customWidth="1"/>
    <col min="14334" max="14334" width="13.875" style="5" customWidth="1"/>
    <col min="14335" max="14335" width="9.875" style="5" customWidth="1"/>
    <col min="14336" max="14336" width="8.375" style="5" customWidth="1"/>
    <col min="14337" max="14337" width="8.25" style="5" customWidth="1"/>
    <col min="14338" max="14338" width="5.625" style="5" customWidth="1"/>
    <col min="14339" max="14340" width="8.375" style="5" customWidth="1"/>
    <col min="14341" max="14341" width="11.125" style="5" customWidth="1"/>
    <col min="14342" max="14342" width="11.625" style="5" customWidth="1"/>
    <col min="14343" max="14589" width="9" style="5" customWidth="1"/>
    <col min="14590" max="14590" width="13.875" style="5" customWidth="1"/>
    <col min="14591" max="14591" width="9.875" style="5" customWidth="1"/>
    <col min="14592" max="14592" width="8.375" style="5" customWidth="1"/>
    <col min="14593" max="14593" width="8.25" style="5" customWidth="1"/>
    <col min="14594" max="14594" width="5.625" style="5" customWidth="1"/>
    <col min="14595" max="14596" width="8.375" style="5" customWidth="1"/>
    <col min="14597" max="14597" width="11.125" style="5" customWidth="1"/>
    <col min="14598" max="14598" width="11.625" style="5" customWidth="1"/>
    <col min="14599" max="14845" width="9" style="5" customWidth="1"/>
    <col min="14846" max="14846" width="13.875" style="5" customWidth="1"/>
    <col min="14847" max="14847" width="9.875" style="5" customWidth="1"/>
    <col min="14848" max="14848" width="8.375" style="5" customWidth="1"/>
    <col min="14849" max="14849" width="8.25" style="5" customWidth="1"/>
    <col min="14850" max="14850" width="5.625" style="5" customWidth="1"/>
    <col min="14851" max="14852" width="8.375" style="5" customWidth="1"/>
    <col min="14853" max="14853" width="11.125" style="5" customWidth="1"/>
    <col min="14854" max="14854" width="11.625" style="5" customWidth="1"/>
    <col min="14855" max="15101" width="9" style="5" customWidth="1"/>
    <col min="15102" max="15102" width="13.875" style="5" customWidth="1"/>
    <col min="15103" max="15103" width="9.875" style="5" customWidth="1"/>
    <col min="15104" max="15104" width="8.375" style="5" customWidth="1"/>
    <col min="15105" max="15105" width="8.25" style="5" customWidth="1"/>
    <col min="15106" max="15106" width="5.625" style="5" customWidth="1"/>
    <col min="15107" max="15108" width="8.375" style="5" customWidth="1"/>
    <col min="15109" max="15109" width="11.125" style="5" customWidth="1"/>
    <col min="15110" max="15110" width="11.625" style="5" customWidth="1"/>
    <col min="15111" max="15357" width="9" style="5" customWidth="1"/>
    <col min="15358" max="15358" width="13.875" style="5" customWidth="1"/>
    <col min="15359" max="15359" width="9.875" style="5" customWidth="1"/>
    <col min="15360" max="15360" width="8.375" style="5" customWidth="1"/>
    <col min="15361" max="15361" width="8.25" style="5" customWidth="1"/>
    <col min="15362" max="15362" width="5.625" style="5" customWidth="1"/>
    <col min="15363" max="15364" width="8.375" style="5" customWidth="1"/>
    <col min="15365" max="15365" width="11.125" style="5" customWidth="1"/>
    <col min="15366" max="15366" width="11.625" style="5" customWidth="1"/>
    <col min="15367" max="15613" width="9" style="5" customWidth="1"/>
    <col min="15614" max="15614" width="13.875" style="5" customWidth="1"/>
    <col min="15615" max="15615" width="9.875" style="5" customWidth="1"/>
    <col min="15616" max="15616" width="8.375" style="5" customWidth="1"/>
    <col min="15617" max="15617" width="8.25" style="5" customWidth="1"/>
    <col min="15618" max="15618" width="5.625" style="5" customWidth="1"/>
    <col min="15619" max="15620" width="8.375" style="5" customWidth="1"/>
    <col min="15621" max="15621" width="11.125" style="5" customWidth="1"/>
    <col min="15622" max="15622" width="11.625" style="5" customWidth="1"/>
    <col min="15623" max="15869" width="9" style="5" customWidth="1"/>
    <col min="15870" max="15870" width="13.875" style="5" customWidth="1"/>
    <col min="15871" max="15871" width="9.875" style="5" customWidth="1"/>
    <col min="15872" max="15872" width="8.375" style="5" customWidth="1"/>
    <col min="15873" max="15873" width="8.25" style="5" customWidth="1"/>
    <col min="15874" max="15874" width="5.625" style="5" customWidth="1"/>
    <col min="15875" max="15876" width="8.375" style="5" customWidth="1"/>
    <col min="15877" max="15877" width="11.125" style="5" customWidth="1"/>
    <col min="15878" max="15878" width="11.625" style="5" customWidth="1"/>
    <col min="15879" max="16125" width="9" style="5" customWidth="1"/>
    <col min="16126" max="16126" width="13.875" style="5" customWidth="1"/>
    <col min="16127" max="16127" width="9.875" style="5" customWidth="1"/>
    <col min="16128" max="16128" width="8.375" style="5" customWidth="1"/>
    <col min="16129" max="16129" width="8.25" style="5" customWidth="1"/>
    <col min="16130" max="16130" width="5.625" style="5" customWidth="1"/>
    <col min="16131" max="16132" width="8.375" style="5" customWidth="1"/>
    <col min="16133" max="16133" width="11.125" style="5" customWidth="1"/>
    <col min="16134" max="16134" width="11.625" style="5" customWidth="1"/>
    <col min="16135" max="16384" width="9" style="5" customWidth="1"/>
  </cols>
  <sheetData>
    <row r="1" ht="27.95" customHeight="1" spans="1:25" s="145" customFormat="1" x14ac:dyDescent="0.25">
      <c r="A1" s="409" t="s">
        <v>24</v>
      </c>
      <c r="B1" s="409"/>
      <c r="C1" s="409"/>
      <c r="D1" s="409"/>
      <c r="E1" s="409"/>
      <c r="F1" s="409"/>
      <c r="G1" s="409"/>
      <c r="H1" s="409"/>
      <c r="I1" s="409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8" customHeight="1" spans="1:25" s="145" customFormat="1" x14ac:dyDescent="0.25">
      <c r="A2" s="317" t="s">
        <v>25</v>
      </c>
      <c r="B2" s="317"/>
      <c r="C2" s="317"/>
      <c r="D2" s="317"/>
      <c r="E2" s="317"/>
      <c r="F2" s="317"/>
      <c r="G2" s="317"/>
      <c r="H2" s="317"/>
      <c r="I2" s="317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11.25" customHeight="1" spans="1:25" s="145" customFormat="1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7" customHeight="1" spans="1:25" s="145" customFormat="1" x14ac:dyDescent="0.25">
      <c r="A4" s="199" t="s">
        <v>101</v>
      </c>
      <c r="B4" s="199"/>
      <c r="C4" s="199"/>
      <c r="D4" s="199"/>
      <c r="E4" s="199"/>
      <c r="F4" s="199"/>
      <c r="G4" s="199"/>
      <c r="H4" s="199"/>
      <c r="I4" s="199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spans="1:25" s="145" customFormat="1" x14ac:dyDescent="0.25">
      <c r="A5" s="197" t="s">
        <v>102</v>
      </c>
      <c r="B5" s="197"/>
      <c r="C5" s="197"/>
      <c r="D5" s="197"/>
      <c r="E5" s="197"/>
      <c r="F5" s="197"/>
      <c r="G5" s="197"/>
      <c r="H5" s="197"/>
      <c r="I5" s="197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14.25" customHeight="1" spans="1:25" s="145" customFormat="1" x14ac:dyDescent="0.25">
      <c r="A6" s="197"/>
      <c r="B6" s="197"/>
      <c r="C6" s="197"/>
      <c r="D6" s="197"/>
      <c r="E6" s="197"/>
      <c r="F6" s="197"/>
      <c r="G6" s="197"/>
      <c r="H6" s="197"/>
      <c r="I6" s="9" t="s">
        <v>103</v>
      </c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ht="22.5" customHeight="1" spans="1:25" s="145" customFormat="1" x14ac:dyDescent="0.25">
      <c r="A7" s="145" t="s">
        <v>104</v>
      </c>
      <c r="B7" s="145"/>
      <c r="C7" s="145"/>
      <c r="D7" s="145" t="s">
        <v>4</v>
      </c>
      <c r="E7" s="197" t="str">
        <f>'OS-IN'!H6</f>
        <v>2606N</v>
      </c>
      <c r="F7" s="197"/>
      <c r="G7" s="9" t="s">
        <v>5</v>
      </c>
      <c r="H7" s="201">
        <f>'OS-IN'!L6</f>
        <v>46214</v>
      </c>
      <c r="I7" s="197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22.5" customHeight="1" spans="1:25" s="145" customFormat="1" x14ac:dyDescent="0.25">
      <c r="A8" s="145" t="s">
        <v>105</v>
      </c>
      <c r="B8" s="145"/>
      <c r="C8" s="145"/>
      <c r="D8" s="410" t="s">
        <v>7</v>
      </c>
      <c r="E8" s="197">
        <f>'Final Work'!G6</f>
        <v>6</v>
      </c>
      <c r="F8" s="197"/>
      <c r="G8" s="9" t="s">
        <v>8</v>
      </c>
      <c r="H8" s="16" t="s">
        <v>106</v>
      </c>
      <c r="I8" s="16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ht="9" customHeight="1" spans="1:25" s="145" customFormat="1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21" customHeight="1" spans="1:25" s="124" customFormat="1" x14ac:dyDescent="0.25">
      <c r="A10" s="411" t="s">
        <v>107</v>
      </c>
      <c r="B10" s="412" t="s">
        <v>94</v>
      </c>
      <c r="C10" s="411" t="s">
        <v>90</v>
      </c>
      <c r="D10" s="413" t="s">
        <v>108</v>
      </c>
      <c r="E10" s="166"/>
      <c r="F10" s="313" t="s">
        <v>109</v>
      </c>
      <c r="G10" s="413"/>
      <c r="H10" s="313" t="s">
        <v>110</v>
      </c>
      <c r="I10" s="411" t="s">
        <v>49</v>
      </c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</row>
    <row r="11" ht="21" customHeight="1" spans="1:25" s="124" customFormat="1" x14ac:dyDescent="0.25">
      <c r="A11" s="35"/>
      <c r="B11" s="106"/>
      <c r="C11" s="35"/>
      <c r="D11" s="414" t="s">
        <v>111</v>
      </c>
      <c r="E11" s="415"/>
      <c r="F11" s="416" t="s">
        <v>112</v>
      </c>
      <c r="G11" s="414" t="s">
        <v>113</v>
      </c>
      <c r="H11" s="417" t="s">
        <v>114</v>
      </c>
      <c r="I11" s="35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</row>
    <row r="12" ht="18.2" customHeight="1" spans="1:25" s="193" customFormat="1" x14ac:dyDescent="0.25">
      <c r="A12" s="418"/>
      <c r="B12" s="419"/>
      <c r="C12" s="420"/>
      <c r="D12" s="421"/>
      <c r="E12" s="421"/>
      <c r="F12" s="422"/>
      <c r="G12" s="422"/>
      <c r="H12" s="423"/>
      <c r="I12" s="424"/>
      <c r="J12" s="124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</row>
    <row r="13" ht="18.2" customHeight="1" spans="1:25" s="193" customFormat="1" x14ac:dyDescent="0.25">
      <c r="A13" s="425"/>
      <c r="B13" s="420"/>
      <c r="C13" s="420"/>
      <c r="D13" s="425"/>
      <c r="E13" s="425"/>
      <c r="F13" s="422"/>
      <c r="G13" s="422"/>
      <c r="H13" s="426"/>
      <c r="I13" s="424"/>
      <c r="J13" s="124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</row>
    <row r="14" ht="18.2" customHeight="1" spans="1:25" s="193" customFormat="1" x14ac:dyDescent="0.25">
      <c r="A14" s="425"/>
      <c r="B14" s="420"/>
      <c r="C14" s="420"/>
      <c r="D14" s="425"/>
      <c r="E14" s="425"/>
      <c r="F14" s="422"/>
      <c r="G14" s="422"/>
      <c r="H14" s="426"/>
      <c r="I14" s="425"/>
      <c r="J14" s="124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</row>
    <row r="15" ht="18.2" customHeight="1" spans="1:25" s="193" customFormat="1" x14ac:dyDescent="0.25">
      <c r="A15" s="425"/>
      <c r="B15" s="420"/>
      <c r="C15" s="420"/>
      <c r="D15" s="425"/>
      <c r="E15" s="425"/>
      <c r="F15" s="422"/>
      <c r="G15" s="422"/>
      <c r="H15" s="426"/>
      <c r="I15" s="425"/>
      <c r="J15" s="427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</row>
    <row r="16" ht="18.2" customHeight="1" spans="1:25" s="193" customFormat="1" x14ac:dyDescent="0.25">
      <c r="A16" s="428"/>
      <c r="B16" s="429"/>
      <c r="C16" s="429"/>
      <c r="D16" s="430"/>
      <c r="E16" s="430"/>
      <c r="F16" s="431"/>
      <c r="G16" s="431"/>
      <c r="H16" s="432"/>
      <c r="I16" s="428"/>
      <c r="J16" s="427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</row>
    <row r="17" ht="18.2" customHeight="1" spans="1:25" s="193" customFormat="1" x14ac:dyDescent="0.25">
      <c r="A17" s="418"/>
      <c r="B17" s="433"/>
      <c r="C17" s="433"/>
      <c r="D17" s="418"/>
      <c r="E17" s="418"/>
      <c r="F17" s="434"/>
      <c r="G17" s="434"/>
      <c r="H17" s="435"/>
      <c r="I17" s="418"/>
      <c r="J17" s="427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</row>
    <row r="18" ht="18.2" customHeight="1" spans="1:25" s="193" customFormat="1" x14ac:dyDescent="0.25">
      <c r="A18" s="425"/>
      <c r="B18" s="420"/>
      <c r="C18" s="420"/>
      <c r="D18" s="425"/>
      <c r="E18" s="425"/>
      <c r="F18" s="422"/>
      <c r="G18" s="422"/>
      <c r="H18" s="426"/>
      <c r="I18" s="425"/>
      <c r="J18" s="427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</row>
    <row r="19" ht="18.2" customHeight="1" spans="1:25" s="193" customFormat="1" x14ac:dyDescent="0.25">
      <c r="A19" s="425"/>
      <c r="B19" s="420"/>
      <c r="C19" s="420"/>
      <c r="D19" s="425"/>
      <c r="E19" s="425"/>
      <c r="F19" s="422"/>
      <c r="G19" s="422"/>
      <c r="H19" s="426"/>
      <c r="I19" s="425"/>
      <c r="J19" s="427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</row>
    <row r="20" ht="18.2" customHeight="1" spans="1:25" s="193" customFormat="1" x14ac:dyDescent="0.25">
      <c r="A20" s="425"/>
      <c r="B20" s="420"/>
      <c r="C20" s="420"/>
      <c r="D20" s="425"/>
      <c r="E20" s="425"/>
      <c r="F20" s="422"/>
      <c r="G20" s="422"/>
      <c r="H20" s="426"/>
      <c r="I20" s="425"/>
      <c r="J20" s="124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</row>
    <row r="21" ht="18.2" customHeight="1" spans="1:25" s="193" customFormat="1" x14ac:dyDescent="0.25">
      <c r="A21" s="428"/>
      <c r="B21" s="436"/>
      <c r="C21" s="429"/>
      <c r="D21" s="430"/>
      <c r="E21" s="430"/>
      <c r="F21" s="431"/>
      <c r="G21" s="431"/>
      <c r="H21" s="432"/>
      <c r="I21" s="428"/>
      <c r="J21" s="124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</row>
    <row r="22" ht="18.2" customHeight="1" spans="1:25" s="193" customFormat="1" x14ac:dyDescent="0.25">
      <c r="A22" s="418"/>
      <c r="B22" s="433"/>
      <c r="C22" s="433"/>
      <c r="D22" s="418"/>
      <c r="E22" s="418"/>
      <c r="F22" s="434"/>
      <c r="G22" s="437"/>
      <c r="H22" s="435"/>
      <c r="I22" s="418"/>
      <c r="J22" s="124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</row>
    <row r="23" ht="18.2" customHeight="1" spans="1:25" s="193" customFormat="1" x14ac:dyDescent="0.25">
      <c r="A23" s="425"/>
      <c r="B23" s="420"/>
      <c r="C23" s="420"/>
      <c r="D23" s="425"/>
      <c r="E23" s="425"/>
      <c r="F23" s="422"/>
      <c r="G23" s="422"/>
      <c r="H23" s="426"/>
      <c r="I23" s="425"/>
      <c r="J23" s="124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</row>
    <row r="24" ht="18.2" customHeight="1" spans="1:25" s="193" customFormat="1" x14ac:dyDescent="0.25">
      <c r="A24" s="425"/>
      <c r="B24" s="420"/>
      <c r="C24" s="420"/>
      <c r="D24" s="425"/>
      <c r="E24" s="425"/>
      <c r="F24" s="422"/>
      <c r="G24" s="422"/>
      <c r="H24" s="426"/>
      <c r="I24" s="425"/>
      <c r="J24" s="124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</row>
    <row r="25" ht="18.2" customHeight="1" spans="1:25" s="193" customFormat="1" x14ac:dyDescent="0.25">
      <c r="A25" s="425"/>
      <c r="B25" s="420"/>
      <c r="C25" s="420"/>
      <c r="D25" s="425"/>
      <c r="E25" s="425"/>
      <c r="F25" s="422"/>
      <c r="G25" s="422"/>
      <c r="H25" s="426"/>
      <c r="I25" s="425"/>
      <c r="J25" s="124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</row>
    <row r="26" ht="18.2" customHeight="1" spans="1:25" s="193" customFormat="1" x14ac:dyDescent="0.25">
      <c r="A26" s="428"/>
      <c r="B26" s="436"/>
      <c r="C26" s="429"/>
      <c r="D26" s="430"/>
      <c r="E26" s="430"/>
      <c r="F26" s="431"/>
      <c r="G26" s="431"/>
      <c r="H26" s="432"/>
      <c r="I26" s="428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</row>
    <row r="27" ht="18.2" customHeight="1" spans="1:25" s="193" customFormat="1" x14ac:dyDescent="0.25">
      <c r="A27" s="418"/>
      <c r="B27" s="433"/>
      <c r="C27" s="433"/>
      <c r="D27" s="418"/>
      <c r="E27" s="418"/>
      <c r="F27" s="434"/>
      <c r="G27" s="437"/>
      <c r="H27" s="435"/>
      <c r="I27" s="418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</row>
    <row r="28" ht="18.2" customHeight="1" spans="1:25" s="193" customFormat="1" x14ac:dyDescent="0.25">
      <c r="A28" s="425"/>
      <c r="B28" s="420"/>
      <c r="C28" s="420"/>
      <c r="D28" s="425"/>
      <c r="E28" s="425"/>
      <c r="F28" s="422"/>
      <c r="G28" s="422"/>
      <c r="H28" s="426"/>
      <c r="I28" s="425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</row>
    <row r="29" ht="18.2" customHeight="1" spans="1:25" s="193" customFormat="1" x14ac:dyDescent="0.25">
      <c r="A29" s="425"/>
      <c r="B29" s="420"/>
      <c r="C29" s="420"/>
      <c r="D29" s="425"/>
      <c r="E29" s="425"/>
      <c r="F29" s="422"/>
      <c r="G29" s="422"/>
      <c r="H29" s="426"/>
      <c r="I29" s="425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</row>
    <row r="30" ht="18.2" customHeight="1" spans="1:25" s="193" customFormat="1" x14ac:dyDescent="0.25">
      <c r="A30" s="425"/>
      <c r="B30" s="420"/>
      <c r="C30" s="420"/>
      <c r="D30" s="425"/>
      <c r="E30" s="425"/>
      <c r="F30" s="422"/>
      <c r="G30" s="422"/>
      <c r="H30" s="426"/>
      <c r="I30" s="425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</row>
    <row r="31" ht="18.2" customHeight="1" spans="1:25" s="193" customFormat="1" x14ac:dyDescent="0.25">
      <c r="A31" s="425"/>
      <c r="B31" s="420"/>
      <c r="C31" s="420"/>
      <c r="D31" s="425"/>
      <c r="E31" s="425"/>
      <c r="F31" s="422"/>
      <c r="G31" s="422"/>
      <c r="H31" s="426"/>
      <c r="I31" s="425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</row>
    <row r="32" ht="6.95" customHeight="1" spans="1:25" s="145" customFormat="1" x14ac:dyDescent="0.25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15" customHeight="1" spans="1:25" s="193" customFormat="1" x14ac:dyDescent="0.25">
      <c r="A33" s="193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</row>
    <row r="34" ht="14.25" customHeight="1" spans="1:25" s="193" customFormat="1" x14ac:dyDescent="0.25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</row>
    <row r="35" ht="14.25" customHeight="1" spans="1:25" s="193" customFormat="1" x14ac:dyDescent="0.25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</row>
    <row r="36" ht="14.25" customHeight="1" spans="1:25" s="193" customFormat="1" x14ac:dyDescent="0.25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</row>
    <row r="37" ht="14.25" customHeight="1" spans="1:25" s="193" customFormat="1" x14ac:dyDescent="0.25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</row>
    <row r="38" ht="14.25" customHeight="1" spans="1:25" s="193" customFormat="1" x14ac:dyDescent="0.25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</row>
    <row r="39" ht="14.25" customHeight="1" spans="1:25" s="193" customFormat="1" x14ac:dyDescent="0.25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</row>
    <row r="40" ht="14.25" customHeight="1" spans="1:25" s="193" customFormat="1" x14ac:dyDescent="0.25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</row>
    <row r="41" ht="14.25" customHeight="1" spans="1:25" s="193" customFormat="1" x14ac:dyDescent="0.25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</row>
    <row r="42" ht="15.95" customHeight="1" spans="1:25" s="145" customFormat="1" x14ac:dyDescent="0.25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ht="15.95" customHeight="1" spans="1:25" s="145" customFormat="1" x14ac:dyDescent="0.25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ht="18" customHeight="1" spans="1:25" s="193" customFormat="1" x14ac:dyDescent="0.25">
      <c r="A44" s="196" t="s">
        <v>22</v>
      </c>
      <c r="B44" s="196"/>
      <c r="C44" s="193"/>
      <c r="D44" s="196" t="s">
        <v>115</v>
      </c>
      <c r="E44" s="196"/>
      <c r="F44" s="196"/>
      <c r="G44" s="193"/>
      <c r="H44" s="196" t="s">
        <v>23</v>
      </c>
      <c r="I44" s="196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</row>
    <row r="45" ht="27.95" customHeight="1" spans="1:25" s="145" customFormat="1" x14ac:dyDescent="0.25">
      <c r="A45" s="409" t="s">
        <v>24</v>
      </c>
      <c r="B45" s="409"/>
      <c r="C45" s="409"/>
      <c r="D45" s="409"/>
      <c r="E45" s="409"/>
      <c r="F45" s="409"/>
      <c r="G45" s="409"/>
      <c r="H45" s="409"/>
      <c r="I45" s="409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ht="18" customHeight="1" spans="1:25" s="145" customFormat="1" x14ac:dyDescent="0.25">
      <c r="A46" s="317" t="s">
        <v>25</v>
      </c>
      <c r="B46" s="317"/>
      <c r="C46" s="317"/>
      <c r="D46" s="317"/>
      <c r="E46" s="317"/>
      <c r="F46" s="317"/>
      <c r="G46" s="317"/>
      <c r="H46" s="317"/>
      <c r="I46" s="317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ht="11.25" customHeight="1" spans="1:25" s="145" customFormat="1" x14ac:dyDescent="0.25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ht="27" customHeight="1" spans="1:25" x14ac:dyDescent="0.25">
      <c r="A48" s="199" t="s">
        <v>101</v>
      </c>
      <c r="B48" s="199"/>
      <c r="C48" s="199"/>
      <c r="D48" s="199"/>
      <c r="E48" s="199"/>
      <c r="F48" s="199"/>
      <c r="G48" s="199"/>
      <c r="H48" s="199"/>
      <c r="I48" s="199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5">
      <c r="A49" s="197" t="s">
        <v>102</v>
      </c>
      <c r="B49" s="197"/>
      <c r="C49" s="197"/>
      <c r="D49" s="197"/>
      <c r="E49" s="197"/>
      <c r="F49" s="197"/>
      <c r="G49" s="197"/>
      <c r="H49" s="197"/>
      <c r="I49" s="19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4.25" customHeight="1" spans="1:25" x14ac:dyDescent="0.25">
      <c r="A50" s="197"/>
      <c r="B50" s="197"/>
      <c r="C50" s="197"/>
      <c r="D50" s="197"/>
      <c r="E50" s="197"/>
      <c r="F50" s="197"/>
      <c r="G50" s="197"/>
      <c r="H50" s="197"/>
      <c r="I50" s="9" t="s">
        <v>116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2.5" customHeight="1" spans="1:25" x14ac:dyDescent="0.25">
      <c r="A51" s="145" t="str">
        <f>A7</f>
        <v>M / V : SAWASDEE RIGEL</v>
      </c>
      <c r="B51" s="145"/>
      <c r="C51" s="145"/>
      <c r="D51" s="145" t="s">
        <v>4</v>
      </c>
      <c r="E51" s="197" t="str">
        <f>'OS-IN'!H6</f>
        <v>2606N</v>
      </c>
      <c r="F51" s="197"/>
      <c r="G51" s="9" t="s">
        <v>5</v>
      </c>
      <c r="H51" s="201">
        <f>'OS-IN'!L6</f>
        <v>46214</v>
      </c>
      <c r="I51" s="19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2.5" customHeight="1" spans="1:25" x14ac:dyDescent="0.25">
      <c r="A52" s="145" t="s">
        <v>105</v>
      </c>
      <c r="B52" s="145"/>
      <c r="C52" s="145"/>
      <c r="D52" s="410" t="s">
        <v>7</v>
      </c>
      <c r="E52" s="197">
        <f>'Final Work'!G6</f>
        <v>6</v>
      </c>
      <c r="F52" s="197"/>
      <c r="G52" s="9" t="s">
        <v>8</v>
      </c>
      <c r="H52" s="16" t="s">
        <v>106</v>
      </c>
      <c r="I52" s="1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9" customHeight="1" spans="1:25" x14ac:dyDescent="0.25">
      <c r="A53" s="145"/>
      <c r="B53" s="145"/>
      <c r="C53" s="145"/>
      <c r="D53" s="145"/>
      <c r="E53" s="145"/>
      <c r="F53" s="145"/>
      <c r="G53" s="145"/>
      <c r="H53" s="145"/>
      <c r="I53" s="14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1" customHeight="1" spans="1:25" x14ac:dyDescent="0.25">
      <c r="A54" s="411" t="s">
        <v>107</v>
      </c>
      <c r="B54" s="411" t="s">
        <v>94</v>
      </c>
      <c r="C54" s="411" t="s">
        <v>90</v>
      </c>
      <c r="D54" s="161" t="s">
        <v>108</v>
      </c>
      <c r="E54" s="166"/>
      <c r="F54" s="161" t="s">
        <v>109</v>
      </c>
      <c r="G54" s="166"/>
      <c r="H54" s="289" t="s">
        <v>110</v>
      </c>
      <c r="I54" s="411" t="s">
        <v>49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1" customHeight="1" spans="1:25" x14ac:dyDescent="0.25">
      <c r="A55" s="35"/>
      <c r="B55" s="35"/>
      <c r="C55" s="35"/>
      <c r="D55" s="414" t="s">
        <v>111</v>
      </c>
      <c r="E55" s="415"/>
      <c r="F55" s="416" t="s">
        <v>112</v>
      </c>
      <c r="G55" s="414" t="s">
        <v>113</v>
      </c>
      <c r="H55" s="417" t="s">
        <v>114</v>
      </c>
      <c r="I55" s="3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8.95" customHeight="1" spans="1:25" x14ac:dyDescent="0.25">
      <c r="A56" s="418" t="s">
        <v>117</v>
      </c>
      <c r="B56" s="438"/>
      <c r="C56" s="420" t="s">
        <v>118</v>
      </c>
      <c r="D56" s="439"/>
      <c r="E56" s="440"/>
      <c r="F56" s="422" t="s">
        <v>119</v>
      </c>
      <c r="G56" s="441">
        <v>-18.1</v>
      </c>
      <c r="H56" s="423">
        <f>H12</f>
        <v>NaN</v>
      </c>
      <c r="I56" s="418" t="s">
        <v>120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8.95" customHeight="1" spans="1:25" x14ac:dyDescent="0.25">
      <c r="A57" s="425" t="s">
        <v>121</v>
      </c>
      <c r="B57" s="442"/>
      <c r="C57" s="442" t="s">
        <v>118</v>
      </c>
      <c r="D57" s="443"/>
      <c r="E57" s="444"/>
      <c r="F57" s="422" t="s">
        <v>122</v>
      </c>
      <c r="G57" s="422" t="s">
        <v>122</v>
      </c>
      <c r="H57" s="445" t="s">
        <v>123</v>
      </c>
      <c r="I57" s="425" t="s">
        <v>124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8.95" customHeight="1" spans="1:25" x14ac:dyDescent="0.25">
      <c r="A58" s="425" t="s">
        <v>125</v>
      </c>
      <c r="B58" s="442"/>
      <c r="C58" s="442" t="s">
        <v>118</v>
      </c>
      <c r="D58" s="443"/>
      <c r="E58" s="444"/>
      <c r="F58" s="422" t="s">
        <v>126</v>
      </c>
      <c r="G58" s="422">
        <v>13.3</v>
      </c>
      <c r="H58" s="445" t="s">
        <v>123</v>
      </c>
      <c r="I58" s="425" t="s">
        <v>127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8.95" customHeight="1" spans="1:25" x14ac:dyDescent="0.25">
      <c r="A59" s="425" t="s">
        <v>128</v>
      </c>
      <c r="B59" s="442"/>
      <c r="C59" s="442" t="s">
        <v>118</v>
      </c>
      <c r="D59" s="443"/>
      <c r="E59" s="444"/>
      <c r="F59" s="422" t="s">
        <v>119</v>
      </c>
      <c r="G59" s="422">
        <v>-17.8</v>
      </c>
      <c r="H59" s="445" t="s">
        <v>123</v>
      </c>
      <c r="I59" s="425" t="s">
        <v>120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8.95" customHeight="1" spans="1:25" x14ac:dyDescent="0.25">
      <c r="A60" s="428" t="s">
        <v>129</v>
      </c>
      <c r="B60" s="446"/>
      <c r="C60" s="446" t="s">
        <v>118</v>
      </c>
      <c r="D60" s="447"/>
      <c r="E60" s="448"/>
      <c r="F60" s="449" t="s">
        <v>119</v>
      </c>
      <c r="G60" s="449" t="s">
        <v>119</v>
      </c>
      <c r="H60" s="450" t="s">
        <v>123</v>
      </c>
      <c r="I60" s="428" t="s">
        <v>130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8.95" customHeight="1" spans="1:25" x14ac:dyDescent="0.25">
      <c r="A61" s="418" t="s">
        <v>131</v>
      </c>
      <c r="B61" s="451"/>
      <c r="C61" s="451" t="s">
        <v>118</v>
      </c>
      <c r="D61" s="452"/>
      <c r="E61" s="453"/>
      <c r="F61" s="434" t="s">
        <v>122</v>
      </c>
      <c r="G61" s="437" t="s">
        <v>122</v>
      </c>
      <c r="H61" s="454" t="s">
        <v>123</v>
      </c>
      <c r="I61" s="418" t="s">
        <v>127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8.95" customHeight="1" spans="1:25" x14ac:dyDescent="0.25">
      <c r="A62" s="425" t="s">
        <v>132</v>
      </c>
      <c r="B62" s="455"/>
      <c r="C62" s="442" t="s">
        <v>118</v>
      </c>
      <c r="D62" s="443"/>
      <c r="E62" s="444"/>
      <c r="F62" s="422" t="s">
        <v>122</v>
      </c>
      <c r="G62" s="422">
        <v>13.9</v>
      </c>
      <c r="H62" s="445" t="s">
        <v>123</v>
      </c>
      <c r="I62" s="425" t="s">
        <v>124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8.95" customHeight="1" spans="1:25" x14ac:dyDescent="0.25">
      <c r="A63" s="425" t="s">
        <v>133</v>
      </c>
      <c r="B63" s="455"/>
      <c r="C63" s="442" t="s">
        <v>118</v>
      </c>
      <c r="D63" s="443"/>
      <c r="E63" s="444"/>
      <c r="F63" s="422" t="s">
        <v>134</v>
      </c>
      <c r="G63" s="422" t="s">
        <v>134</v>
      </c>
      <c r="H63" s="445" t="s">
        <v>123</v>
      </c>
      <c r="I63" s="425" t="s">
        <v>124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8.95" customHeight="1" spans="1:25" x14ac:dyDescent="0.25">
      <c r="A64" s="425" t="s">
        <v>135</v>
      </c>
      <c r="B64" s="455"/>
      <c r="C64" s="442" t="s">
        <v>118</v>
      </c>
      <c r="D64" s="443"/>
      <c r="E64" s="444"/>
      <c r="F64" s="422" t="s">
        <v>122</v>
      </c>
      <c r="G64" s="422">
        <v>14.1</v>
      </c>
      <c r="H64" s="445" t="s">
        <v>123</v>
      </c>
      <c r="I64" s="425" t="s">
        <v>124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8.95" customHeight="1" spans="1:25" x14ac:dyDescent="0.25">
      <c r="A65" s="428" t="s">
        <v>136</v>
      </c>
      <c r="B65" s="429"/>
      <c r="C65" s="446" t="s">
        <v>118</v>
      </c>
      <c r="D65" s="447"/>
      <c r="E65" s="448"/>
      <c r="F65" s="449" t="s">
        <v>137</v>
      </c>
      <c r="G65" s="449" t="s">
        <v>137</v>
      </c>
      <c r="H65" s="450" t="s">
        <v>123</v>
      </c>
      <c r="I65" s="428" t="s">
        <v>124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8.95" customHeight="1" spans="1:25" x14ac:dyDescent="0.25">
      <c r="A66" s="418" t="s">
        <v>138</v>
      </c>
      <c r="B66" s="433"/>
      <c r="C66" s="451" t="s">
        <v>118</v>
      </c>
      <c r="D66" s="452"/>
      <c r="E66" s="453"/>
      <c r="F66" s="434" t="s">
        <v>122</v>
      </c>
      <c r="G66" s="437">
        <v>14.1</v>
      </c>
      <c r="H66" s="454" t="s">
        <v>123</v>
      </c>
      <c r="I66" s="418" t="s">
        <v>127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8.95" customHeight="1" spans="1:25" x14ac:dyDescent="0.25">
      <c r="A67" s="425"/>
      <c r="B67" s="455"/>
      <c r="C67" s="442"/>
      <c r="D67" s="443"/>
      <c r="E67" s="444"/>
      <c r="F67" s="422"/>
      <c r="G67" s="422"/>
      <c r="H67" s="445"/>
      <c r="I67" s="42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8.95" customHeight="1" spans="1:25" x14ac:dyDescent="0.25">
      <c r="A68" s="455"/>
      <c r="B68" s="455"/>
      <c r="C68" s="455"/>
      <c r="D68" s="443"/>
      <c r="E68" s="444"/>
      <c r="F68" s="422"/>
      <c r="G68" s="422"/>
      <c r="H68" s="445"/>
      <c r="I68" s="45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8.95" customHeight="1" spans="1:25" x14ac:dyDescent="0.25">
      <c r="A69" s="455"/>
      <c r="B69" s="455"/>
      <c r="C69" s="455"/>
      <c r="D69" s="443"/>
      <c r="E69" s="444"/>
      <c r="F69" s="422"/>
      <c r="G69" s="422"/>
      <c r="H69" s="445"/>
      <c r="I69" s="45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8.95" customHeight="1" spans="1:25" x14ac:dyDescent="0.25">
      <c r="A70" s="456"/>
      <c r="B70" s="456"/>
      <c r="C70" s="456"/>
      <c r="D70" s="457"/>
      <c r="E70" s="448"/>
      <c r="F70" s="431"/>
      <c r="G70" s="431"/>
      <c r="H70" s="458"/>
      <c r="I70" s="45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8.95" customHeight="1" spans="1:25" x14ac:dyDescent="0.25">
      <c r="A71" s="459"/>
      <c r="B71" s="459"/>
      <c r="C71" s="459"/>
      <c r="D71" s="460"/>
      <c r="E71" s="461"/>
      <c r="F71" s="434"/>
      <c r="G71" s="437"/>
      <c r="H71" s="462"/>
      <c r="I71" s="459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8.95" customHeight="1" spans="1:25" x14ac:dyDescent="0.25">
      <c r="A72" s="455"/>
      <c r="B72" s="455"/>
      <c r="C72" s="455"/>
      <c r="D72" s="443"/>
      <c r="E72" s="444"/>
      <c r="F72" s="422"/>
      <c r="G72" s="422"/>
      <c r="H72" s="463"/>
      <c r="I72" s="45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8.95" customHeight="1" spans="1:25" x14ac:dyDescent="0.25">
      <c r="A73" s="464"/>
      <c r="B73" s="464"/>
      <c r="C73" s="464"/>
      <c r="D73" s="443"/>
      <c r="E73" s="444"/>
      <c r="F73" s="422"/>
      <c r="G73" s="422"/>
      <c r="H73" s="463"/>
      <c r="I73" s="46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8.95" customHeight="1" spans="1:25" x14ac:dyDescent="0.25">
      <c r="A74" s="464"/>
      <c r="B74" s="464"/>
      <c r="C74" s="464"/>
      <c r="D74" s="443"/>
      <c r="E74" s="444"/>
      <c r="F74" s="422"/>
      <c r="G74" s="422"/>
      <c r="H74" s="463"/>
      <c r="I74" s="46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8.95" customHeight="1" spans="1:25" x14ac:dyDescent="0.25">
      <c r="A75" s="465"/>
      <c r="B75" s="465"/>
      <c r="C75" s="465"/>
      <c r="D75" s="466"/>
      <c r="E75" s="444"/>
      <c r="F75" s="422"/>
      <c r="G75" s="422"/>
      <c r="H75" s="425"/>
      <c r="I75" s="42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6.95" customHeight="1" spans="1:25" x14ac:dyDescent="0.25">
      <c r="A76" s="145"/>
      <c r="B76" s="145"/>
      <c r="C76" s="145"/>
      <c r="D76" s="145"/>
      <c r="E76" s="145"/>
      <c r="F76" s="145"/>
      <c r="G76" s="145"/>
      <c r="H76" s="145"/>
      <c r="I76" s="14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" customHeight="1" spans="1:25" x14ac:dyDescent="0.25">
      <c r="A77" s="193" t="s">
        <v>139</v>
      </c>
      <c r="B77" s="193"/>
      <c r="C77" s="193"/>
      <c r="D77" s="193"/>
      <c r="E77" s="193"/>
      <c r="F77" s="193"/>
      <c r="G77" s="193"/>
      <c r="H77" s="193"/>
      <c r="I77" s="19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4.25" customHeight="1" spans="1:25" x14ac:dyDescent="0.25">
      <c r="A78" s="193" t="s">
        <v>140</v>
      </c>
      <c r="B78" s="193"/>
      <c r="C78" s="193"/>
      <c r="D78" s="193"/>
      <c r="E78" s="193"/>
      <c r="F78" s="193"/>
      <c r="G78" s="193"/>
      <c r="H78" s="193"/>
      <c r="I78" s="19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4.25" customHeight="1" spans="1:25" x14ac:dyDescent="0.25">
      <c r="A79" s="193" t="s">
        <v>141</v>
      </c>
      <c r="B79" s="193"/>
      <c r="C79" s="193"/>
      <c r="D79" s="193"/>
      <c r="E79" s="193"/>
      <c r="F79" s="193"/>
      <c r="G79" s="193"/>
      <c r="H79" s="193"/>
      <c r="I79" s="19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4.25" customHeight="1" spans="1:25" x14ac:dyDescent="0.25">
      <c r="A80" s="193" t="s">
        <v>142</v>
      </c>
      <c r="B80" s="193"/>
      <c r="C80" s="193"/>
      <c r="D80" s="193"/>
      <c r="E80" s="193"/>
      <c r="F80" s="193"/>
      <c r="G80" s="193"/>
      <c r="H80" s="193"/>
      <c r="I80" s="19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4.25" customHeight="1" spans="1:25" x14ac:dyDescent="0.25">
      <c r="A81" s="193" t="s">
        <v>143</v>
      </c>
      <c r="B81" s="193"/>
      <c r="C81" s="193"/>
      <c r="D81" s="193"/>
      <c r="E81" s="193"/>
      <c r="F81" s="193"/>
      <c r="G81" s="193"/>
      <c r="H81" s="193"/>
      <c r="I81" s="19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4.25" customHeight="1" spans="1:25" x14ac:dyDescent="0.25">
      <c r="A82" s="193" t="s">
        <v>144</v>
      </c>
      <c r="B82" s="193"/>
      <c r="C82" s="193"/>
      <c r="D82" s="193"/>
      <c r="E82" s="193"/>
      <c r="F82" s="193"/>
      <c r="G82" s="193"/>
      <c r="H82" s="193"/>
      <c r="I82" s="19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4.25" customHeight="1" spans="1:25" x14ac:dyDescent="0.25">
      <c r="A83" s="193"/>
      <c r="B83" s="193"/>
      <c r="C83" s="193"/>
      <c r="D83" s="193"/>
      <c r="E83" s="193"/>
      <c r="F83" s="193"/>
      <c r="G83" s="193"/>
      <c r="H83" s="193"/>
      <c r="I83" s="19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4.25" customHeight="1" spans="1:25" x14ac:dyDescent="0.25">
      <c r="A84" s="193"/>
      <c r="B84" s="193"/>
      <c r="C84" s="193"/>
      <c r="D84" s="193"/>
      <c r="E84" s="193"/>
      <c r="F84" s="193"/>
      <c r="G84" s="193"/>
      <c r="H84" s="193"/>
      <c r="I84" s="19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4.25" customHeight="1" spans="1:25" x14ac:dyDescent="0.25">
      <c r="A85" s="193"/>
      <c r="B85" s="193"/>
      <c r="C85" s="193"/>
      <c r="D85" s="193"/>
      <c r="E85" s="193"/>
      <c r="F85" s="193"/>
      <c r="G85" s="193"/>
      <c r="H85" s="193"/>
      <c r="I85" s="19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95" customHeight="1" spans="1:25" x14ac:dyDescent="0.25">
      <c r="A86" s="145"/>
      <c r="B86" s="145"/>
      <c r="C86" s="145"/>
      <c r="D86" s="145"/>
      <c r="E86" s="145"/>
      <c r="F86" s="145"/>
      <c r="G86" s="145"/>
      <c r="H86" s="145"/>
      <c r="I86" s="14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95" customHeight="1" spans="1:25" x14ac:dyDescent="0.25">
      <c r="A87" s="194"/>
      <c r="B87" s="194"/>
      <c r="C87" s="145"/>
      <c r="D87" s="194"/>
      <c r="E87" s="194"/>
      <c r="F87" s="194"/>
      <c r="G87" s="145"/>
      <c r="H87" s="194"/>
      <c r="I87" s="19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8" customHeight="1" spans="1:25" x14ac:dyDescent="0.25">
      <c r="A88" s="196" t="s">
        <v>22</v>
      </c>
      <c r="B88" s="196"/>
      <c r="C88" s="193"/>
      <c r="D88" s="196" t="s">
        <v>115</v>
      </c>
      <c r="E88" s="196"/>
      <c r="F88" s="196"/>
      <c r="G88" s="193"/>
      <c r="H88" s="196" t="s">
        <v>23</v>
      </c>
      <c r="I88" s="19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7.95" customHeight="1" spans="1:25" s="145" customFormat="1" x14ac:dyDescent="0.25">
      <c r="A89" s="409" t="s">
        <v>24</v>
      </c>
      <c r="B89" s="409"/>
      <c r="C89" s="409"/>
      <c r="D89" s="409"/>
      <c r="E89" s="409"/>
      <c r="F89" s="409"/>
      <c r="G89" s="409"/>
      <c r="H89" s="409"/>
      <c r="I89" s="409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</row>
    <row r="90" ht="18" customHeight="1" spans="1:25" s="145" customFormat="1" x14ac:dyDescent="0.25">
      <c r="A90" s="317" t="s">
        <v>25</v>
      </c>
      <c r="B90" s="317"/>
      <c r="C90" s="317"/>
      <c r="D90" s="317"/>
      <c r="E90" s="317"/>
      <c r="F90" s="317"/>
      <c r="G90" s="317"/>
      <c r="H90" s="317"/>
      <c r="I90" s="317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</row>
    <row r="91" ht="11.25" customHeight="1" spans="1:25" s="145" customFormat="1" x14ac:dyDescent="0.25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</row>
    <row r="92" ht="27" customHeight="1" spans="1:25" x14ac:dyDescent="0.25">
      <c r="A92" s="199" t="s">
        <v>101</v>
      </c>
      <c r="B92" s="199"/>
      <c r="C92" s="199"/>
      <c r="D92" s="199"/>
      <c r="E92" s="199"/>
      <c r="F92" s="199"/>
      <c r="G92" s="199"/>
      <c r="H92" s="199"/>
      <c r="I92" s="199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.95" customHeight="1" spans="1:25" x14ac:dyDescent="0.25">
      <c r="A93" s="197" t="s">
        <v>102</v>
      </c>
      <c r="B93" s="197"/>
      <c r="C93" s="197"/>
      <c r="D93" s="197"/>
      <c r="E93" s="197"/>
      <c r="F93" s="197"/>
      <c r="G93" s="197"/>
      <c r="H93" s="197"/>
      <c r="I93" s="19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4.25" customHeight="1" spans="1:25" x14ac:dyDescent="0.25">
      <c r="A94" s="197"/>
      <c r="B94" s="197"/>
      <c r="C94" s="197"/>
      <c r="D94" s="197"/>
      <c r="E94" s="197"/>
      <c r="F94" s="197"/>
      <c r="G94" s="197"/>
      <c r="H94" s="197"/>
      <c r="I94" s="9" t="s">
        <v>145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2.5" customHeight="1" spans="1:25" x14ac:dyDescent="0.25">
      <c r="A95" s="145" t="str">
        <f>A51</f>
        <v>M / V : SAWASDEE RIGEL</v>
      </c>
      <c r="B95" s="145"/>
      <c r="C95" s="145"/>
      <c r="D95" s="145" t="s">
        <v>4</v>
      </c>
      <c r="E95" s="197" t="str">
        <f>'OS-OUT'!H6</f>
        <v>2606N</v>
      </c>
      <c r="F95" s="197"/>
      <c r="G95" s="9" t="s">
        <v>5</v>
      </c>
      <c r="H95" s="201">
        <f>'OS-OUT'!L6</f>
        <v>46214</v>
      </c>
      <c r="I95" s="19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2.5" customHeight="1" spans="1:25" x14ac:dyDescent="0.25">
      <c r="A96" s="145" t="s">
        <v>105</v>
      </c>
      <c r="B96" s="145"/>
      <c r="C96" s="145"/>
      <c r="D96" s="410" t="s">
        <v>7</v>
      </c>
      <c r="E96" s="197">
        <f>'Final Work'!G6</f>
        <v>6</v>
      </c>
      <c r="F96" s="197"/>
      <c r="G96" s="9" t="s">
        <v>8</v>
      </c>
      <c r="H96" s="16" t="s">
        <v>106</v>
      </c>
      <c r="I96" s="1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9" customHeight="1" spans="1:25" x14ac:dyDescent="0.25">
      <c r="A97" s="145"/>
      <c r="B97" s="145"/>
      <c r="C97" s="145"/>
      <c r="D97" s="145"/>
      <c r="E97" s="145"/>
      <c r="F97" s="145"/>
      <c r="G97" s="145"/>
      <c r="H97" s="145"/>
      <c r="I97" s="14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21" customHeight="1" spans="1:25" x14ac:dyDescent="0.25">
      <c r="A98" s="411" t="s">
        <v>107</v>
      </c>
      <c r="B98" s="411" t="s">
        <v>94</v>
      </c>
      <c r="C98" s="411" t="s">
        <v>90</v>
      </c>
      <c r="D98" s="161" t="s">
        <v>108</v>
      </c>
      <c r="E98" s="166"/>
      <c r="F98" s="161" t="s">
        <v>109</v>
      </c>
      <c r="G98" s="166"/>
      <c r="H98" s="289" t="s">
        <v>110</v>
      </c>
      <c r="I98" s="411" t="s">
        <v>49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1" customHeight="1" spans="1:25" x14ac:dyDescent="0.25">
      <c r="A99" s="35"/>
      <c r="B99" s="35"/>
      <c r="C99" s="35"/>
      <c r="D99" s="414" t="s">
        <v>111</v>
      </c>
      <c r="E99" s="415"/>
      <c r="F99" s="416" t="s">
        <v>112</v>
      </c>
      <c r="G99" s="414" t="s">
        <v>113</v>
      </c>
      <c r="H99" s="417" t="s">
        <v>114</v>
      </c>
      <c r="I99" s="3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8.95" customHeight="1" spans="1:25" x14ac:dyDescent="0.25">
      <c r="A100" s="467" t="s">
        <v>53</v>
      </c>
      <c r="B100" s="438"/>
      <c r="C100" s="420"/>
      <c r="D100" s="439"/>
      <c r="E100" s="440"/>
      <c r="F100" s="422"/>
      <c r="G100" s="422"/>
      <c r="H100" s="423"/>
      <c r="I100" s="438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8.95" customHeight="1" spans="1:25" x14ac:dyDescent="0.25">
      <c r="A101" s="468"/>
      <c r="B101" s="442"/>
      <c r="C101" s="442"/>
      <c r="D101" s="443"/>
      <c r="E101" s="444"/>
      <c r="F101" s="422"/>
      <c r="G101" s="422"/>
      <c r="H101" s="445"/>
      <c r="I101" s="442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8.95" customHeight="1" spans="1:25" x14ac:dyDescent="0.25">
      <c r="A102" s="468"/>
      <c r="B102" s="442"/>
      <c r="C102" s="442"/>
      <c r="D102" s="443"/>
      <c r="E102" s="444"/>
      <c r="F102" s="422"/>
      <c r="G102" s="422"/>
      <c r="H102" s="445"/>
      <c r="I102" s="442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8.95" customHeight="1" spans="1:25" x14ac:dyDescent="0.25">
      <c r="A103" s="468"/>
      <c r="B103" s="442"/>
      <c r="C103" s="442"/>
      <c r="D103" s="443"/>
      <c r="E103" s="444"/>
      <c r="F103" s="422"/>
      <c r="G103" s="422"/>
      <c r="H103" s="445"/>
      <c r="I103" s="442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8.95" customHeight="1" spans="1:25" x14ac:dyDescent="0.25">
      <c r="A104" s="469"/>
      <c r="B104" s="470"/>
      <c r="C104" s="470"/>
      <c r="D104" s="457"/>
      <c r="E104" s="448"/>
      <c r="F104" s="431"/>
      <c r="G104" s="431"/>
      <c r="H104" s="471"/>
      <c r="I104" s="47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8.95" customHeight="1" spans="1:25" x14ac:dyDescent="0.25">
      <c r="A105" s="472"/>
      <c r="B105" s="451"/>
      <c r="C105" s="451"/>
      <c r="D105" s="452"/>
      <c r="E105" s="453"/>
      <c r="F105" s="434"/>
      <c r="G105" s="437"/>
      <c r="H105" s="445"/>
      <c r="I105" s="451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8.95" customHeight="1" spans="1:25" x14ac:dyDescent="0.25">
      <c r="A106" s="468"/>
      <c r="B106" s="455"/>
      <c r="C106" s="455"/>
      <c r="D106" s="443"/>
      <c r="E106" s="444"/>
      <c r="F106" s="422"/>
      <c r="G106" s="422"/>
      <c r="H106" s="445"/>
      <c r="I106" s="442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8.95" customHeight="1" spans="1:25" x14ac:dyDescent="0.25">
      <c r="A107" s="455"/>
      <c r="B107" s="455"/>
      <c r="C107" s="455"/>
      <c r="D107" s="443"/>
      <c r="E107" s="444"/>
      <c r="F107" s="422"/>
      <c r="G107" s="422"/>
      <c r="H107" s="445"/>
      <c r="I107" s="45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8.95" customHeight="1" spans="1:25" x14ac:dyDescent="0.25">
      <c r="A108" s="455"/>
      <c r="B108" s="455"/>
      <c r="C108" s="455"/>
      <c r="D108" s="443"/>
      <c r="E108" s="444"/>
      <c r="F108" s="422"/>
      <c r="G108" s="422"/>
      <c r="H108" s="445"/>
      <c r="I108" s="45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8.95" customHeight="1" spans="1:25" x14ac:dyDescent="0.25">
      <c r="A109" s="436"/>
      <c r="B109" s="436"/>
      <c r="C109" s="436"/>
      <c r="D109" s="457"/>
      <c r="E109" s="448"/>
      <c r="F109" s="431"/>
      <c r="G109" s="431"/>
      <c r="H109" s="471"/>
      <c r="I109" s="43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8.95" customHeight="1" spans="1:25" x14ac:dyDescent="0.25">
      <c r="A110" s="433"/>
      <c r="B110" s="433"/>
      <c r="C110" s="433"/>
      <c r="D110" s="460"/>
      <c r="E110" s="461"/>
      <c r="F110" s="434"/>
      <c r="G110" s="437"/>
      <c r="H110" s="454"/>
      <c r="I110" s="43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8.95" customHeight="1" spans="1:25" x14ac:dyDescent="0.25">
      <c r="A111" s="455"/>
      <c r="B111" s="455"/>
      <c r="C111" s="455"/>
      <c r="D111" s="443"/>
      <c r="E111" s="444"/>
      <c r="F111" s="422"/>
      <c r="G111" s="422"/>
      <c r="H111" s="445"/>
      <c r="I111" s="45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8.95" customHeight="1" spans="1:25" x14ac:dyDescent="0.25">
      <c r="A112" s="455"/>
      <c r="B112" s="455"/>
      <c r="C112" s="455"/>
      <c r="D112" s="443"/>
      <c r="E112" s="444"/>
      <c r="F112" s="422"/>
      <c r="G112" s="422"/>
      <c r="H112" s="445"/>
      <c r="I112" s="45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8.95" customHeight="1" spans="1:25" x14ac:dyDescent="0.25">
      <c r="A113" s="455"/>
      <c r="B113" s="455"/>
      <c r="C113" s="455"/>
      <c r="D113" s="443"/>
      <c r="E113" s="444"/>
      <c r="F113" s="422"/>
      <c r="G113" s="422"/>
      <c r="H113" s="445"/>
      <c r="I113" s="45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8.95" customHeight="1" spans="1:25" x14ac:dyDescent="0.25">
      <c r="A114" s="456"/>
      <c r="B114" s="456"/>
      <c r="C114" s="456"/>
      <c r="D114" s="457"/>
      <c r="E114" s="448"/>
      <c r="F114" s="431"/>
      <c r="G114" s="431"/>
      <c r="H114" s="458"/>
      <c r="I114" s="45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8.95" customHeight="1" spans="1:25" x14ac:dyDescent="0.25">
      <c r="A115" s="459"/>
      <c r="B115" s="459"/>
      <c r="C115" s="459"/>
      <c r="D115" s="460"/>
      <c r="E115" s="461"/>
      <c r="F115" s="434"/>
      <c r="G115" s="437"/>
      <c r="H115" s="462"/>
      <c r="I115" s="459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8.95" customHeight="1" spans="1:25" x14ac:dyDescent="0.25">
      <c r="A116" s="455"/>
      <c r="B116" s="455"/>
      <c r="C116" s="455"/>
      <c r="D116" s="443"/>
      <c r="E116" s="444"/>
      <c r="F116" s="422"/>
      <c r="G116" s="422"/>
      <c r="H116" s="463"/>
      <c r="I116" s="45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8.95" customHeight="1" spans="1:25" x14ac:dyDescent="0.25">
      <c r="A117" s="464"/>
      <c r="B117" s="464"/>
      <c r="C117" s="464"/>
      <c r="D117" s="443"/>
      <c r="E117" s="444"/>
      <c r="F117" s="422"/>
      <c r="G117" s="422"/>
      <c r="H117" s="463"/>
      <c r="I117" s="46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8.95" customHeight="1" spans="1:25" x14ac:dyDescent="0.25">
      <c r="A118" s="464"/>
      <c r="B118" s="464"/>
      <c r="C118" s="464"/>
      <c r="D118" s="443"/>
      <c r="E118" s="444"/>
      <c r="F118" s="422"/>
      <c r="G118" s="422"/>
      <c r="H118" s="463"/>
      <c r="I118" s="46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8.95" customHeight="1" spans="1:25" x14ac:dyDescent="0.25">
      <c r="A119" s="473"/>
      <c r="B119" s="473"/>
      <c r="C119" s="473"/>
      <c r="D119" s="457"/>
      <c r="E119" s="448"/>
      <c r="F119" s="431"/>
      <c r="G119" s="431"/>
      <c r="H119" s="430"/>
      <c r="I119" s="43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6.95" customHeight="1" spans="1:25" x14ac:dyDescent="0.25">
      <c r="A120" s="145"/>
      <c r="B120" s="145"/>
      <c r="C120" s="145"/>
      <c r="D120" s="145"/>
      <c r="E120" s="145"/>
      <c r="F120" s="145"/>
      <c r="G120" s="145"/>
      <c r="H120" s="145"/>
      <c r="I120" s="14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" customHeight="1" spans="1:25" x14ac:dyDescent="0.25">
      <c r="A121" s="193" t="s">
        <v>139</v>
      </c>
      <c r="B121" s="193"/>
      <c r="C121" s="193"/>
      <c r="D121" s="193"/>
      <c r="E121" s="193"/>
      <c r="F121" s="193"/>
      <c r="G121" s="193"/>
      <c r="H121" s="193"/>
      <c r="I121" s="19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4.25" customHeight="1" spans="1:25" x14ac:dyDescent="0.25">
      <c r="A122" s="193" t="s">
        <v>140</v>
      </c>
      <c r="B122" s="193"/>
      <c r="C122" s="193"/>
      <c r="D122" s="193"/>
      <c r="E122" s="193"/>
      <c r="F122" s="193"/>
      <c r="G122" s="193"/>
      <c r="H122" s="193"/>
      <c r="I122" s="19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4.25" customHeight="1" spans="1:25" x14ac:dyDescent="0.25">
      <c r="A123" s="193" t="s">
        <v>141</v>
      </c>
      <c r="B123" s="193"/>
      <c r="C123" s="193"/>
      <c r="D123" s="193"/>
      <c r="E123" s="193"/>
      <c r="F123" s="193"/>
      <c r="G123" s="193"/>
      <c r="H123" s="193"/>
      <c r="I123" s="19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4.25" customHeight="1" spans="1:25" x14ac:dyDescent="0.25">
      <c r="A124" s="193" t="s">
        <v>142</v>
      </c>
      <c r="B124" s="193"/>
      <c r="C124" s="193"/>
      <c r="D124" s="193"/>
      <c r="E124" s="193"/>
      <c r="F124" s="193"/>
      <c r="G124" s="193"/>
      <c r="H124" s="193"/>
      <c r="I124" s="19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4.25" customHeight="1" spans="1:25" x14ac:dyDescent="0.25">
      <c r="A125" s="193" t="s">
        <v>143</v>
      </c>
      <c r="B125" s="193"/>
      <c r="C125" s="193"/>
      <c r="D125" s="193"/>
      <c r="E125" s="193"/>
      <c r="F125" s="193"/>
      <c r="G125" s="193"/>
      <c r="H125" s="193"/>
      <c r="I125" s="19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4.25" customHeight="1" spans="1:25" x14ac:dyDescent="0.25">
      <c r="A126" s="193" t="s">
        <v>144</v>
      </c>
      <c r="B126" s="193"/>
      <c r="C126" s="193"/>
      <c r="D126" s="193"/>
      <c r="E126" s="193"/>
      <c r="F126" s="193"/>
      <c r="G126" s="193"/>
      <c r="H126" s="193"/>
      <c r="I126" s="19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4.25" customHeight="1" spans="1:25" x14ac:dyDescent="0.25">
      <c r="A127" s="193"/>
      <c r="B127" s="193"/>
      <c r="C127" s="193"/>
      <c r="D127" s="193"/>
      <c r="E127" s="193"/>
      <c r="F127" s="193"/>
      <c r="G127" s="193"/>
      <c r="H127" s="193"/>
      <c r="I127" s="19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4.25" customHeight="1" spans="1:25" x14ac:dyDescent="0.25">
      <c r="A128" s="193"/>
      <c r="B128" s="193"/>
      <c r="C128" s="193"/>
      <c r="D128" s="193"/>
      <c r="E128" s="193"/>
      <c r="F128" s="193"/>
      <c r="G128" s="193"/>
      <c r="H128" s="193"/>
      <c r="I128" s="19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4.25" customHeight="1" spans="1:25" x14ac:dyDescent="0.25">
      <c r="A129" s="193"/>
      <c r="B129" s="193"/>
      <c r="C129" s="193"/>
      <c r="D129" s="193"/>
      <c r="E129" s="193"/>
      <c r="F129" s="193"/>
      <c r="G129" s="193"/>
      <c r="H129" s="193"/>
      <c r="I129" s="19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95" customHeight="1" spans="1:25" x14ac:dyDescent="0.25">
      <c r="A130" s="145"/>
      <c r="B130" s="145"/>
      <c r="C130" s="145"/>
      <c r="D130" s="145"/>
      <c r="E130" s="145"/>
      <c r="F130" s="145"/>
      <c r="G130" s="145"/>
      <c r="H130" s="145"/>
      <c r="I130" s="14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95" customHeight="1" spans="1:25" x14ac:dyDescent="0.25">
      <c r="A131" s="194"/>
      <c r="B131" s="194"/>
      <c r="C131" s="145"/>
      <c r="D131" s="194"/>
      <c r="E131" s="194"/>
      <c r="F131" s="194"/>
      <c r="G131" s="145"/>
      <c r="H131" s="194"/>
      <c r="I131" s="19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8" customHeight="1" spans="1:25" x14ac:dyDescent="0.25">
      <c r="A132" s="196" t="s">
        <v>22</v>
      </c>
      <c r="B132" s="196"/>
      <c r="C132" s="193"/>
      <c r="D132" s="196" t="s">
        <v>115</v>
      </c>
      <c r="E132" s="196"/>
      <c r="F132" s="196"/>
      <c r="G132" s="193"/>
      <c r="H132" s="196" t="s">
        <v>23</v>
      </c>
      <c r="I132" s="19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4:B44"/>
    <mergeCell ref="D44:F44"/>
    <mergeCell ref="H44:I44"/>
    <mergeCell ref="A45:I45"/>
    <mergeCell ref="A46:I46"/>
    <mergeCell ref="A48:I48"/>
    <mergeCell ref="A49:I49"/>
    <mergeCell ref="E51:F51"/>
    <mergeCell ref="H51:I51"/>
    <mergeCell ref="E52:F52"/>
    <mergeCell ref="H52:I52"/>
    <mergeCell ref="D54:E54"/>
    <mergeCell ref="F54:G54"/>
    <mergeCell ref="A54:A55"/>
    <mergeCell ref="B54:B55"/>
    <mergeCell ref="C54:C55"/>
    <mergeCell ref="D55:E55"/>
    <mergeCell ref="I54:I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A88:B88"/>
    <mergeCell ref="D88:F88"/>
    <mergeCell ref="H88:I88"/>
    <mergeCell ref="A89:I89"/>
    <mergeCell ref="A90:I90"/>
    <mergeCell ref="A92:I92"/>
    <mergeCell ref="A93:I93"/>
    <mergeCell ref="E95:F95"/>
    <mergeCell ref="H95:I95"/>
    <mergeCell ref="E96:F96"/>
    <mergeCell ref="H96:I96"/>
    <mergeCell ref="D98:E98"/>
    <mergeCell ref="F98:G98"/>
    <mergeCell ref="A98:A99"/>
    <mergeCell ref="B98:B99"/>
    <mergeCell ref="C98:C99"/>
    <mergeCell ref="D99:E99"/>
    <mergeCell ref="I98:I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A132:B132"/>
    <mergeCell ref="D132:F132"/>
    <mergeCell ref="H132:I1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38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7.5" style="145" customWidth="1"/>
    <col min="2" max="2" width="9.5" style="145" customWidth="1"/>
    <col min="3" max="5" width="5.625" style="145" customWidth="1"/>
    <col min="6" max="9" width="6" style="145" customWidth="1"/>
    <col min="10" max="10" width="9" style="145" customWidth="1"/>
    <col min="11" max="14" width="7.625" style="145" customWidth="1"/>
    <col min="15" max="15" width="7.875" style="145" customWidth="1"/>
    <col min="16" max="18" width="7.625" style="145" customWidth="1"/>
    <col min="19" max="19" width="6.75" style="145" customWidth="1"/>
    <col min="20" max="256" width="9" style="145" customWidth="1"/>
    <col min="257" max="257" width="7.5" style="145" customWidth="1"/>
    <col min="258" max="258" width="9.5" style="145" customWidth="1"/>
    <col min="259" max="261" width="5.625" style="145" customWidth="1"/>
    <col min="262" max="265" width="6" style="145" customWidth="1"/>
    <col min="266" max="266" width="9" style="145" customWidth="1"/>
    <col min="267" max="267" width="7.625" style="145" customWidth="1"/>
    <col min="268" max="274" width="8" style="145" customWidth="1"/>
    <col min="275" max="275" width="6.75" style="145" customWidth="1"/>
    <col min="276" max="512" width="9" style="145" customWidth="1"/>
    <col min="513" max="513" width="7.5" style="145" customWidth="1"/>
    <col min="514" max="514" width="9.5" style="145" customWidth="1"/>
    <col min="515" max="517" width="5.625" style="145" customWidth="1"/>
    <col min="518" max="521" width="6" style="145" customWidth="1"/>
    <col min="522" max="522" width="9" style="145" customWidth="1"/>
    <col min="523" max="523" width="7.625" style="145" customWidth="1"/>
    <col min="524" max="530" width="8" style="145" customWidth="1"/>
    <col min="531" max="531" width="6.75" style="145" customWidth="1"/>
    <col min="532" max="768" width="9" style="145" customWidth="1"/>
    <col min="769" max="769" width="7.5" style="145" customWidth="1"/>
    <col min="770" max="770" width="9.5" style="145" customWidth="1"/>
    <col min="771" max="773" width="5.625" style="145" customWidth="1"/>
    <col min="774" max="777" width="6" style="145" customWidth="1"/>
    <col min="778" max="778" width="9" style="145" customWidth="1"/>
    <col min="779" max="779" width="7.625" style="145" customWidth="1"/>
    <col min="780" max="786" width="8" style="145" customWidth="1"/>
    <col min="787" max="787" width="6.75" style="145" customWidth="1"/>
    <col min="788" max="1024" width="9" style="145" customWidth="1"/>
    <col min="1025" max="1025" width="7.5" style="145" customWidth="1"/>
    <col min="1026" max="1026" width="9.5" style="145" customWidth="1"/>
    <col min="1027" max="1029" width="5.625" style="145" customWidth="1"/>
    <col min="1030" max="1033" width="6" style="145" customWidth="1"/>
    <col min="1034" max="1034" width="9" style="145" customWidth="1"/>
    <col min="1035" max="1035" width="7.625" style="145" customWidth="1"/>
    <col min="1036" max="1042" width="8" style="145" customWidth="1"/>
    <col min="1043" max="1043" width="6.75" style="145" customWidth="1"/>
    <col min="1044" max="1280" width="9" style="145" customWidth="1"/>
    <col min="1281" max="1281" width="7.5" style="145" customWidth="1"/>
    <col min="1282" max="1282" width="9.5" style="145" customWidth="1"/>
    <col min="1283" max="1285" width="5.625" style="145" customWidth="1"/>
    <col min="1286" max="1289" width="6" style="145" customWidth="1"/>
    <col min="1290" max="1290" width="9" style="145" customWidth="1"/>
    <col min="1291" max="1291" width="7.625" style="145" customWidth="1"/>
    <col min="1292" max="1298" width="8" style="145" customWidth="1"/>
    <col min="1299" max="1299" width="6.75" style="145" customWidth="1"/>
    <col min="1300" max="1536" width="9" style="145" customWidth="1"/>
    <col min="1537" max="1537" width="7.5" style="145" customWidth="1"/>
    <col min="1538" max="1538" width="9.5" style="145" customWidth="1"/>
    <col min="1539" max="1541" width="5.625" style="145" customWidth="1"/>
    <col min="1542" max="1545" width="6" style="145" customWidth="1"/>
    <col min="1546" max="1546" width="9" style="145" customWidth="1"/>
    <col min="1547" max="1547" width="7.625" style="145" customWidth="1"/>
    <col min="1548" max="1554" width="8" style="145" customWidth="1"/>
    <col min="1555" max="1555" width="6.75" style="145" customWidth="1"/>
    <col min="1556" max="1792" width="9" style="145" customWidth="1"/>
    <col min="1793" max="1793" width="7.5" style="145" customWidth="1"/>
    <col min="1794" max="1794" width="9.5" style="145" customWidth="1"/>
    <col min="1795" max="1797" width="5.625" style="145" customWidth="1"/>
    <col min="1798" max="1801" width="6" style="145" customWidth="1"/>
    <col min="1802" max="1802" width="9" style="145" customWidth="1"/>
    <col min="1803" max="1803" width="7.625" style="145" customWidth="1"/>
    <col min="1804" max="1810" width="8" style="145" customWidth="1"/>
    <col min="1811" max="1811" width="6.75" style="145" customWidth="1"/>
    <col min="1812" max="2048" width="9" style="145" customWidth="1"/>
    <col min="2049" max="2049" width="7.5" style="145" customWidth="1"/>
    <col min="2050" max="2050" width="9.5" style="145" customWidth="1"/>
    <col min="2051" max="2053" width="5.625" style="145" customWidth="1"/>
    <col min="2054" max="2057" width="6" style="145" customWidth="1"/>
    <col min="2058" max="2058" width="9" style="145" customWidth="1"/>
    <col min="2059" max="2059" width="7.625" style="145" customWidth="1"/>
    <col min="2060" max="2066" width="8" style="145" customWidth="1"/>
    <col min="2067" max="2067" width="6.75" style="145" customWidth="1"/>
    <col min="2068" max="2304" width="9" style="145" customWidth="1"/>
    <col min="2305" max="2305" width="7.5" style="145" customWidth="1"/>
    <col min="2306" max="2306" width="9.5" style="145" customWidth="1"/>
    <col min="2307" max="2309" width="5.625" style="145" customWidth="1"/>
    <col min="2310" max="2313" width="6" style="145" customWidth="1"/>
    <col min="2314" max="2314" width="9" style="145" customWidth="1"/>
    <col min="2315" max="2315" width="7.625" style="145" customWidth="1"/>
    <col min="2316" max="2322" width="8" style="145" customWidth="1"/>
    <col min="2323" max="2323" width="6.75" style="145" customWidth="1"/>
    <col min="2324" max="2560" width="9" style="145" customWidth="1"/>
    <col min="2561" max="2561" width="7.5" style="145" customWidth="1"/>
    <col min="2562" max="2562" width="9.5" style="145" customWidth="1"/>
    <col min="2563" max="2565" width="5.625" style="145" customWidth="1"/>
    <col min="2566" max="2569" width="6" style="145" customWidth="1"/>
    <col min="2570" max="2570" width="9" style="145" customWidth="1"/>
    <col min="2571" max="2571" width="7.625" style="145" customWidth="1"/>
    <col min="2572" max="2578" width="8" style="145" customWidth="1"/>
    <col min="2579" max="2579" width="6.75" style="145" customWidth="1"/>
    <col min="2580" max="2816" width="9" style="145" customWidth="1"/>
    <col min="2817" max="2817" width="7.5" style="145" customWidth="1"/>
    <col min="2818" max="2818" width="9.5" style="145" customWidth="1"/>
    <col min="2819" max="2821" width="5.625" style="145" customWidth="1"/>
    <col min="2822" max="2825" width="6" style="145" customWidth="1"/>
    <col min="2826" max="2826" width="9" style="145" customWidth="1"/>
    <col min="2827" max="2827" width="7.625" style="145" customWidth="1"/>
    <col min="2828" max="2834" width="8" style="145" customWidth="1"/>
    <col min="2835" max="2835" width="6.75" style="145" customWidth="1"/>
    <col min="2836" max="3072" width="9" style="145" customWidth="1"/>
    <col min="3073" max="3073" width="7.5" style="145" customWidth="1"/>
    <col min="3074" max="3074" width="9.5" style="145" customWidth="1"/>
    <col min="3075" max="3077" width="5.625" style="145" customWidth="1"/>
    <col min="3078" max="3081" width="6" style="145" customWidth="1"/>
    <col min="3082" max="3082" width="9" style="145" customWidth="1"/>
    <col min="3083" max="3083" width="7.625" style="145" customWidth="1"/>
    <col min="3084" max="3090" width="8" style="145" customWidth="1"/>
    <col min="3091" max="3091" width="6.75" style="145" customWidth="1"/>
    <col min="3092" max="3328" width="9" style="145" customWidth="1"/>
    <col min="3329" max="3329" width="7.5" style="145" customWidth="1"/>
    <col min="3330" max="3330" width="9.5" style="145" customWidth="1"/>
    <col min="3331" max="3333" width="5.625" style="145" customWidth="1"/>
    <col min="3334" max="3337" width="6" style="145" customWidth="1"/>
    <col min="3338" max="3338" width="9" style="145" customWidth="1"/>
    <col min="3339" max="3339" width="7.625" style="145" customWidth="1"/>
    <col min="3340" max="3346" width="8" style="145" customWidth="1"/>
    <col min="3347" max="3347" width="6.75" style="145" customWidth="1"/>
    <col min="3348" max="3584" width="9" style="145" customWidth="1"/>
    <col min="3585" max="3585" width="7.5" style="145" customWidth="1"/>
    <col min="3586" max="3586" width="9.5" style="145" customWidth="1"/>
    <col min="3587" max="3589" width="5.625" style="145" customWidth="1"/>
    <col min="3590" max="3593" width="6" style="145" customWidth="1"/>
    <col min="3594" max="3594" width="9" style="145" customWidth="1"/>
    <col min="3595" max="3595" width="7.625" style="145" customWidth="1"/>
    <col min="3596" max="3602" width="8" style="145" customWidth="1"/>
    <col min="3603" max="3603" width="6.75" style="145" customWidth="1"/>
    <col min="3604" max="3840" width="9" style="145" customWidth="1"/>
    <col min="3841" max="3841" width="7.5" style="145" customWidth="1"/>
    <col min="3842" max="3842" width="9.5" style="145" customWidth="1"/>
    <col min="3843" max="3845" width="5.625" style="145" customWidth="1"/>
    <col min="3846" max="3849" width="6" style="145" customWidth="1"/>
    <col min="3850" max="3850" width="9" style="145" customWidth="1"/>
    <col min="3851" max="3851" width="7.625" style="145" customWidth="1"/>
    <col min="3852" max="3858" width="8" style="145" customWidth="1"/>
    <col min="3859" max="3859" width="6.75" style="145" customWidth="1"/>
    <col min="3860" max="4096" width="9" style="145" customWidth="1"/>
    <col min="4097" max="4097" width="7.5" style="145" customWidth="1"/>
    <col min="4098" max="4098" width="9.5" style="145" customWidth="1"/>
    <col min="4099" max="4101" width="5.625" style="145" customWidth="1"/>
    <col min="4102" max="4105" width="6" style="145" customWidth="1"/>
    <col min="4106" max="4106" width="9" style="145" customWidth="1"/>
    <col min="4107" max="4107" width="7.625" style="145" customWidth="1"/>
    <col min="4108" max="4114" width="8" style="145" customWidth="1"/>
    <col min="4115" max="4115" width="6.75" style="145" customWidth="1"/>
    <col min="4116" max="4352" width="9" style="145" customWidth="1"/>
    <col min="4353" max="4353" width="7.5" style="145" customWidth="1"/>
    <col min="4354" max="4354" width="9.5" style="145" customWidth="1"/>
    <col min="4355" max="4357" width="5.625" style="145" customWidth="1"/>
    <col min="4358" max="4361" width="6" style="145" customWidth="1"/>
    <col min="4362" max="4362" width="9" style="145" customWidth="1"/>
    <col min="4363" max="4363" width="7.625" style="145" customWidth="1"/>
    <col min="4364" max="4370" width="8" style="145" customWidth="1"/>
    <col min="4371" max="4371" width="6.75" style="145" customWidth="1"/>
    <col min="4372" max="4608" width="9" style="145" customWidth="1"/>
    <col min="4609" max="4609" width="7.5" style="145" customWidth="1"/>
    <col min="4610" max="4610" width="9.5" style="145" customWidth="1"/>
    <col min="4611" max="4613" width="5.625" style="145" customWidth="1"/>
    <col min="4614" max="4617" width="6" style="145" customWidth="1"/>
    <col min="4618" max="4618" width="9" style="145" customWidth="1"/>
    <col min="4619" max="4619" width="7.625" style="145" customWidth="1"/>
    <col min="4620" max="4626" width="8" style="145" customWidth="1"/>
    <col min="4627" max="4627" width="6.75" style="145" customWidth="1"/>
    <col min="4628" max="4864" width="9" style="145" customWidth="1"/>
    <col min="4865" max="4865" width="7.5" style="145" customWidth="1"/>
    <col min="4866" max="4866" width="9.5" style="145" customWidth="1"/>
    <col min="4867" max="4869" width="5.625" style="145" customWidth="1"/>
    <col min="4870" max="4873" width="6" style="145" customWidth="1"/>
    <col min="4874" max="4874" width="9" style="145" customWidth="1"/>
    <col min="4875" max="4875" width="7.625" style="145" customWidth="1"/>
    <col min="4876" max="4882" width="8" style="145" customWidth="1"/>
    <col min="4883" max="4883" width="6.75" style="145" customWidth="1"/>
    <col min="4884" max="5120" width="9" style="145" customWidth="1"/>
    <col min="5121" max="5121" width="7.5" style="145" customWidth="1"/>
    <col min="5122" max="5122" width="9.5" style="145" customWidth="1"/>
    <col min="5123" max="5125" width="5.625" style="145" customWidth="1"/>
    <col min="5126" max="5129" width="6" style="145" customWidth="1"/>
    <col min="5130" max="5130" width="9" style="145" customWidth="1"/>
    <col min="5131" max="5131" width="7.625" style="145" customWidth="1"/>
    <col min="5132" max="5138" width="8" style="145" customWidth="1"/>
    <col min="5139" max="5139" width="6.75" style="145" customWidth="1"/>
    <col min="5140" max="5376" width="9" style="145" customWidth="1"/>
    <col min="5377" max="5377" width="7.5" style="145" customWidth="1"/>
    <col min="5378" max="5378" width="9.5" style="145" customWidth="1"/>
    <col min="5379" max="5381" width="5.625" style="145" customWidth="1"/>
    <col min="5382" max="5385" width="6" style="145" customWidth="1"/>
    <col min="5386" max="5386" width="9" style="145" customWidth="1"/>
    <col min="5387" max="5387" width="7.625" style="145" customWidth="1"/>
    <col min="5388" max="5394" width="8" style="145" customWidth="1"/>
    <col min="5395" max="5395" width="6.75" style="145" customWidth="1"/>
    <col min="5396" max="5632" width="9" style="145" customWidth="1"/>
    <col min="5633" max="5633" width="7.5" style="145" customWidth="1"/>
    <col min="5634" max="5634" width="9.5" style="145" customWidth="1"/>
    <col min="5635" max="5637" width="5.625" style="145" customWidth="1"/>
    <col min="5638" max="5641" width="6" style="145" customWidth="1"/>
    <col min="5642" max="5642" width="9" style="145" customWidth="1"/>
    <col min="5643" max="5643" width="7.625" style="145" customWidth="1"/>
    <col min="5644" max="5650" width="8" style="145" customWidth="1"/>
    <col min="5651" max="5651" width="6.75" style="145" customWidth="1"/>
    <col min="5652" max="5888" width="9" style="145" customWidth="1"/>
    <col min="5889" max="5889" width="7.5" style="145" customWidth="1"/>
    <col min="5890" max="5890" width="9.5" style="145" customWidth="1"/>
    <col min="5891" max="5893" width="5.625" style="145" customWidth="1"/>
    <col min="5894" max="5897" width="6" style="145" customWidth="1"/>
    <col min="5898" max="5898" width="9" style="145" customWidth="1"/>
    <col min="5899" max="5899" width="7.625" style="145" customWidth="1"/>
    <col min="5900" max="5906" width="8" style="145" customWidth="1"/>
    <col min="5907" max="5907" width="6.75" style="145" customWidth="1"/>
    <col min="5908" max="6144" width="9" style="145" customWidth="1"/>
    <col min="6145" max="6145" width="7.5" style="145" customWidth="1"/>
    <col min="6146" max="6146" width="9.5" style="145" customWidth="1"/>
    <col min="6147" max="6149" width="5.625" style="145" customWidth="1"/>
    <col min="6150" max="6153" width="6" style="145" customWidth="1"/>
    <col min="6154" max="6154" width="9" style="145" customWidth="1"/>
    <col min="6155" max="6155" width="7.625" style="145" customWidth="1"/>
    <col min="6156" max="6162" width="8" style="145" customWidth="1"/>
    <col min="6163" max="6163" width="6.75" style="145" customWidth="1"/>
    <col min="6164" max="6400" width="9" style="145" customWidth="1"/>
    <col min="6401" max="6401" width="7.5" style="145" customWidth="1"/>
    <col min="6402" max="6402" width="9.5" style="145" customWidth="1"/>
    <col min="6403" max="6405" width="5.625" style="145" customWidth="1"/>
    <col min="6406" max="6409" width="6" style="145" customWidth="1"/>
    <col min="6410" max="6410" width="9" style="145" customWidth="1"/>
    <col min="6411" max="6411" width="7.625" style="145" customWidth="1"/>
    <col min="6412" max="6418" width="8" style="145" customWidth="1"/>
    <col min="6419" max="6419" width="6.75" style="145" customWidth="1"/>
    <col min="6420" max="6656" width="9" style="145" customWidth="1"/>
    <col min="6657" max="6657" width="7.5" style="145" customWidth="1"/>
    <col min="6658" max="6658" width="9.5" style="145" customWidth="1"/>
    <col min="6659" max="6661" width="5.625" style="145" customWidth="1"/>
    <col min="6662" max="6665" width="6" style="145" customWidth="1"/>
    <col min="6666" max="6666" width="9" style="145" customWidth="1"/>
    <col min="6667" max="6667" width="7.625" style="145" customWidth="1"/>
    <col min="6668" max="6674" width="8" style="145" customWidth="1"/>
    <col min="6675" max="6675" width="6.75" style="145" customWidth="1"/>
    <col min="6676" max="6912" width="9" style="145" customWidth="1"/>
    <col min="6913" max="6913" width="7.5" style="145" customWidth="1"/>
    <col min="6914" max="6914" width="9.5" style="145" customWidth="1"/>
    <col min="6915" max="6917" width="5.625" style="145" customWidth="1"/>
    <col min="6918" max="6921" width="6" style="145" customWidth="1"/>
    <col min="6922" max="6922" width="9" style="145" customWidth="1"/>
    <col min="6923" max="6923" width="7.625" style="145" customWidth="1"/>
    <col min="6924" max="6930" width="8" style="145" customWidth="1"/>
    <col min="6931" max="6931" width="6.75" style="145" customWidth="1"/>
    <col min="6932" max="7168" width="9" style="145" customWidth="1"/>
    <col min="7169" max="7169" width="7.5" style="145" customWidth="1"/>
    <col min="7170" max="7170" width="9.5" style="145" customWidth="1"/>
    <col min="7171" max="7173" width="5.625" style="145" customWidth="1"/>
    <col min="7174" max="7177" width="6" style="145" customWidth="1"/>
    <col min="7178" max="7178" width="9" style="145" customWidth="1"/>
    <col min="7179" max="7179" width="7.625" style="145" customWidth="1"/>
    <col min="7180" max="7186" width="8" style="145" customWidth="1"/>
    <col min="7187" max="7187" width="6.75" style="145" customWidth="1"/>
    <col min="7188" max="7424" width="9" style="145" customWidth="1"/>
    <col min="7425" max="7425" width="7.5" style="145" customWidth="1"/>
    <col min="7426" max="7426" width="9.5" style="145" customWidth="1"/>
    <col min="7427" max="7429" width="5.625" style="145" customWidth="1"/>
    <col min="7430" max="7433" width="6" style="145" customWidth="1"/>
    <col min="7434" max="7434" width="9" style="145" customWidth="1"/>
    <col min="7435" max="7435" width="7.625" style="145" customWidth="1"/>
    <col min="7436" max="7442" width="8" style="145" customWidth="1"/>
    <col min="7443" max="7443" width="6.75" style="145" customWidth="1"/>
    <col min="7444" max="7680" width="9" style="145" customWidth="1"/>
    <col min="7681" max="7681" width="7.5" style="145" customWidth="1"/>
    <col min="7682" max="7682" width="9.5" style="145" customWidth="1"/>
    <col min="7683" max="7685" width="5.625" style="145" customWidth="1"/>
    <col min="7686" max="7689" width="6" style="145" customWidth="1"/>
    <col min="7690" max="7690" width="9" style="145" customWidth="1"/>
    <col min="7691" max="7691" width="7.625" style="145" customWidth="1"/>
    <col min="7692" max="7698" width="8" style="145" customWidth="1"/>
    <col min="7699" max="7699" width="6.75" style="145" customWidth="1"/>
    <col min="7700" max="7936" width="9" style="145" customWidth="1"/>
    <col min="7937" max="7937" width="7.5" style="145" customWidth="1"/>
    <col min="7938" max="7938" width="9.5" style="145" customWidth="1"/>
    <col min="7939" max="7941" width="5.625" style="145" customWidth="1"/>
    <col min="7942" max="7945" width="6" style="145" customWidth="1"/>
    <col min="7946" max="7946" width="9" style="145" customWidth="1"/>
    <col min="7947" max="7947" width="7.625" style="145" customWidth="1"/>
    <col min="7948" max="7954" width="8" style="145" customWidth="1"/>
    <col min="7955" max="7955" width="6.75" style="145" customWidth="1"/>
    <col min="7956" max="8192" width="9" style="145" customWidth="1"/>
    <col min="8193" max="8193" width="7.5" style="145" customWidth="1"/>
    <col min="8194" max="8194" width="9.5" style="145" customWidth="1"/>
    <col min="8195" max="8197" width="5.625" style="145" customWidth="1"/>
    <col min="8198" max="8201" width="6" style="145" customWidth="1"/>
    <col min="8202" max="8202" width="9" style="145" customWidth="1"/>
    <col min="8203" max="8203" width="7.625" style="145" customWidth="1"/>
    <col min="8204" max="8210" width="8" style="145" customWidth="1"/>
    <col min="8211" max="8211" width="6.75" style="145" customWidth="1"/>
    <col min="8212" max="8448" width="9" style="145" customWidth="1"/>
    <col min="8449" max="8449" width="7.5" style="145" customWidth="1"/>
    <col min="8450" max="8450" width="9.5" style="145" customWidth="1"/>
    <col min="8451" max="8453" width="5.625" style="145" customWidth="1"/>
    <col min="8454" max="8457" width="6" style="145" customWidth="1"/>
    <col min="8458" max="8458" width="9" style="145" customWidth="1"/>
    <col min="8459" max="8459" width="7.625" style="145" customWidth="1"/>
    <col min="8460" max="8466" width="8" style="145" customWidth="1"/>
    <col min="8467" max="8467" width="6.75" style="145" customWidth="1"/>
    <col min="8468" max="8704" width="9" style="145" customWidth="1"/>
    <col min="8705" max="8705" width="7.5" style="145" customWidth="1"/>
    <col min="8706" max="8706" width="9.5" style="145" customWidth="1"/>
    <col min="8707" max="8709" width="5.625" style="145" customWidth="1"/>
    <col min="8710" max="8713" width="6" style="145" customWidth="1"/>
    <col min="8714" max="8714" width="9" style="145" customWidth="1"/>
    <col min="8715" max="8715" width="7.625" style="145" customWidth="1"/>
    <col min="8716" max="8722" width="8" style="145" customWidth="1"/>
    <col min="8723" max="8723" width="6.75" style="145" customWidth="1"/>
    <col min="8724" max="8960" width="9" style="145" customWidth="1"/>
    <col min="8961" max="8961" width="7.5" style="145" customWidth="1"/>
    <col min="8962" max="8962" width="9.5" style="145" customWidth="1"/>
    <col min="8963" max="8965" width="5.625" style="145" customWidth="1"/>
    <col min="8966" max="8969" width="6" style="145" customWidth="1"/>
    <col min="8970" max="8970" width="9" style="145" customWidth="1"/>
    <col min="8971" max="8971" width="7.625" style="145" customWidth="1"/>
    <col min="8972" max="8978" width="8" style="145" customWidth="1"/>
    <col min="8979" max="8979" width="6.75" style="145" customWidth="1"/>
    <col min="8980" max="9216" width="9" style="145" customWidth="1"/>
    <col min="9217" max="9217" width="7.5" style="145" customWidth="1"/>
    <col min="9218" max="9218" width="9.5" style="145" customWidth="1"/>
    <col min="9219" max="9221" width="5.625" style="145" customWidth="1"/>
    <col min="9222" max="9225" width="6" style="145" customWidth="1"/>
    <col min="9226" max="9226" width="9" style="145" customWidth="1"/>
    <col min="9227" max="9227" width="7.625" style="145" customWidth="1"/>
    <col min="9228" max="9234" width="8" style="145" customWidth="1"/>
    <col min="9235" max="9235" width="6.75" style="145" customWidth="1"/>
    <col min="9236" max="9472" width="9" style="145" customWidth="1"/>
    <col min="9473" max="9473" width="7.5" style="145" customWidth="1"/>
    <col min="9474" max="9474" width="9.5" style="145" customWidth="1"/>
    <col min="9475" max="9477" width="5.625" style="145" customWidth="1"/>
    <col min="9478" max="9481" width="6" style="145" customWidth="1"/>
    <col min="9482" max="9482" width="9" style="145" customWidth="1"/>
    <col min="9483" max="9483" width="7.625" style="145" customWidth="1"/>
    <col min="9484" max="9490" width="8" style="145" customWidth="1"/>
    <col min="9491" max="9491" width="6.75" style="145" customWidth="1"/>
    <col min="9492" max="9728" width="9" style="145" customWidth="1"/>
    <col min="9729" max="9729" width="7.5" style="145" customWidth="1"/>
    <col min="9730" max="9730" width="9.5" style="145" customWidth="1"/>
    <col min="9731" max="9733" width="5.625" style="145" customWidth="1"/>
    <col min="9734" max="9737" width="6" style="145" customWidth="1"/>
    <col min="9738" max="9738" width="9" style="145" customWidth="1"/>
    <col min="9739" max="9739" width="7.625" style="145" customWidth="1"/>
    <col min="9740" max="9746" width="8" style="145" customWidth="1"/>
    <col min="9747" max="9747" width="6.75" style="145" customWidth="1"/>
    <col min="9748" max="9984" width="9" style="145" customWidth="1"/>
    <col min="9985" max="9985" width="7.5" style="145" customWidth="1"/>
    <col min="9986" max="9986" width="9.5" style="145" customWidth="1"/>
    <col min="9987" max="9989" width="5.625" style="145" customWidth="1"/>
    <col min="9990" max="9993" width="6" style="145" customWidth="1"/>
    <col min="9994" max="9994" width="9" style="145" customWidth="1"/>
    <col min="9995" max="9995" width="7.625" style="145" customWidth="1"/>
    <col min="9996" max="10002" width="8" style="145" customWidth="1"/>
    <col min="10003" max="10003" width="6.75" style="145" customWidth="1"/>
    <col min="10004" max="10240" width="9" style="145" customWidth="1"/>
    <col min="10241" max="10241" width="7.5" style="145" customWidth="1"/>
    <col min="10242" max="10242" width="9.5" style="145" customWidth="1"/>
    <col min="10243" max="10245" width="5.625" style="145" customWidth="1"/>
    <col min="10246" max="10249" width="6" style="145" customWidth="1"/>
    <col min="10250" max="10250" width="9" style="145" customWidth="1"/>
    <col min="10251" max="10251" width="7.625" style="145" customWidth="1"/>
    <col min="10252" max="10258" width="8" style="145" customWidth="1"/>
    <col min="10259" max="10259" width="6.75" style="145" customWidth="1"/>
    <col min="10260" max="10496" width="9" style="145" customWidth="1"/>
    <col min="10497" max="10497" width="7.5" style="145" customWidth="1"/>
    <col min="10498" max="10498" width="9.5" style="145" customWidth="1"/>
    <col min="10499" max="10501" width="5.625" style="145" customWidth="1"/>
    <col min="10502" max="10505" width="6" style="145" customWidth="1"/>
    <col min="10506" max="10506" width="9" style="145" customWidth="1"/>
    <col min="10507" max="10507" width="7.625" style="145" customWidth="1"/>
    <col min="10508" max="10514" width="8" style="145" customWidth="1"/>
    <col min="10515" max="10515" width="6.75" style="145" customWidth="1"/>
    <col min="10516" max="10752" width="9" style="145" customWidth="1"/>
    <col min="10753" max="10753" width="7.5" style="145" customWidth="1"/>
    <col min="10754" max="10754" width="9.5" style="145" customWidth="1"/>
    <col min="10755" max="10757" width="5.625" style="145" customWidth="1"/>
    <col min="10758" max="10761" width="6" style="145" customWidth="1"/>
    <col min="10762" max="10762" width="9" style="145" customWidth="1"/>
    <col min="10763" max="10763" width="7.625" style="145" customWidth="1"/>
    <col min="10764" max="10770" width="8" style="145" customWidth="1"/>
    <col min="10771" max="10771" width="6.75" style="145" customWidth="1"/>
    <col min="10772" max="11008" width="9" style="145" customWidth="1"/>
    <col min="11009" max="11009" width="7.5" style="145" customWidth="1"/>
    <col min="11010" max="11010" width="9.5" style="145" customWidth="1"/>
    <col min="11011" max="11013" width="5.625" style="145" customWidth="1"/>
    <col min="11014" max="11017" width="6" style="145" customWidth="1"/>
    <col min="11018" max="11018" width="9" style="145" customWidth="1"/>
    <col min="11019" max="11019" width="7.625" style="145" customWidth="1"/>
    <col min="11020" max="11026" width="8" style="145" customWidth="1"/>
    <col min="11027" max="11027" width="6.75" style="145" customWidth="1"/>
    <col min="11028" max="11264" width="9" style="145" customWidth="1"/>
    <col min="11265" max="11265" width="7.5" style="145" customWidth="1"/>
    <col min="11266" max="11266" width="9.5" style="145" customWidth="1"/>
    <col min="11267" max="11269" width="5.625" style="145" customWidth="1"/>
    <col min="11270" max="11273" width="6" style="145" customWidth="1"/>
    <col min="11274" max="11274" width="9" style="145" customWidth="1"/>
    <col min="11275" max="11275" width="7.625" style="145" customWidth="1"/>
    <col min="11276" max="11282" width="8" style="145" customWidth="1"/>
    <col min="11283" max="11283" width="6.75" style="145" customWidth="1"/>
    <col min="11284" max="11520" width="9" style="145" customWidth="1"/>
    <col min="11521" max="11521" width="7.5" style="145" customWidth="1"/>
    <col min="11522" max="11522" width="9.5" style="145" customWidth="1"/>
    <col min="11523" max="11525" width="5.625" style="145" customWidth="1"/>
    <col min="11526" max="11529" width="6" style="145" customWidth="1"/>
    <col min="11530" max="11530" width="9" style="145" customWidth="1"/>
    <col min="11531" max="11531" width="7.625" style="145" customWidth="1"/>
    <col min="11532" max="11538" width="8" style="145" customWidth="1"/>
    <col min="11539" max="11539" width="6.75" style="145" customWidth="1"/>
    <col min="11540" max="11776" width="9" style="145" customWidth="1"/>
    <col min="11777" max="11777" width="7.5" style="145" customWidth="1"/>
    <col min="11778" max="11778" width="9.5" style="145" customWidth="1"/>
    <col min="11779" max="11781" width="5.625" style="145" customWidth="1"/>
    <col min="11782" max="11785" width="6" style="145" customWidth="1"/>
    <col min="11786" max="11786" width="9" style="145" customWidth="1"/>
    <col min="11787" max="11787" width="7.625" style="145" customWidth="1"/>
    <col min="11788" max="11794" width="8" style="145" customWidth="1"/>
    <col min="11795" max="11795" width="6.75" style="145" customWidth="1"/>
    <col min="11796" max="12032" width="9" style="145" customWidth="1"/>
    <col min="12033" max="12033" width="7.5" style="145" customWidth="1"/>
    <col min="12034" max="12034" width="9.5" style="145" customWidth="1"/>
    <col min="12035" max="12037" width="5.625" style="145" customWidth="1"/>
    <col min="12038" max="12041" width="6" style="145" customWidth="1"/>
    <col min="12042" max="12042" width="9" style="145" customWidth="1"/>
    <col min="12043" max="12043" width="7.625" style="145" customWidth="1"/>
    <col min="12044" max="12050" width="8" style="145" customWidth="1"/>
    <col min="12051" max="12051" width="6.75" style="145" customWidth="1"/>
    <col min="12052" max="12288" width="9" style="145" customWidth="1"/>
    <col min="12289" max="12289" width="7.5" style="145" customWidth="1"/>
    <col min="12290" max="12290" width="9.5" style="145" customWidth="1"/>
    <col min="12291" max="12293" width="5.625" style="145" customWidth="1"/>
    <col min="12294" max="12297" width="6" style="145" customWidth="1"/>
    <col min="12298" max="12298" width="9" style="145" customWidth="1"/>
    <col min="12299" max="12299" width="7.625" style="145" customWidth="1"/>
    <col min="12300" max="12306" width="8" style="145" customWidth="1"/>
    <col min="12307" max="12307" width="6.75" style="145" customWidth="1"/>
    <col min="12308" max="12544" width="9" style="145" customWidth="1"/>
    <col min="12545" max="12545" width="7.5" style="145" customWidth="1"/>
    <col min="12546" max="12546" width="9.5" style="145" customWidth="1"/>
    <col min="12547" max="12549" width="5.625" style="145" customWidth="1"/>
    <col min="12550" max="12553" width="6" style="145" customWidth="1"/>
    <col min="12554" max="12554" width="9" style="145" customWidth="1"/>
    <col min="12555" max="12555" width="7.625" style="145" customWidth="1"/>
    <col min="12556" max="12562" width="8" style="145" customWidth="1"/>
    <col min="12563" max="12563" width="6.75" style="145" customWidth="1"/>
    <col min="12564" max="12800" width="9" style="145" customWidth="1"/>
    <col min="12801" max="12801" width="7.5" style="145" customWidth="1"/>
    <col min="12802" max="12802" width="9.5" style="145" customWidth="1"/>
    <col min="12803" max="12805" width="5.625" style="145" customWidth="1"/>
    <col min="12806" max="12809" width="6" style="145" customWidth="1"/>
    <col min="12810" max="12810" width="9" style="145" customWidth="1"/>
    <col min="12811" max="12811" width="7.625" style="145" customWidth="1"/>
    <col min="12812" max="12818" width="8" style="145" customWidth="1"/>
    <col min="12819" max="12819" width="6.75" style="145" customWidth="1"/>
    <col min="12820" max="13056" width="9" style="145" customWidth="1"/>
    <col min="13057" max="13057" width="7.5" style="145" customWidth="1"/>
    <col min="13058" max="13058" width="9.5" style="145" customWidth="1"/>
    <col min="13059" max="13061" width="5.625" style="145" customWidth="1"/>
    <col min="13062" max="13065" width="6" style="145" customWidth="1"/>
    <col min="13066" max="13066" width="9" style="145" customWidth="1"/>
    <col min="13067" max="13067" width="7.625" style="145" customWidth="1"/>
    <col min="13068" max="13074" width="8" style="145" customWidth="1"/>
    <col min="13075" max="13075" width="6.75" style="145" customWidth="1"/>
    <col min="13076" max="13312" width="9" style="145" customWidth="1"/>
    <col min="13313" max="13313" width="7.5" style="145" customWidth="1"/>
    <col min="13314" max="13314" width="9.5" style="145" customWidth="1"/>
    <col min="13315" max="13317" width="5.625" style="145" customWidth="1"/>
    <col min="13318" max="13321" width="6" style="145" customWidth="1"/>
    <col min="13322" max="13322" width="9" style="145" customWidth="1"/>
    <col min="13323" max="13323" width="7.625" style="145" customWidth="1"/>
    <col min="13324" max="13330" width="8" style="145" customWidth="1"/>
    <col min="13331" max="13331" width="6.75" style="145" customWidth="1"/>
    <col min="13332" max="13568" width="9" style="145" customWidth="1"/>
    <col min="13569" max="13569" width="7.5" style="145" customWidth="1"/>
    <col min="13570" max="13570" width="9.5" style="145" customWidth="1"/>
    <col min="13571" max="13573" width="5.625" style="145" customWidth="1"/>
    <col min="13574" max="13577" width="6" style="145" customWidth="1"/>
    <col min="13578" max="13578" width="9" style="145" customWidth="1"/>
    <col min="13579" max="13579" width="7.625" style="145" customWidth="1"/>
    <col min="13580" max="13586" width="8" style="145" customWidth="1"/>
    <col min="13587" max="13587" width="6.75" style="145" customWidth="1"/>
    <col min="13588" max="13824" width="9" style="145" customWidth="1"/>
    <col min="13825" max="13825" width="7.5" style="145" customWidth="1"/>
    <col min="13826" max="13826" width="9.5" style="145" customWidth="1"/>
    <col min="13827" max="13829" width="5.625" style="145" customWidth="1"/>
    <col min="13830" max="13833" width="6" style="145" customWidth="1"/>
    <col min="13834" max="13834" width="9" style="145" customWidth="1"/>
    <col min="13835" max="13835" width="7.625" style="145" customWidth="1"/>
    <col min="13836" max="13842" width="8" style="145" customWidth="1"/>
    <col min="13843" max="13843" width="6.75" style="145" customWidth="1"/>
    <col min="13844" max="14080" width="9" style="145" customWidth="1"/>
    <col min="14081" max="14081" width="7.5" style="145" customWidth="1"/>
    <col min="14082" max="14082" width="9.5" style="145" customWidth="1"/>
    <col min="14083" max="14085" width="5.625" style="145" customWidth="1"/>
    <col min="14086" max="14089" width="6" style="145" customWidth="1"/>
    <col min="14090" max="14090" width="9" style="145" customWidth="1"/>
    <col min="14091" max="14091" width="7.625" style="145" customWidth="1"/>
    <col min="14092" max="14098" width="8" style="145" customWidth="1"/>
    <col min="14099" max="14099" width="6.75" style="145" customWidth="1"/>
    <col min="14100" max="14336" width="9" style="145" customWidth="1"/>
    <col min="14337" max="14337" width="7.5" style="145" customWidth="1"/>
    <col min="14338" max="14338" width="9.5" style="145" customWidth="1"/>
    <col min="14339" max="14341" width="5.625" style="145" customWidth="1"/>
    <col min="14342" max="14345" width="6" style="145" customWidth="1"/>
    <col min="14346" max="14346" width="9" style="145" customWidth="1"/>
    <col min="14347" max="14347" width="7.625" style="145" customWidth="1"/>
    <col min="14348" max="14354" width="8" style="145" customWidth="1"/>
    <col min="14355" max="14355" width="6.75" style="145" customWidth="1"/>
    <col min="14356" max="14592" width="9" style="145" customWidth="1"/>
    <col min="14593" max="14593" width="7.5" style="145" customWidth="1"/>
    <col min="14594" max="14594" width="9.5" style="145" customWidth="1"/>
    <col min="14595" max="14597" width="5.625" style="145" customWidth="1"/>
    <col min="14598" max="14601" width="6" style="145" customWidth="1"/>
    <col min="14602" max="14602" width="9" style="145" customWidth="1"/>
    <col min="14603" max="14603" width="7.625" style="145" customWidth="1"/>
    <col min="14604" max="14610" width="8" style="145" customWidth="1"/>
    <col min="14611" max="14611" width="6.75" style="145" customWidth="1"/>
    <col min="14612" max="14848" width="9" style="145" customWidth="1"/>
    <col min="14849" max="14849" width="7.5" style="145" customWidth="1"/>
    <col min="14850" max="14850" width="9.5" style="145" customWidth="1"/>
    <col min="14851" max="14853" width="5.625" style="145" customWidth="1"/>
    <col min="14854" max="14857" width="6" style="145" customWidth="1"/>
    <col min="14858" max="14858" width="9" style="145" customWidth="1"/>
    <col min="14859" max="14859" width="7.625" style="145" customWidth="1"/>
    <col min="14860" max="14866" width="8" style="145" customWidth="1"/>
    <col min="14867" max="14867" width="6.75" style="145" customWidth="1"/>
    <col min="14868" max="15104" width="9" style="145" customWidth="1"/>
    <col min="15105" max="15105" width="7.5" style="145" customWidth="1"/>
    <col min="15106" max="15106" width="9.5" style="145" customWidth="1"/>
    <col min="15107" max="15109" width="5.625" style="145" customWidth="1"/>
    <col min="15110" max="15113" width="6" style="145" customWidth="1"/>
    <col min="15114" max="15114" width="9" style="145" customWidth="1"/>
    <col min="15115" max="15115" width="7.625" style="145" customWidth="1"/>
    <col min="15116" max="15122" width="8" style="145" customWidth="1"/>
    <col min="15123" max="15123" width="6.75" style="145" customWidth="1"/>
    <col min="15124" max="15360" width="9" style="145" customWidth="1"/>
    <col min="15361" max="15361" width="7.5" style="145" customWidth="1"/>
    <col min="15362" max="15362" width="9.5" style="145" customWidth="1"/>
    <col min="15363" max="15365" width="5.625" style="145" customWidth="1"/>
    <col min="15366" max="15369" width="6" style="145" customWidth="1"/>
    <col min="15370" max="15370" width="9" style="145" customWidth="1"/>
    <col min="15371" max="15371" width="7.625" style="145" customWidth="1"/>
    <col min="15372" max="15378" width="8" style="145" customWidth="1"/>
    <col min="15379" max="15379" width="6.75" style="145" customWidth="1"/>
    <col min="15380" max="15616" width="9" style="145" customWidth="1"/>
    <col min="15617" max="15617" width="7.5" style="145" customWidth="1"/>
    <col min="15618" max="15618" width="9.5" style="145" customWidth="1"/>
    <col min="15619" max="15621" width="5.625" style="145" customWidth="1"/>
    <col min="15622" max="15625" width="6" style="145" customWidth="1"/>
    <col min="15626" max="15626" width="9" style="145" customWidth="1"/>
    <col min="15627" max="15627" width="7.625" style="145" customWidth="1"/>
    <col min="15628" max="15634" width="8" style="145" customWidth="1"/>
    <col min="15635" max="15635" width="6.75" style="145" customWidth="1"/>
    <col min="15636" max="15872" width="9" style="145" customWidth="1"/>
    <col min="15873" max="15873" width="7.5" style="145" customWidth="1"/>
    <col min="15874" max="15874" width="9.5" style="145" customWidth="1"/>
    <col min="15875" max="15877" width="5.625" style="145" customWidth="1"/>
    <col min="15878" max="15881" width="6" style="145" customWidth="1"/>
    <col min="15882" max="15882" width="9" style="145" customWidth="1"/>
    <col min="15883" max="15883" width="7.625" style="145" customWidth="1"/>
    <col min="15884" max="15890" width="8" style="145" customWidth="1"/>
    <col min="15891" max="15891" width="6.75" style="145" customWidth="1"/>
    <col min="15892" max="16128" width="9" style="145" customWidth="1"/>
    <col min="16129" max="16129" width="7.5" style="145" customWidth="1"/>
    <col min="16130" max="16130" width="9.5" style="145" customWidth="1"/>
    <col min="16131" max="16133" width="5.625" style="145" customWidth="1"/>
    <col min="16134" max="16137" width="6" style="145" customWidth="1"/>
    <col min="16138" max="16138" width="9" style="145" customWidth="1"/>
    <col min="16139" max="16139" width="7.625" style="145" customWidth="1"/>
    <col min="16140" max="16146" width="8" style="145" customWidth="1"/>
    <col min="16147" max="16147" width="6.75" style="145" customWidth="1"/>
    <col min="16148" max="16384" width="9" style="145" customWidth="1"/>
  </cols>
  <sheetData>
    <row r="1" ht="27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45"/>
      <c r="T1" s="145"/>
      <c r="U1" s="145"/>
      <c r="V1" s="145"/>
      <c r="W1" s="145"/>
      <c r="X1" s="145"/>
      <c r="Y1" s="145"/>
    </row>
    <row r="2" ht="12" customHeight="1" spans="1:25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45"/>
      <c r="T2" s="145"/>
      <c r="U2" s="145"/>
      <c r="V2" s="145"/>
      <c r="W2" s="145"/>
      <c r="X2" s="145"/>
      <c r="Y2" s="145"/>
    </row>
    <row r="3" ht="5.25" customHeight="1" spans="1:25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0.25" customHeight="1" spans="1:25" x14ac:dyDescent="0.25">
      <c r="A4" s="199" t="s">
        <v>55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45"/>
      <c r="T4" s="145"/>
      <c r="U4" s="145"/>
      <c r="V4" s="145"/>
      <c r="W4" s="145"/>
      <c r="X4" s="145"/>
      <c r="Y4" s="145"/>
    </row>
    <row r="5" ht="4.5" customHeight="1" spans="1:25" x14ac:dyDescent="0.25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17.45" customHeight="1" spans="1:25" x14ac:dyDescent="0.25">
      <c r="A6" s="145" t="s">
        <v>56</v>
      </c>
      <c r="B6" s="200" t="str">
        <f>'Final Work'!B4</f>
        <v>SAWASDEE RIGEL</v>
      </c>
      <c r="C6" s="145"/>
      <c r="D6" s="145"/>
      <c r="E6" s="145"/>
      <c r="F6" s="145"/>
      <c r="G6" s="145"/>
      <c r="H6" s="197" t="s">
        <v>57</v>
      </c>
      <c r="I6" s="197"/>
      <c r="J6" s="197" t="str">
        <f>'OS-OUT'!H6</f>
        <v>2606N</v>
      </c>
      <c r="K6" s="197"/>
      <c r="L6" s="145"/>
      <c r="M6" s="145"/>
      <c r="N6" s="145"/>
      <c r="O6" s="200" t="s">
        <v>58</v>
      </c>
      <c r="P6" s="201">
        <f>'OS-OUT'!L6</f>
        <v>46214</v>
      </c>
      <c r="Q6" s="197"/>
      <c r="R6" s="197"/>
      <c r="S6" s="145"/>
      <c r="T6" s="145"/>
      <c r="U6" s="145"/>
      <c r="V6" s="145"/>
      <c r="W6" s="145"/>
      <c r="X6" s="145"/>
      <c r="Y6" s="145"/>
    </row>
    <row r="7" ht="11.25" customHeight="1" spans="1:25" x14ac:dyDescent="0.25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17.45" customHeight="1" spans="1:25" x14ac:dyDescent="0.25">
      <c r="A8" s="200" t="s">
        <v>59</v>
      </c>
      <c r="B8" s="200" t="s">
        <v>25</v>
      </c>
      <c r="C8" s="200"/>
      <c r="D8" s="200"/>
      <c r="E8" s="200"/>
      <c r="F8" s="145"/>
      <c r="G8" s="145"/>
      <c r="H8" s="197" t="s">
        <v>60</v>
      </c>
      <c r="I8" s="197"/>
      <c r="J8" s="197" t="s">
        <v>61</v>
      </c>
      <c r="K8" s="197"/>
      <c r="L8" s="145"/>
      <c r="M8" s="145"/>
      <c r="N8" s="145"/>
      <c r="O8" s="200" t="s">
        <v>79</v>
      </c>
      <c r="P8" s="197">
        <f>'Final Work'!G6</f>
        <v>6</v>
      </c>
      <c r="Q8" s="197"/>
      <c r="R8" s="197"/>
      <c r="S8" s="145"/>
      <c r="T8" s="145"/>
      <c r="U8" s="145"/>
      <c r="V8" s="145"/>
      <c r="W8" s="145"/>
      <c r="X8" s="145"/>
      <c r="Y8" s="145"/>
    </row>
    <row r="9" ht="6.75" customHeight="1" spans="1:25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2" customHeight="1" spans="1:25" x14ac:dyDescent="0.25">
      <c r="A10" s="206" t="s">
        <v>11</v>
      </c>
      <c r="B10" s="206" t="s">
        <v>41</v>
      </c>
      <c r="C10" s="277" t="s">
        <v>63</v>
      </c>
      <c r="D10" s="195"/>
      <c r="E10" s="278"/>
      <c r="F10" s="277" t="s">
        <v>64</v>
      </c>
      <c r="G10" s="195"/>
      <c r="H10" s="195"/>
      <c r="I10" s="278"/>
      <c r="J10" s="206" t="s">
        <v>65</v>
      </c>
      <c r="K10" s="206" t="s">
        <v>66</v>
      </c>
      <c r="L10" s="277" t="s">
        <v>80</v>
      </c>
      <c r="M10" s="195"/>
      <c r="N10" s="195"/>
      <c r="O10" s="195"/>
      <c r="P10" s="195"/>
      <c r="Q10" s="195"/>
      <c r="R10" s="278"/>
      <c r="S10" s="145"/>
      <c r="T10" s="145"/>
      <c r="U10" s="145"/>
      <c r="V10" s="145"/>
      <c r="W10" s="145"/>
      <c r="X10" s="145"/>
      <c r="Y10" s="145"/>
    </row>
    <row r="11" ht="12" customHeight="1" spans="1:25" x14ac:dyDescent="0.25">
      <c r="A11" s="210"/>
      <c r="B11" s="210"/>
      <c r="C11" s="279"/>
      <c r="D11" s="280"/>
      <c r="E11" s="281"/>
      <c r="F11" s="279"/>
      <c r="G11" s="280"/>
      <c r="H11" s="280"/>
      <c r="I11" s="281"/>
      <c r="J11" s="210" t="s">
        <v>50</v>
      </c>
      <c r="K11" s="210"/>
      <c r="L11" s="279"/>
      <c r="M11" s="280"/>
      <c r="N11" s="280"/>
      <c r="O11" s="280"/>
      <c r="P11" s="280"/>
      <c r="Q11" s="280"/>
      <c r="R11" s="281"/>
      <c r="S11" s="145"/>
      <c r="T11" s="145"/>
      <c r="U11" s="145"/>
      <c r="V11" s="145"/>
      <c r="W11" s="145"/>
      <c r="X11" s="145"/>
      <c r="Y11" s="145"/>
    </row>
    <row r="12" ht="18.95" customHeight="1" spans="1:25" x14ac:dyDescent="0.25">
      <c r="A12" s="56" t="s">
        <v>81</v>
      </c>
      <c r="B12" s="56"/>
      <c r="C12" s="282"/>
      <c r="D12" s="283"/>
      <c r="E12" s="284"/>
      <c r="F12" s="282"/>
      <c r="G12" s="283"/>
      <c r="H12" s="283"/>
      <c r="I12" s="284"/>
      <c r="J12" s="56"/>
      <c r="K12" s="56"/>
      <c r="L12" s="286"/>
      <c r="M12" s="287"/>
      <c r="N12" s="287"/>
      <c r="O12" s="287"/>
      <c r="P12" s="287"/>
      <c r="Q12" s="287"/>
      <c r="R12" s="288"/>
      <c r="S12" s="145"/>
      <c r="T12" s="145"/>
      <c r="U12" s="145"/>
      <c r="V12" s="145"/>
      <c r="W12" s="145"/>
      <c r="X12" s="145"/>
      <c r="Y12" s="145"/>
    </row>
    <row r="13" ht="18.95" customHeight="1" spans="1:25" x14ac:dyDescent="0.25">
      <c r="A13" s="289"/>
      <c r="B13" s="289"/>
      <c r="C13" s="161"/>
      <c r="D13" s="290"/>
      <c r="E13" s="166"/>
      <c r="F13" s="161"/>
      <c r="G13" s="290"/>
      <c r="H13" s="290"/>
      <c r="I13" s="166"/>
      <c r="J13" s="289"/>
      <c r="K13" s="289"/>
      <c r="L13" s="176"/>
      <c r="M13" s="176"/>
      <c r="N13" s="176"/>
      <c r="O13" s="176"/>
      <c r="P13" s="176"/>
      <c r="Q13" s="176"/>
      <c r="R13" s="176"/>
      <c r="S13" s="145"/>
      <c r="T13" s="145"/>
      <c r="U13" s="145"/>
      <c r="V13" s="145"/>
      <c r="W13" s="145"/>
      <c r="X13" s="145"/>
      <c r="Y13" s="145"/>
    </row>
    <row r="14" ht="18.95" customHeight="1" spans="1:25" x14ac:dyDescent="0.25">
      <c r="A14" s="289"/>
      <c r="B14" s="289"/>
      <c r="C14" s="161"/>
      <c r="D14" s="290"/>
      <c r="E14" s="166"/>
      <c r="F14" s="161"/>
      <c r="G14" s="290"/>
      <c r="H14" s="290"/>
      <c r="I14" s="166"/>
      <c r="J14" s="289"/>
      <c r="K14" s="289"/>
      <c r="L14" s="176"/>
      <c r="M14" s="176"/>
      <c r="N14" s="176"/>
      <c r="O14" s="176"/>
      <c r="P14" s="176"/>
      <c r="Q14" s="176"/>
      <c r="R14" s="176"/>
      <c r="S14" s="145"/>
      <c r="T14" s="145"/>
      <c r="U14" s="145"/>
      <c r="V14" s="145"/>
      <c r="W14" s="145"/>
      <c r="X14" s="145"/>
      <c r="Y14" s="145"/>
    </row>
    <row r="15" ht="18.95" customHeight="1" spans="1:25" x14ac:dyDescent="0.25">
      <c r="A15" s="289"/>
      <c r="B15" s="289"/>
      <c r="C15" s="161"/>
      <c r="D15" s="290"/>
      <c r="E15" s="166"/>
      <c r="F15" s="161"/>
      <c r="G15" s="290"/>
      <c r="H15" s="290"/>
      <c r="I15" s="166"/>
      <c r="J15" s="289"/>
      <c r="K15" s="289"/>
      <c r="L15" s="176"/>
      <c r="M15" s="176"/>
      <c r="N15" s="176"/>
      <c r="O15" s="176"/>
      <c r="P15" s="176"/>
      <c r="Q15" s="176"/>
      <c r="R15" s="176"/>
      <c r="S15" s="145"/>
      <c r="T15" s="145"/>
      <c r="U15" s="145"/>
      <c r="V15" s="145"/>
      <c r="W15" s="145"/>
      <c r="X15" s="145"/>
      <c r="Y15" s="145"/>
    </row>
    <row r="16" ht="18.95" customHeight="1" spans="1:25" x14ac:dyDescent="0.25">
      <c r="A16" s="289"/>
      <c r="B16" s="289"/>
      <c r="C16" s="161"/>
      <c r="D16" s="290"/>
      <c r="E16" s="166"/>
      <c r="F16" s="161"/>
      <c r="G16" s="290"/>
      <c r="H16" s="290"/>
      <c r="I16" s="166"/>
      <c r="J16" s="289"/>
      <c r="K16" s="289"/>
      <c r="L16" s="176"/>
      <c r="M16" s="176"/>
      <c r="N16" s="176"/>
      <c r="O16" s="176"/>
      <c r="P16" s="176"/>
      <c r="Q16" s="176"/>
      <c r="R16" s="176"/>
      <c r="S16" s="145"/>
      <c r="T16" s="145"/>
      <c r="U16" s="145"/>
      <c r="V16" s="145"/>
      <c r="W16" s="145"/>
      <c r="X16" s="145"/>
      <c r="Y16" s="145"/>
    </row>
    <row r="17" ht="18.95" customHeight="1" spans="1:25" x14ac:dyDescent="0.25">
      <c r="A17" s="289"/>
      <c r="B17" s="289"/>
      <c r="C17" s="161"/>
      <c r="D17" s="290"/>
      <c r="E17" s="166"/>
      <c r="F17" s="161"/>
      <c r="G17" s="290"/>
      <c r="H17" s="290"/>
      <c r="I17" s="166"/>
      <c r="J17" s="289"/>
      <c r="K17" s="289"/>
      <c r="L17" s="176"/>
      <c r="M17" s="176"/>
      <c r="N17" s="176"/>
      <c r="O17" s="176"/>
      <c r="P17" s="176"/>
      <c r="Q17" s="176"/>
      <c r="R17" s="176"/>
      <c r="S17" s="145"/>
      <c r="T17" s="145"/>
      <c r="U17" s="145"/>
      <c r="V17" s="145"/>
      <c r="W17" s="145"/>
      <c r="X17" s="145"/>
      <c r="Y17" s="145"/>
    </row>
    <row r="18" ht="18.95" customHeight="1" spans="1:25" x14ac:dyDescent="0.25">
      <c r="A18" s="289"/>
      <c r="B18" s="289"/>
      <c r="C18" s="161"/>
      <c r="D18" s="290"/>
      <c r="E18" s="166"/>
      <c r="F18" s="161"/>
      <c r="G18" s="290"/>
      <c r="H18" s="290"/>
      <c r="I18" s="166"/>
      <c r="J18" s="289"/>
      <c r="K18" s="289"/>
      <c r="L18" s="176"/>
      <c r="M18" s="176"/>
      <c r="N18" s="176"/>
      <c r="O18" s="176"/>
      <c r="P18" s="176"/>
      <c r="Q18" s="176"/>
      <c r="R18" s="176"/>
      <c r="S18" s="145"/>
      <c r="T18" s="145"/>
      <c r="U18" s="145"/>
      <c r="V18" s="145"/>
      <c r="W18" s="145"/>
      <c r="X18" s="145"/>
      <c r="Y18" s="145"/>
    </row>
    <row r="19" ht="18.95" customHeight="1" spans="1:25" x14ac:dyDescent="0.25">
      <c r="A19" s="289"/>
      <c r="B19" s="289"/>
      <c r="C19" s="161"/>
      <c r="D19" s="290"/>
      <c r="E19" s="166"/>
      <c r="F19" s="161"/>
      <c r="G19" s="290"/>
      <c r="H19" s="290"/>
      <c r="I19" s="166"/>
      <c r="J19" s="289"/>
      <c r="K19" s="289"/>
      <c r="L19" s="176"/>
      <c r="M19" s="176"/>
      <c r="N19" s="176"/>
      <c r="O19" s="176"/>
      <c r="P19" s="176"/>
      <c r="Q19" s="176"/>
      <c r="R19" s="176"/>
      <c r="S19" s="145"/>
      <c r="T19" s="145"/>
      <c r="U19" s="145"/>
      <c r="V19" s="145"/>
      <c r="W19" s="145"/>
      <c r="X19" s="145"/>
      <c r="Y19" s="145"/>
    </row>
    <row r="20" ht="18.95" customHeight="1" spans="1:25" x14ac:dyDescent="0.25">
      <c r="A20" s="289"/>
      <c r="B20" s="289"/>
      <c r="C20" s="161"/>
      <c r="D20" s="290"/>
      <c r="E20" s="166"/>
      <c r="F20" s="161"/>
      <c r="G20" s="290"/>
      <c r="H20" s="290"/>
      <c r="I20" s="166"/>
      <c r="J20" s="289"/>
      <c r="K20" s="289"/>
      <c r="L20" s="176"/>
      <c r="M20" s="176"/>
      <c r="N20" s="176"/>
      <c r="O20" s="176"/>
      <c r="P20" s="176"/>
      <c r="Q20" s="176"/>
      <c r="R20" s="176"/>
      <c r="S20" s="145"/>
      <c r="T20" s="145"/>
      <c r="U20" s="145"/>
      <c r="V20" s="145"/>
      <c r="W20" s="145"/>
      <c r="X20" s="145"/>
      <c r="Y20" s="145"/>
    </row>
    <row r="21" ht="18.95" customHeight="1" spans="1:25" x14ac:dyDescent="0.25">
      <c r="A21" s="289"/>
      <c r="B21" s="289"/>
      <c r="C21" s="161"/>
      <c r="D21" s="290"/>
      <c r="E21" s="166"/>
      <c r="F21" s="161"/>
      <c r="G21" s="290"/>
      <c r="H21" s="290"/>
      <c r="I21" s="166"/>
      <c r="J21" s="289"/>
      <c r="K21" s="289"/>
      <c r="L21" s="176"/>
      <c r="M21" s="176"/>
      <c r="N21" s="176"/>
      <c r="O21" s="176"/>
      <c r="P21" s="176"/>
      <c r="Q21" s="176"/>
      <c r="R21" s="176"/>
      <c r="S21" s="145"/>
      <c r="T21" s="145"/>
      <c r="U21" s="145"/>
      <c r="V21" s="145"/>
      <c r="W21" s="145"/>
      <c r="X21" s="145"/>
      <c r="Y21" s="145"/>
    </row>
    <row r="22" ht="18.95" customHeight="1" spans="1:25" x14ac:dyDescent="0.25">
      <c r="A22" s="289"/>
      <c r="B22" s="289"/>
      <c r="C22" s="161"/>
      <c r="D22" s="290"/>
      <c r="E22" s="166"/>
      <c r="F22" s="161"/>
      <c r="G22" s="290"/>
      <c r="H22" s="290"/>
      <c r="I22" s="166"/>
      <c r="J22" s="289"/>
      <c r="K22" s="289"/>
      <c r="L22" s="176"/>
      <c r="M22" s="176"/>
      <c r="N22" s="176"/>
      <c r="O22" s="176"/>
      <c r="P22" s="176"/>
      <c r="Q22" s="176"/>
      <c r="R22" s="176"/>
      <c r="S22" s="145"/>
      <c r="T22" s="145"/>
      <c r="U22" s="145"/>
      <c r="V22" s="145"/>
      <c r="W22" s="145"/>
      <c r="X22" s="145"/>
      <c r="Y22" s="145"/>
    </row>
    <row r="23" ht="18.95" customHeight="1" spans="1:25" x14ac:dyDescent="0.25">
      <c r="A23" s="289"/>
      <c r="B23" s="289"/>
      <c r="C23" s="161"/>
      <c r="D23" s="290"/>
      <c r="E23" s="166"/>
      <c r="F23" s="161"/>
      <c r="G23" s="290"/>
      <c r="H23" s="290"/>
      <c r="I23" s="166"/>
      <c r="J23" s="289"/>
      <c r="K23" s="289"/>
      <c r="L23" s="176"/>
      <c r="M23" s="176"/>
      <c r="N23" s="176"/>
      <c r="O23" s="176"/>
      <c r="P23" s="176"/>
      <c r="Q23" s="176"/>
      <c r="R23" s="176"/>
      <c r="S23" s="145"/>
      <c r="T23" s="145"/>
      <c r="U23" s="145"/>
      <c r="V23" s="145"/>
      <c r="W23" s="145"/>
      <c r="X23" s="145"/>
      <c r="Y23" s="145"/>
    </row>
    <row r="24" ht="18.95" customHeight="1" spans="1:25" x14ac:dyDescent="0.25">
      <c r="A24" s="289"/>
      <c r="B24" s="289"/>
      <c r="C24" s="161"/>
      <c r="D24" s="290"/>
      <c r="E24" s="166"/>
      <c r="F24" s="161"/>
      <c r="G24" s="290"/>
      <c r="H24" s="290"/>
      <c r="I24" s="166"/>
      <c r="J24" s="289"/>
      <c r="K24" s="289"/>
      <c r="L24" s="176"/>
      <c r="M24" s="176"/>
      <c r="N24" s="176"/>
      <c r="O24" s="176"/>
      <c r="P24" s="176"/>
      <c r="Q24" s="176"/>
      <c r="R24" s="176"/>
      <c r="S24" s="145"/>
      <c r="T24" s="145"/>
      <c r="U24" s="145"/>
      <c r="V24" s="145"/>
      <c r="W24" s="145"/>
      <c r="X24" s="145"/>
      <c r="Y24" s="145"/>
    </row>
    <row r="25" ht="18.95" customHeight="1" spans="1:25" x14ac:dyDescent="0.25">
      <c r="A25" s="289"/>
      <c r="B25" s="289"/>
      <c r="C25" s="161"/>
      <c r="D25" s="290"/>
      <c r="E25" s="166"/>
      <c r="F25" s="161"/>
      <c r="G25" s="290"/>
      <c r="H25" s="290"/>
      <c r="I25" s="166"/>
      <c r="J25" s="289"/>
      <c r="K25" s="289"/>
      <c r="L25" s="176"/>
      <c r="M25" s="176"/>
      <c r="N25" s="176"/>
      <c r="O25" s="176"/>
      <c r="P25" s="176"/>
      <c r="Q25" s="176"/>
      <c r="R25" s="176"/>
      <c r="S25" s="145"/>
      <c r="T25" s="145"/>
      <c r="U25" s="145"/>
      <c r="V25" s="145"/>
      <c r="W25" s="145"/>
      <c r="X25" s="145"/>
      <c r="Y25" s="145"/>
    </row>
    <row r="26" ht="18.95" customHeight="1" spans="1:25" x14ac:dyDescent="0.25">
      <c r="A26" s="289"/>
      <c r="B26" s="289"/>
      <c r="C26" s="161"/>
      <c r="D26" s="290"/>
      <c r="E26" s="166"/>
      <c r="F26" s="161"/>
      <c r="G26" s="290"/>
      <c r="H26" s="290"/>
      <c r="I26" s="166"/>
      <c r="J26" s="289"/>
      <c r="K26" s="289"/>
      <c r="L26" s="176"/>
      <c r="M26" s="176"/>
      <c r="N26" s="176"/>
      <c r="O26" s="176"/>
      <c r="P26" s="176"/>
      <c r="Q26" s="176"/>
      <c r="R26" s="176"/>
      <c r="S26" s="145"/>
      <c r="T26" s="145"/>
      <c r="U26" s="145"/>
      <c r="V26" s="145"/>
      <c r="W26" s="145"/>
      <c r="X26" s="145"/>
      <c r="Y26" s="145"/>
    </row>
    <row r="27" ht="18.95" customHeight="1" spans="1:25" x14ac:dyDescent="0.25">
      <c r="A27" s="289"/>
      <c r="B27" s="289"/>
      <c r="C27" s="161"/>
      <c r="D27" s="290"/>
      <c r="E27" s="166"/>
      <c r="F27" s="161"/>
      <c r="G27" s="290"/>
      <c r="H27" s="290"/>
      <c r="I27" s="166"/>
      <c r="J27" s="289"/>
      <c r="K27" s="289"/>
      <c r="L27" s="176"/>
      <c r="M27" s="176"/>
      <c r="N27" s="176"/>
      <c r="O27" s="176"/>
      <c r="P27" s="176"/>
      <c r="Q27" s="176"/>
      <c r="R27" s="176"/>
      <c r="S27" s="145"/>
      <c r="T27" s="145"/>
      <c r="U27" s="145"/>
      <c r="V27" s="145"/>
      <c r="W27" s="145"/>
      <c r="X27" s="145"/>
      <c r="Y27" s="145"/>
    </row>
    <row r="28" ht="18.95" customHeight="1" spans="1:25" x14ac:dyDescent="0.25">
      <c r="A28" s="289"/>
      <c r="B28" s="289"/>
      <c r="C28" s="161"/>
      <c r="D28" s="290"/>
      <c r="E28" s="166"/>
      <c r="F28" s="161"/>
      <c r="G28" s="290"/>
      <c r="H28" s="290"/>
      <c r="I28" s="166"/>
      <c r="J28" s="289"/>
      <c r="K28" s="289"/>
      <c r="L28" s="176"/>
      <c r="M28" s="176"/>
      <c r="N28" s="176"/>
      <c r="O28" s="176"/>
      <c r="P28" s="176"/>
      <c r="Q28" s="176"/>
      <c r="R28" s="176"/>
      <c r="S28" s="145"/>
      <c r="T28" s="145"/>
      <c r="U28" s="145"/>
      <c r="V28" s="145"/>
      <c r="W28" s="145"/>
      <c r="X28" s="145"/>
      <c r="Y28" s="145"/>
    </row>
    <row r="29" spans="1:25" x14ac:dyDescent="0.25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spans="1:25" x14ac:dyDescent="0.25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spans="1:25" x14ac:dyDescent="0.25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5" customHeight="1" spans="1:25" x14ac:dyDescent="0.25">
      <c r="A32" s="194"/>
      <c r="B32" s="194"/>
      <c r="C32" s="194"/>
      <c r="D32" s="194"/>
      <c r="E32" s="145"/>
      <c r="F32" s="145"/>
      <c r="G32" s="145"/>
      <c r="H32" s="145"/>
      <c r="I32" s="194"/>
      <c r="J32" s="194"/>
      <c r="K32" s="194"/>
      <c r="L32" s="145"/>
      <c r="M32" s="145"/>
      <c r="N32" s="145"/>
      <c r="O32" s="194"/>
      <c r="P32" s="194"/>
      <c r="Q32" s="194"/>
      <c r="R32" s="194"/>
      <c r="S32" s="145"/>
      <c r="T32" s="145"/>
      <c r="U32" s="145"/>
      <c r="V32" s="145"/>
      <c r="W32" s="145"/>
      <c r="X32" s="145"/>
      <c r="Y32" s="145"/>
    </row>
    <row r="33" spans="1:25" x14ac:dyDescent="0.25">
      <c r="A33" s="195" t="s">
        <v>22</v>
      </c>
      <c r="B33" s="195"/>
      <c r="C33" s="195"/>
      <c r="D33" s="195"/>
      <c r="E33" s="145"/>
      <c r="F33" s="145"/>
      <c r="G33" s="145"/>
      <c r="H33" s="145"/>
      <c r="I33" s="195" t="s">
        <v>54</v>
      </c>
      <c r="J33" s="195"/>
      <c r="K33" s="195"/>
      <c r="L33" s="145"/>
      <c r="M33" s="145"/>
      <c r="N33" s="145"/>
      <c r="O33" s="195" t="s">
        <v>23</v>
      </c>
      <c r="P33" s="195"/>
      <c r="Q33" s="195"/>
      <c r="R33" s="195"/>
      <c r="S33" s="145"/>
      <c r="T33" s="145"/>
      <c r="U33" s="145"/>
      <c r="V33" s="145"/>
      <c r="W33" s="145"/>
      <c r="X33" s="145"/>
      <c r="Y33" s="145"/>
    </row>
    <row r="34" spans="1:25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3:D33"/>
    <mergeCell ref="I33:K33"/>
    <mergeCell ref="O33:R33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88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25" style="1" customWidth="1"/>
    <col min="2" max="2" width="6.75" style="1" customWidth="1"/>
    <col min="3" max="3" width="7.625" style="1" customWidth="1"/>
    <col min="4" max="4" width="5.625" style="2" customWidth="1"/>
    <col min="5" max="15" width="5.625" style="1" customWidth="1"/>
    <col min="16" max="223" width="9" style="1" customWidth="1"/>
    <col min="224" max="225" width="7" style="1" customWidth="1"/>
    <col min="226" max="226" width="9.125" style="1" customWidth="1"/>
    <col min="227" max="235" width="7.125" style="1" customWidth="1"/>
    <col min="236" max="479" width="9" style="1" customWidth="1"/>
    <col min="480" max="481" width="7" style="1" customWidth="1"/>
    <col min="482" max="482" width="9.125" style="1" customWidth="1"/>
    <col min="483" max="491" width="7.125" style="1" customWidth="1"/>
    <col min="492" max="735" width="9" style="1" customWidth="1"/>
    <col min="736" max="737" width="7" style="1" customWidth="1"/>
    <col min="738" max="738" width="9.125" style="1" customWidth="1"/>
    <col min="739" max="747" width="7.125" style="1" customWidth="1"/>
    <col min="748" max="991" width="9" style="1" customWidth="1"/>
    <col min="992" max="993" width="7" style="1" customWidth="1"/>
    <col min="994" max="994" width="9.125" style="1" customWidth="1"/>
    <col min="995" max="1003" width="7.125" style="1" customWidth="1"/>
    <col min="1004" max="1247" width="9" style="1" customWidth="1"/>
    <col min="1248" max="1249" width="7" style="1" customWidth="1"/>
    <col min="1250" max="1250" width="9.125" style="1" customWidth="1"/>
    <col min="1251" max="1259" width="7.125" style="1" customWidth="1"/>
    <col min="1260" max="1503" width="9" style="1" customWidth="1"/>
    <col min="1504" max="1505" width="7" style="1" customWidth="1"/>
    <col min="1506" max="1506" width="9.125" style="1" customWidth="1"/>
    <col min="1507" max="1515" width="7.125" style="1" customWidth="1"/>
    <col min="1516" max="1759" width="9" style="1" customWidth="1"/>
    <col min="1760" max="1761" width="7" style="1" customWidth="1"/>
    <col min="1762" max="1762" width="9.125" style="1" customWidth="1"/>
    <col min="1763" max="1771" width="7.125" style="1" customWidth="1"/>
    <col min="1772" max="2015" width="9" style="1" customWidth="1"/>
    <col min="2016" max="2017" width="7" style="1" customWidth="1"/>
    <col min="2018" max="2018" width="9.125" style="1" customWidth="1"/>
    <col min="2019" max="2027" width="7.125" style="1" customWidth="1"/>
    <col min="2028" max="2271" width="9" style="1" customWidth="1"/>
    <col min="2272" max="2273" width="7" style="1" customWidth="1"/>
    <col min="2274" max="2274" width="9.125" style="1" customWidth="1"/>
    <col min="2275" max="2283" width="7.125" style="1" customWidth="1"/>
    <col min="2284" max="2527" width="9" style="1" customWidth="1"/>
    <col min="2528" max="2529" width="7" style="1" customWidth="1"/>
    <col min="2530" max="2530" width="9.125" style="1" customWidth="1"/>
    <col min="2531" max="2539" width="7.125" style="1" customWidth="1"/>
    <col min="2540" max="2783" width="9" style="1" customWidth="1"/>
    <col min="2784" max="2785" width="7" style="1" customWidth="1"/>
    <col min="2786" max="2786" width="9.125" style="1" customWidth="1"/>
    <col min="2787" max="2795" width="7.125" style="1" customWidth="1"/>
    <col min="2796" max="3039" width="9" style="1" customWidth="1"/>
    <col min="3040" max="3041" width="7" style="1" customWidth="1"/>
    <col min="3042" max="3042" width="9.125" style="1" customWidth="1"/>
    <col min="3043" max="3051" width="7.125" style="1" customWidth="1"/>
    <col min="3052" max="3295" width="9" style="1" customWidth="1"/>
    <col min="3296" max="3297" width="7" style="1" customWidth="1"/>
    <col min="3298" max="3298" width="9.125" style="1" customWidth="1"/>
    <col min="3299" max="3307" width="7.125" style="1" customWidth="1"/>
    <col min="3308" max="3551" width="9" style="1" customWidth="1"/>
    <col min="3552" max="3553" width="7" style="1" customWidth="1"/>
    <col min="3554" max="3554" width="9.125" style="1" customWidth="1"/>
    <col min="3555" max="3563" width="7.125" style="1" customWidth="1"/>
    <col min="3564" max="3807" width="9" style="1" customWidth="1"/>
    <col min="3808" max="3809" width="7" style="1" customWidth="1"/>
    <col min="3810" max="3810" width="9.125" style="1" customWidth="1"/>
    <col min="3811" max="3819" width="7.125" style="1" customWidth="1"/>
    <col min="3820" max="4063" width="9" style="1" customWidth="1"/>
    <col min="4064" max="4065" width="7" style="1" customWidth="1"/>
    <col min="4066" max="4066" width="9.125" style="1" customWidth="1"/>
    <col min="4067" max="4075" width="7.125" style="1" customWidth="1"/>
    <col min="4076" max="4319" width="9" style="1" customWidth="1"/>
    <col min="4320" max="4321" width="7" style="1" customWidth="1"/>
    <col min="4322" max="4322" width="9.125" style="1" customWidth="1"/>
    <col min="4323" max="4331" width="7.125" style="1" customWidth="1"/>
    <col min="4332" max="4575" width="9" style="1" customWidth="1"/>
    <col min="4576" max="4577" width="7" style="1" customWidth="1"/>
    <col min="4578" max="4578" width="9.125" style="1" customWidth="1"/>
    <col min="4579" max="4587" width="7.125" style="1" customWidth="1"/>
    <col min="4588" max="4831" width="9" style="1" customWidth="1"/>
    <col min="4832" max="4833" width="7" style="1" customWidth="1"/>
    <col min="4834" max="4834" width="9.125" style="1" customWidth="1"/>
    <col min="4835" max="4843" width="7.125" style="1" customWidth="1"/>
    <col min="4844" max="5087" width="9" style="1" customWidth="1"/>
    <col min="5088" max="5089" width="7" style="1" customWidth="1"/>
    <col min="5090" max="5090" width="9.125" style="1" customWidth="1"/>
    <col min="5091" max="5099" width="7.125" style="1" customWidth="1"/>
    <col min="5100" max="5343" width="9" style="1" customWidth="1"/>
    <col min="5344" max="5345" width="7" style="1" customWidth="1"/>
    <col min="5346" max="5346" width="9.125" style="1" customWidth="1"/>
    <col min="5347" max="5355" width="7.125" style="1" customWidth="1"/>
    <col min="5356" max="5599" width="9" style="1" customWidth="1"/>
    <col min="5600" max="5601" width="7" style="1" customWidth="1"/>
    <col min="5602" max="5602" width="9.125" style="1" customWidth="1"/>
    <col min="5603" max="5611" width="7.125" style="1" customWidth="1"/>
    <col min="5612" max="5855" width="9" style="1" customWidth="1"/>
    <col min="5856" max="5857" width="7" style="1" customWidth="1"/>
    <col min="5858" max="5858" width="9.125" style="1" customWidth="1"/>
    <col min="5859" max="5867" width="7.125" style="1" customWidth="1"/>
    <col min="5868" max="6111" width="9" style="1" customWidth="1"/>
    <col min="6112" max="6113" width="7" style="1" customWidth="1"/>
    <col min="6114" max="6114" width="9.125" style="1" customWidth="1"/>
    <col min="6115" max="6123" width="7.125" style="1" customWidth="1"/>
    <col min="6124" max="6367" width="9" style="1" customWidth="1"/>
    <col min="6368" max="6369" width="7" style="1" customWidth="1"/>
    <col min="6370" max="6370" width="9.125" style="1" customWidth="1"/>
    <col min="6371" max="6379" width="7.125" style="1" customWidth="1"/>
    <col min="6380" max="6623" width="9" style="1" customWidth="1"/>
    <col min="6624" max="6625" width="7" style="1" customWidth="1"/>
    <col min="6626" max="6626" width="9.125" style="1" customWidth="1"/>
    <col min="6627" max="6635" width="7.125" style="1" customWidth="1"/>
    <col min="6636" max="6879" width="9" style="1" customWidth="1"/>
    <col min="6880" max="6881" width="7" style="1" customWidth="1"/>
    <col min="6882" max="6882" width="9.125" style="1" customWidth="1"/>
    <col min="6883" max="6891" width="7.125" style="1" customWidth="1"/>
    <col min="6892" max="7135" width="9" style="1" customWidth="1"/>
    <col min="7136" max="7137" width="7" style="1" customWidth="1"/>
    <col min="7138" max="7138" width="9.125" style="1" customWidth="1"/>
    <col min="7139" max="7147" width="7.125" style="1" customWidth="1"/>
    <col min="7148" max="7391" width="9" style="1" customWidth="1"/>
    <col min="7392" max="7393" width="7" style="1" customWidth="1"/>
    <col min="7394" max="7394" width="9.125" style="1" customWidth="1"/>
    <col min="7395" max="7403" width="7.125" style="1" customWidth="1"/>
    <col min="7404" max="7647" width="9" style="1" customWidth="1"/>
    <col min="7648" max="7649" width="7" style="1" customWidth="1"/>
    <col min="7650" max="7650" width="9.125" style="1" customWidth="1"/>
    <col min="7651" max="7659" width="7.125" style="1" customWidth="1"/>
    <col min="7660" max="7903" width="9" style="1" customWidth="1"/>
    <col min="7904" max="7905" width="7" style="1" customWidth="1"/>
    <col min="7906" max="7906" width="9.125" style="1" customWidth="1"/>
    <col min="7907" max="7915" width="7.125" style="1" customWidth="1"/>
    <col min="7916" max="8159" width="9" style="1" customWidth="1"/>
    <col min="8160" max="8161" width="7" style="1" customWidth="1"/>
    <col min="8162" max="8162" width="9.125" style="1" customWidth="1"/>
    <col min="8163" max="8171" width="7.125" style="1" customWidth="1"/>
    <col min="8172" max="8415" width="9" style="1" customWidth="1"/>
    <col min="8416" max="8417" width="7" style="1" customWidth="1"/>
    <col min="8418" max="8418" width="9.125" style="1" customWidth="1"/>
    <col min="8419" max="8427" width="7.125" style="1" customWidth="1"/>
    <col min="8428" max="8671" width="9" style="1" customWidth="1"/>
    <col min="8672" max="8673" width="7" style="1" customWidth="1"/>
    <col min="8674" max="8674" width="9.125" style="1" customWidth="1"/>
    <col min="8675" max="8683" width="7.125" style="1" customWidth="1"/>
    <col min="8684" max="8927" width="9" style="1" customWidth="1"/>
    <col min="8928" max="8929" width="7" style="1" customWidth="1"/>
    <col min="8930" max="8930" width="9.125" style="1" customWidth="1"/>
    <col min="8931" max="8939" width="7.125" style="1" customWidth="1"/>
    <col min="8940" max="9183" width="9" style="1" customWidth="1"/>
    <col min="9184" max="9185" width="7" style="1" customWidth="1"/>
    <col min="9186" max="9186" width="9.125" style="1" customWidth="1"/>
    <col min="9187" max="9195" width="7.125" style="1" customWidth="1"/>
    <col min="9196" max="9439" width="9" style="1" customWidth="1"/>
    <col min="9440" max="9441" width="7" style="1" customWidth="1"/>
    <col min="9442" max="9442" width="9.125" style="1" customWidth="1"/>
    <col min="9443" max="9451" width="7.125" style="1" customWidth="1"/>
    <col min="9452" max="9695" width="9" style="1" customWidth="1"/>
    <col min="9696" max="9697" width="7" style="1" customWidth="1"/>
    <col min="9698" max="9698" width="9.125" style="1" customWidth="1"/>
    <col min="9699" max="9707" width="7.125" style="1" customWidth="1"/>
    <col min="9708" max="9951" width="9" style="1" customWidth="1"/>
    <col min="9952" max="9953" width="7" style="1" customWidth="1"/>
    <col min="9954" max="9954" width="9.125" style="1" customWidth="1"/>
    <col min="9955" max="9963" width="7.125" style="1" customWidth="1"/>
    <col min="9964" max="10207" width="9" style="1" customWidth="1"/>
    <col min="10208" max="10209" width="7" style="1" customWidth="1"/>
    <col min="10210" max="10210" width="9.125" style="1" customWidth="1"/>
    <col min="10211" max="10219" width="7.125" style="1" customWidth="1"/>
    <col min="10220" max="10463" width="9" style="1" customWidth="1"/>
    <col min="10464" max="10465" width="7" style="1" customWidth="1"/>
    <col min="10466" max="10466" width="9.125" style="1" customWidth="1"/>
    <col min="10467" max="10475" width="7.125" style="1" customWidth="1"/>
    <col min="10476" max="10719" width="9" style="1" customWidth="1"/>
    <col min="10720" max="10721" width="7" style="1" customWidth="1"/>
    <col min="10722" max="10722" width="9.125" style="1" customWidth="1"/>
    <col min="10723" max="10731" width="7.125" style="1" customWidth="1"/>
    <col min="10732" max="10975" width="9" style="1" customWidth="1"/>
    <col min="10976" max="10977" width="7" style="1" customWidth="1"/>
    <col min="10978" max="10978" width="9.125" style="1" customWidth="1"/>
    <col min="10979" max="10987" width="7.125" style="1" customWidth="1"/>
    <col min="10988" max="11231" width="9" style="1" customWidth="1"/>
    <col min="11232" max="11233" width="7" style="1" customWidth="1"/>
    <col min="11234" max="11234" width="9.125" style="1" customWidth="1"/>
    <col min="11235" max="11243" width="7.125" style="1" customWidth="1"/>
    <col min="11244" max="11487" width="9" style="1" customWidth="1"/>
    <col min="11488" max="11489" width="7" style="1" customWidth="1"/>
    <col min="11490" max="11490" width="9.125" style="1" customWidth="1"/>
    <col min="11491" max="11499" width="7.125" style="1" customWidth="1"/>
    <col min="11500" max="11743" width="9" style="1" customWidth="1"/>
    <col min="11744" max="11745" width="7" style="1" customWidth="1"/>
    <col min="11746" max="11746" width="9.125" style="1" customWidth="1"/>
    <col min="11747" max="11755" width="7.125" style="1" customWidth="1"/>
    <col min="11756" max="11999" width="9" style="1" customWidth="1"/>
    <col min="12000" max="12001" width="7" style="1" customWidth="1"/>
    <col min="12002" max="12002" width="9.125" style="1" customWidth="1"/>
    <col min="12003" max="12011" width="7.125" style="1" customWidth="1"/>
    <col min="12012" max="12255" width="9" style="1" customWidth="1"/>
    <col min="12256" max="12257" width="7" style="1" customWidth="1"/>
    <col min="12258" max="12258" width="9.125" style="1" customWidth="1"/>
    <col min="12259" max="12267" width="7.125" style="1" customWidth="1"/>
    <col min="12268" max="12511" width="9" style="1" customWidth="1"/>
    <col min="12512" max="12513" width="7" style="1" customWidth="1"/>
    <col min="12514" max="12514" width="9.125" style="1" customWidth="1"/>
    <col min="12515" max="12523" width="7.125" style="1" customWidth="1"/>
    <col min="12524" max="12767" width="9" style="1" customWidth="1"/>
    <col min="12768" max="12769" width="7" style="1" customWidth="1"/>
    <col min="12770" max="12770" width="9.125" style="1" customWidth="1"/>
    <col min="12771" max="12779" width="7.125" style="1" customWidth="1"/>
    <col min="12780" max="13023" width="9" style="1" customWidth="1"/>
    <col min="13024" max="13025" width="7" style="1" customWidth="1"/>
    <col min="13026" max="13026" width="9.125" style="1" customWidth="1"/>
    <col min="13027" max="13035" width="7.125" style="1" customWidth="1"/>
    <col min="13036" max="13279" width="9" style="1" customWidth="1"/>
    <col min="13280" max="13281" width="7" style="1" customWidth="1"/>
    <col min="13282" max="13282" width="9.125" style="1" customWidth="1"/>
    <col min="13283" max="13291" width="7.125" style="1" customWidth="1"/>
    <col min="13292" max="13535" width="9" style="1" customWidth="1"/>
    <col min="13536" max="13537" width="7" style="1" customWidth="1"/>
    <col min="13538" max="13538" width="9.125" style="1" customWidth="1"/>
    <col min="13539" max="13547" width="7.125" style="1" customWidth="1"/>
    <col min="13548" max="13791" width="9" style="1" customWidth="1"/>
    <col min="13792" max="13793" width="7" style="1" customWidth="1"/>
    <col min="13794" max="13794" width="9.125" style="1" customWidth="1"/>
    <col min="13795" max="13803" width="7.125" style="1" customWidth="1"/>
    <col min="13804" max="14047" width="9" style="1" customWidth="1"/>
    <col min="14048" max="14049" width="7" style="1" customWidth="1"/>
    <col min="14050" max="14050" width="9.125" style="1" customWidth="1"/>
    <col min="14051" max="14059" width="7.125" style="1" customWidth="1"/>
    <col min="14060" max="14303" width="9" style="1" customWidth="1"/>
    <col min="14304" max="14305" width="7" style="1" customWidth="1"/>
    <col min="14306" max="14306" width="9.125" style="1" customWidth="1"/>
    <col min="14307" max="14315" width="7.125" style="1" customWidth="1"/>
    <col min="14316" max="14559" width="9" style="1" customWidth="1"/>
    <col min="14560" max="14561" width="7" style="1" customWidth="1"/>
    <col min="14562" max="14562" width="9.125" style="1" customWidth="1"/>
    <col min="14563" max="14571" width="7.125" style="1" customWidth="1"/>
    <col min="14572" max="14815" width="9" style="1" customWidth="1"/>
    <col min="14816" max="14817" width="7" style="1" customWidth="1"/>
    <col min="14818" max="14818" width="9.125" style="1" customWidth="1"/>
    <col min="14819" max="14827" width="7.125" style="1" customWidth="1"/>
    <col min="14828" max="15071" width="9" style="1" customWidth="1"/>
    <col min="15072" max="15073" width="7" style="1" customWidth="1"/>
    <col min="15074" max="15074" width="9.125" style="1" customWidth="1"/>
    <col min="15075" max="15083" width="7.125" style="1" customWidth="1"/>
    <col min="15084" max="15327" width="9" style="1" customWidth="1"/>
    <col min="15328" max="15329" width="7" style="1" customWidth="1"/>
    <col min="15330" max="15330" width="9.125" style="1" customWidth="1"/>
    <col min="15331" max="15339" width="7.125" style="1" customWidth="1"/>
    <col min="15340" max="15583" width="9" style="1" customWidth="1"/>
    <col min="15584" max="15585" width="7" style="1" customWidth="1"/>
    <col min="15586" max="15586" width="9.125" style="1" customWidth="1"/>
    <col min="15587" max="15595" width="7.125" style="1" customWidth="1"/>
    <col min="15596" max="15839" width="9" style="1" customWidth="1"/>
    <col min="15840" max="15841" width="7" style="1" customWidth="1"/>
    <col min="15842" max="15842" width="9.125" style="1" customWidth="1"/>
    <col min="15843" max="15851" width="7.125" style="1" customWidth="1"/>
    <col min="15852" max="16095" width="9" style="1" customWidth="1"/>
    <col min="16096" max="16097" width="7" style="1" customWidth="1"/>
    <col min="16098" max="16098" width="9.125" style="1" customWidth="1"/>
    <col min="16099" max="16107" width="7.125" style="1" customWidth="1"/>
    <col min="16108" max="16384" width="9" style="1" customWidth="1"/>
  </cols>
  <sheetData>
    <row r="1" ht="34.1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4" customHeight="1" spans="1:25" x14ac:dyDescent="0.25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9" t="s">
        <v>2</v>
      </c>
      <c r="B4" s="10" t="s">
        <v>3</v>
      </c>
      <c r="C4" s="5"/>
      <c r="D4" s="11"/>
      <c r="E4" s="12"/>
      <c r="F4" s="13" t="s">
        <v>4</v>
      </c>
      <c r="G4" s="14"/>
      <c r="H4" s="14"/>
      <c r="I4" s="14"/>
      <c r="J4" s="5"/>
      <c r="K4" s="9" t="s">
        <v>5</v>
      </c>
      <c r="L4" s="15"/>
      <c r="M4" s="16"/>
      <c r="N4" s="16"/>
      <c r="O4" s="16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5"/>
      <c r="B5" s="5"/>
      <c r="C5" s="5"/>
      <c r="D5" s="17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9" t="s">
        <v>6</v>
      </c>
      <c r="B6" s="18"/>
      <c r="C6" s="5"/>
      <c r="D6" s="11"/>
      <c r="E6" s="19"/>
      <c r="F6" s="13" t="s">
        <v>7</v>
      </c>
      <c r="G6" s="14"/>
      <c r="H6" s="14"/>
      <c r="I6" s="14"/>
      <c r="J6" s="5"/>
      <c r="K6" s="9" t="s">
        <v>8</v>
      </c>
      <c r="L6" s="20" t="s">
        <v>9</v>
      </c>
      <c r="M6" s="20"/>
      <c r="N6" s="20"/>
      <c r="O6" s="20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21"/>
      <c r="B7" s="21"/>
      <c r="C7" s="21"/>
      <c r="D7" s="22"/>
      <c r="E7" s="21"/>
      <c r="F7" s="21"/>
      <c r="G7" s="21"/>
      <c r="H7" s="5"/>
      <c r="I7" s="5"/>
      <c r="J7" s="5"/>
      <c r="K7" s="5"/>
      <c r="L7" s="5"/>
      <c r="M7" s="5"/>
      <c r="N7" s="5"/>
      <c r="O7" s="5"/>
      <c r="P7" s="1"/>
      <c r="Q7" s="1"/>
      <c r="R7" s="1"/>
      <c r="S7" s="1"/>
      <c r="T7" s="1"/>
      <c r="U7" s="1"/>
      <c r="V7" s="1"/>
      <c r="W7" s="1"/>
      <c r="X7" s="1"/>
      <c r="Y7" s="1"/>
    </row>
    <row r="8" ht="18" customHeight="1" spans="1:25" s="23" customFormat="1" x14ac:dyDescent="0.25">
      <c r="A8" s="24" t="s">
        <v>10</v>
      </c>
      <c r="B8" s="25" t="s">
        <v>11</v>
      </c>
      <c r="C8" s="26" t="s">
        <v>12</v>
      </c>
      <c r="D8" s="27" t="str">
        <f>+"DISCH ("&amp;D70+E70+F70+G70+D71+E71+F71+G71&amp;")"</f>
        <v>DISCH (340)</v>
      </c>
      <c r="E8" s="28"/>
      <c r="F8" s="28"/>
      <c r="G8" s="28"/>
      <c r="H8" s="27" t="str">
        <f>+"LOAD ("&amp;H70+I70+J70+K70+H71+I71+J71+K71&amp;")"</f>
        <v>LOAD (375)</v>
      </c>
      <c r="I8" s="28"/>
      <c r="J8" s="28"/>
      <c r="K8" s="29"/>
      <c r="L8" s="30" t="str">
        <f>+"SHIFT ("&amp;L70+M70+N70+O70+L71+M71+N71+O71&amp;")"</f>
        <v>SHIFT (0)</v>
      </c>
      <c r="M8" s="31"/>
      <c r="N8" s="32"/>
      <c r="O8" s="3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ht="18" customHeight="1" spans="1:25" x14ac:dyDescent="0.25">
      <c r="A9" s="34"/>
      <c r="B9" s="35"/>
      <c r="C9" s="36"/>
      <c r="D9" s="37" t="s">
        <v>13</v>
      </c>
      <c r="E9" s="38" t="s">
        <v>14</v>
      </c>
      <c r="F9" s="38" t="s">
        <v>15</v>
      </c>
      <c r="G9" s="39" t="s">
        <v>16</v>
      </c>
      <c r="H9" s="40" t="s">
        <v>13</v>
      </c>
      <c r="I9" s="38" t="s">
        <v>14</v>
      </c>
      <c r="J9" s="38" t="s">
        <v>15</v>
      </c>
      <c r="K9" s="41" t="s">
        <v>16</v>
      </c>
      <c r="L9" s="42" t="s">
        <v>13</v>
      </c>
      <c r="M9" s="38" t="s">
        <v>14</v>
      </c>
      <c r="N9" s="38" t="s">
        <v>15</v>
      </c>
      <c r="O9" s="41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6.9" customHeight="1" hidden="1" spans="1:25" s="43" customFormat="1" x14ac:dyDescent="0.25">
      <c r="A10" s="44"/>
      <c r="B10" s="45"/>
      <c r="C10" s="46" t="s">
        <v>17</v>
      </c>
      <c r="D10" s="47"/>
      <c r="E10" s="48"/>
      <c r="F10" s="48"/>
      <c r="G10" s="49"/>
      <c r="H10" s="47"/>
      <c r="I10" s="48"/>
      <c r="J10" s="48"/>
      <c r="K10" s="50"/>
      <c r="L10" s="51"/>
      <c r="M10" s="48"/>
      <c r="N10" s="48"/>
      <c r="O10" s="50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ht="16.9" customHeight="1" hidden="1" spans="1:25" s="43" customFormat="1" x14ac:dyDescent="0.25">
      <c r="A11" s="52"/>
      <c r="B11" s="53"/>
      <c r="C11" s="54" t="s">
        <v>18</v>
      </c>
      <c r="D11" s="55"/>
      <c r="E11" s="56"/>
      <c r="F11" s="56"/>
      <c r="G11" s="57"/>
      <c r="H11" s="55"/>
      <c r="I11" s="56"/>
      <c r="J11" s="56"/>
      <c r="K11" s="58"/>
      <c r="L11" s="59"/>
      <c r="M11" s="56"/>
      <c r="N11" s="56"/>
      <c r="O11" s="58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ht="18" customHeight="1" spans="1:25" s="43" customFormat="1" x14ac:dyDescent="0.25">
      <c r="A12" s="52"/>
      <c r="B12" s="53"/>
      <c r="C12" s="60" t="s">
        <v>17</v>
      </c>
      <c r="D12" s="61"/>
      <c r="E12" s="62"/>
      <c r="F12" s="62"/>
      <c r="G12" s="63"/>
      <c r="H12" s="61"/>
      <c r="I12" s="62"/>
      <c r="J12" s="62"/>
      <c r="K12" s="64"/>
      <c r="L12" s="65"/>
      <c r="M12" s="62"/>
      <c r="N12" s="62"/>
      <c r="O12" s="64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ht="18" customHeight="1" spans="1:25" s="43" customFormat="1" x14ac:dyDescent="0.25">
      <c r="A13" s="52"/>
      <c r="B13" s="53"/>
      <c r="C13" s="54" t="s">
        <v>18</v>
      </c>
      <c r="D13" s="55"/>
      <c r="E13" s="56"/>
      <c r="F13" s="56"/>
      <c r="G13" s="57"/>
      <c r="H13" s="55"/>
      <c r="I13" s="56"/>
      <c r="J13" s="56"/>
      <c r="K13" s="58"/>
      <c r="L13" s="59"/>
      <c r="M13" s="56"/>
      <c r="N13" s="56"/>
      <c r="O13" s="58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ht="18" customHeight="1" spans="1:25" s="43" customFormat="1" x14ac:dyDescent="0.25">
      <c r="A14" s="52"/>
      <c r="B14" s="53"/>
      <c r="C14" s="66" t="s">
        <v>17</v>
      </c>
      <c r="D14" s="61"/>
      <c r="E14" s="62"/>
      <c r="F14" s="62"/>
      <c r="G14" s="63"/>
      <c r="H14" s="61"/>
      <c r="I14" s="62"/>
      <c r="J14" s="62"/>
      <c r="K14" s="64"/>
      <c r="L14" s="65"/>
      <c r="M14" s="62"/>
      <c r="N14" s="62"/>
      <c r="O14" s="64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ht="18" customHeight="1" spans="1:25" s="43" customFormat="1" x14ac:dyDescent="0.25">
      <c r="A15" s="52"/>
      <c r="B15" s="53"/>
      <c r="C15" s="67" t="s">
        <v>18</v>
      </c>
      <c r="D15" s="68"/>
      <c r="E15" s="69"/>
      <c r="F15" s="69"/>
      <c r="G15" s="70"/>
      <c r="H15" s="68"/>
      <c r="I15" s="69"/>
      <c r="J15" s="69"/>
      <c r="K15" s="71"/>
      <c r="L15" s="72"/>
      <c r="M15" s="69"/>
      <c r="N15" s="69"/>
      <c r="O15" s="71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ht="18" customHeight="1" spans="1:25" s="43" customFormat="1" x14ac:dyDescent="0.25">
      <c r="A16" s="52"/>
      <c r="B16" s="53"/>
      <c r="C16" s="73" t="s">
        <v>17</v>
      </c>
      <c r="D16" s="74"/>
      <c r="E16" s="75"/>
      <c r="F16" s="75"/>
      <c r="G16" s="76"/>
      <c r="H16" s="74"/>
      <c r="I16" s="75"/>
      <c r="J16" s="75"/>
      <c r="K16" s="77"/>
      <c r="L16" s="78"/>
      <c r="M16" s="75"/>
      <c r="N16" s="75"/>
      <c r="O16" s="77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ht="18" customHeight="1" spans="1:25" s="43" customFormat="1" x14ac:dyDescent="0.25">
      <c r="A17" s="52"/>
      <c r="B17" s="53"/>
      <c r="C17" s="67" t="s">
        <v>18</v>
      </c>
      <c r="D17" s="68"/>
      <c r="E17" s="69"/>
      <c r="F17" s="69"/>
      <c r="G17" s="70"/>
      <c r="H17" s="68"/>
      <c r="I17" s="69"/>
      <c r="J17" s="69"/>
      <c r="K17" s="71"/>
      <c r="L17" s="72"/>
      <c r="M17" s="69"/>
      <c r="N17" s="69"/>
      <c r="O17" s="71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ht="18" customHeight="1" spans="1:25" s="43" customFormat="1" x14ac:dyDescent="0.25">
      <c r="A18" s="52"/>
      <c r="B18" s="53"/>
      <c r="C18" s="73" t="s">
        <v>17</v>
      </c>
      <c r="D18" s="74"/>
      <c r="E18" s="75"/>
      <c r="F18" s="75"/>
      <c r="G18" s="76"/>
      <c r="H18" s="74"/>
      <c r="I18" s="75"/>
      <c r="J18" s="75"/>
      <c r="K18" s="77"/>
      <c r="L18" s="78"/>
      <c r="M18" s="75"/>
      <c r="N18" s="75"/>
      <c r="O18" s="77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ht="18" customHeight="1" spans="1:25" s="43" customFormat="1" x14ac:dyDescent="0.25">
      <c r="A19" s="79"/>
      <c r="B19" s="80"/>
      <c r="C19" s="81" t="s">
        <v>18</v>
      </c>
      <c r="D19" s="82"/>
      <c r="E19" s="83"/>
      <c r="F19" s="83"/>
      <c r="G19" s="84"/>
      <c r="H19" s="82"/>
      <c r="I19" s="83"/>
      <c r="J19" s="83"/>
      <c r="K19" s="85"/>
      <c r="L19" s="86"/>
      <c r="M19" s="83"/>
      <c r="N19" s="83"/>
      <c r="O19" s="85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ht="16.9" customHeight="1" hidden="1" spans="1:25" s="43" customFormat="1" x14ac:dyDescent="0.25">
      <c r="A20" s="87"/>
      <c r="B20" s="45"/>
      <c r="C20" s="73" t="s">
        <v>17</v>
      </c>
      <c r="D20" s="74"/>
      <c r="E20" s="75"/>
      <c r="F20" s="75"/>
      <c r="G20" s="76"/>
      <c r="H20" s="74"/>
      <c r="I20" s="75"/>
      <c r="J20" s="75"/>
      <c r="K20" s="77"/>
      <c r="L20" s="78"/>
      <c r="M20" s="75"/>
      <c r="N20" s="75"/>
      <c r="O20" s="77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ht="16.9" customHeight="1" hidden="1" spans="1:25" s="43" customFormat="1" x14ac:dyDescent="0.25">
      <c r="A21" s="52"/>
      <c r="B21" s="88"/>
      <c r="C21" s="89" t="s">
        <v>18</v>
      </c>
      <c r="D21" s="55"/>
      <c r="E21" s="56"/>
      <c r="F21" s="56"/>
      <c r="G21" s="57"/>
      <c r="H21" s="55"/>
      <c r="I21" s="56"/>
      <c r="J21" s="56"/>
      <c r="K21" s="58"/>
      <c r="L21" s="59"/>
      <c r="M21" s="56"/>
      <c r="N21" s="56"/>
      <c r="O21" s="58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ht="18" customHeight="1" spans="1:25" s="43" customFormat="1" x14ac:dyDescent="0.25">
      <c r="A22" s="52"/>
      <c r="B22" s="88"/>
      <c r="C22" s="60" t="s">
        <v>17</v>
      </c>
      <c r="D22" s="61"/>
      <c r="E22" s="62"/>
      <c r="F22" s="62"/>
      <c r="G22" s="64"/>
      <c r="H22" s="61"/>
      <c r="I22" s="62"/>
      <c r="J22" s="62"/>
      <c r="K22" s="64"/>
      <c r="L22" s="65"/>
      <c r="M22" s="62"/>
      <c r="N22" s="62"/>
      <c r="O22" s="64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ht="18" customHeight="1" spans="1:25" s="43" customFormat="1" x14ac:dyDescent="0.25">
      <c r="A23" s="52"/>
      <c r="B23" s="90"/>
      <c r="C23" s="54" t="s">
        <v>18</v>
      </c>
      <c r="D23" s="68"/>
      <c r="E23" s="69"/>
      <c r="F23" s="69"/>
      <c r="G23" s="71"/>
      <c r="H23" s="68"/>
      <c r="I23" s="69"/>
      <c r="J23" s="69"/>
      <c r="K23" s="71"/>
      <c r="L23" s="72"/>
      <c r="M23" s="69"/>
      <c r="N23" s="69"/>
      <c r="O23" s="71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ht="18" customHeight="1" spans="1:25" s="43" customFormat="1" x14ac:dyDescent="0.25">
      <c r="A24" s="52"/>
      <c r="B24" s="88"/>
      <c r="C24" s="73" t="s">
        <v>17</v>
      </c>
      <c r="D24" s="74"/>
      <c r="E24" s="75"/>
      <c r="F24" s="75"/>
      <c r="G24" s="77"/>
      <c r="H24" s="74"/>
      <c r="I24" s="75"/>
      <c r="J24" s="75"/>
      <c r="K24" s="77"/>
      <c r="L24" s="78"/>
      <c r="M24" s="75"/>
      <c r="N24" s="75"/>
      <c r="O24" s="77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ht="18" customHeight="1" spans="1:25" s="43" customFormat="1" x14ac:dyDescent="0.25">
      <c r="A25" s="52"/>
      <c r="B25" s="90"/>
      <c r="C25" s="67" t="s">
        <v>18</v>
      </c>
      <c r="D25" s="68"/>
      <c r="E25" s="69"/>
      <c r="F25" s="69"/>
      <c r="G25" s="71"/>
      <c r="H25" s="68"/>
      <c r="I25" s="69"/>
      <c r="J25" s="69"/>
      <c r="K25" s="71"/>
      <c r="L25" s="72"/>
      <c r="M25" s="69"/>
      <c r="N25" s="69"/>
      <c r="O25" s="71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ht="18" customHeight="1" spans="1:25" s="43" customFormat="1" x14ac:dyDescent="0.25">
      <c r="A26" s="52"/>
      <c r="B26" s="88"/>
      <c r="C26" s="66" t="s">
        <v>17</v>
      </c>
      <c r="D26" s="61"/>
      <c r="E26" s="62"/>
      <c r="F26" s="62"/>
      <c r="G26" s="63"/>
      <c r="H26" s="61"/>
      <c r="I26" s="62"/>
      <c r="J26" s="62"/>
      <c r="K26" s="64"/>
      <c r="L26" s="65"/>
      <c r="M26" s="62"/>
      <c r="N26" s="62"/>
      <c r="O26" s="64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ht="18" customHeight="1" spans="1:25" s="43" customFormat="1" x14ac:dyDescent="0.25">
      <c r="A27" s="52"/>
      <c r="B27" s="90"/>
      <c r="C27" s="89" t="s">
        <v>18</v>
      </c>
      <c r="D27" s="55"/>
      <c r="E27" s="56"/>
      <c r="F27" s="56"/>
      <c r="G27" s="57"/>
      <c r="H27" s="55"/>
      <c r="I27" s="56"/>
      <c r="J27" s="56"/>
      <c r="K27" s="58"/>
      <c r="L27" s="59"/>
      <c r="M27" s="56"/>
      <c r="N27" s="56"/>
      <c r="O27" s="58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ht="18" customHeight="1" spans="1:25" s="43" customFormat="1" x14ac:dyDescent="0.25">
      <c r="A28" s="52"/>
      <c r="B28" s="88"/>
      <c r="C28" s="66" t="s">
        <v>17</v>
      </c>
      <c r="D28" s="61"/>
      <c r="E28" s="62"/>
      <c r="F28" s="62"/>
      <c r="G28" s="63"/>
      <c r="H28" s="61"/>
      <c r="I28" s="62"/>
      <c r="J28" s="62"/>
      <c r="K28" s="64"/>
      <c r="L28" s="65"/>
      <c r="M28" s="62"/>
      <c r="N28" s="62"/>
      <c r="O28" s="64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ht="18" customHeight="1" spans="1:25" s="43" customFormat="1" x14ac:dyDescent="0.25">
      <c r="A29" s="79"/>
      <c r="B29" s="91"/>
      <c r="C29" s="81" t="s">
        <v>18</v>
      </c>
      <c r="D29" s="82"/>
      <c r="E29" s="83"/>
      <c r="F29" s="83"/>
      <c r="G29" s="84"/>
      <c r="H29" s="82"/>
      <c r="I29" s="83"/>
      <c r="J29" s="83"/>
      <c r="K29" s="85"/>
      <c r="L29" s="86"/>
      <c r="M29" s="83"/>
      <c r="N29" s="83"/>
      <c r="O29" s="85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ht="16.9" customHeight="1" hidden="1" spans="1:25" s="43" customFormat="1" x14ac:dyDescent="0.25">
      <c r="A30" s="52"/>
      <c r="B30" s="45"/>
      <c r="C30" s="73" t="s">
        <v>17</v>
      </c>
      <c r="D30" s="74"/>
      <c r="E30" s="75"/>
      <c r="F30" s="75"/>
      <c r="G30" s="77"/>
      <c r="H30" s="74"/>
      <c r="I30" s="75"/>
      <c r="J30" s="75"/>
      <c r="K30" s="77"/>
      <c r="L30" s="78"/>
      <c r="M30" s="75"/>
      <c r="N30" s="75"/>
      <c r="O30" s="77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ht="16.9" customHeight="1" hidden="1" spans="1:25" s="43" customFormat="1" x14ac:dyDescent="0.25">
      <c r="A31" s="52"/>
      <c r="B31" s="53"/>
      <c r="C31" s="89" t="s">
        <v>18</v>
      </c>
      <c r="D31" s="55"/>
      <c r="E31" s="56"/>
      <c r="F31" s="56"/>
      <c r="G31" s="58"/>
      <c r="H31" s="55"/>
      <c r="I31" s="56"/>
      <c r="J31" s="56"/>
      <c r="K31" s="58"/>
      <c r="L31" s="59"/>
      <c r="M31" s="56"/>
      <c r="N31" s="56"/>
      <c r="O31" s="58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ht="16.9" customHeight="1" hidden="1" spans="1:25" s="43" customFormat="1" x14ac:dyDescent="0.25">
      <c r="A32" s="52"/>
      <c r="B32" s="53"/>
      <c r="C32" s="66" t="s">
        <v>17</v>
      </c>
      <c r="D32" s="61"/>
      <c r="E32" s="62"/>
      <c r="F32" s="62"/>
      <c r="G32" s="64"/>
      <c r="H32" s="61"/>
      <c r="I32" s="62"/>
      <c r="J32" s="62"/>
      <c r="K32" s="64"/>
      <c r="L32" s="65"/>
      <c r="M32" s="62"/>
      <c r="N32" s="62"/>
      <c r="O32" s="64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ht="16.9" customHeight="1" hidden="1" spans="1:25" s="43" customFormat="1" x14ac:dyDescent="0.25">
      <c r="A33" s="52"/>
      <c r="B33" s="88"/>
      <c r="C33" s="89" t="s">
        <v>18</v>
      </c>
      <c r="D33" s="55"/>
      <c r="E33" s="56"/>
      <c r="F33" s="56"/>
      <c r="G33" s="58"/>
      <c r="H33" s="55"/>
      <c r="I33" s="56"/>
      <c r="J33" s="56"/>
      <c r="K33" s="58"/>
      <c r="L33" s="59"/>
      <c r="M33" s="56"/>
      <c r="N33" s="56"/>
      <c r="O33" s="58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ht="18" customHeight="1" spans="1:25" s="43" customFormat="1" x14ac:dyDescent="0.25">
      <c r="A34" s="52"/>
      <c r="B34" s="45"/>
      <c r="C34" s="66" t="s">
        <v>17</v>
      </c>
      <c r="D34" s="61"/>
      <c r="E34" s="62"/>
      <c r="F34" s="62"/>
      <c r="G34" s="64"/>
      <c r="H34" s="61"/>
      <c r="I34" s="62"/>
      <c r="J34" s="62"/>
      <c r="K34" s="64"/>
      <c r="L34" s="65"/>
      <c r="M34" s="62"/>
      <c r="N34" s="62"/>
      <c r="O34" s="64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ht="18" customHeight="1" spans="1:25" s="43" customFormat="1" x14ac:dyDescent="0.25">
      <c r="A35" s="52"/>
      <c r="B35" s="53"/>
      <c r="C35" s="89" t="s">
        <v>18</v>
      </c>
      <c r="D35" s="55"/>
      <c r="E35" s="56"/>
      <c r="F35" s="56"/>
      <c r="G35" s="58"/>
      <c r="H35" s="55"/>
      <c r="I35" s="56"/>
      <c r="J35" s="56"/>
      <c r="K35" s="58"/>
      <c r="L35" s="59"/>
      <c r="M35" s="56"/>
      <c r="N35" s="56"/>
      <c r="O35" s="58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ht="18" customHeight="1" spans="1:25" s="43" customFormat="1" x14ac:dyDescent="0.25">
      <c r="A36" s="52"/>
      <c r="B36" s="53"/>
      <c r="C36" s="73" t="s">
        <v>17</v>
      </c>
      <c r="D36" s="74"/>
      <c r="E36" s="75"/>
      <c r="F36" s="75"/>
      <c r="G36" s="77"/>
      <c r="H36" s="74"/>
      <c r="I36" s="75"/>
      <c r="J36" s="75"/>
      <c r="K36" s="77"/>
      <c r="L36" s="78"/>
      <c r="M36" s="75"/>
      <c r="N36" s="75"/>
      <c r="O36" s="77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ht="18" customHeight="1" spans="1:25" s="43" customFormat="1" x14ac:dyDescent="0.25">
      <c r="A37" s="52"/>
      <c r="B37" s="53"/>
      <c r="C37" s="89" t="s">
        <v>18</v>
      </c>
      <c r="D37" s="55"/>
      <c r="E37" s="56"/>
      <c r="F37" s="56"/>
      <c r="G37" s="58"/>
      <c r="H37" s="55"/>
      <c r="I37" s="56"/>
      <c r="J37" s="56"/>
      <c r="K37" s="58"/>
      <c r="L37" s="59"/>
      <c r="M37" s="56"/>
      <c r="N37" s="56"/>
      <c r="O37" s="58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ht="18" customHeight="1" spans="1:25" s="43" customFormat="1" x14ac:dyDescent="0.25">
      <c r="A38" s="52"/>
      <c r="B38" s="53"/>
      <c r="C38" s="66" t="s">
        <v>17</v>
      </c>
      <c r="D38" s="61"/>
      <c r="E38" s="62"/>
      <c r="F38" s="62"/>
      <c r="G38" s="63"/>
      <c r="H38" s="61"/>
      <c r="I38" s="62"/>
      <c r="J38" s="62"/>
      <c r="K38" s="64"/>
      <c r="L38" s="65"/>
      <c r="M38" s="62"/>
      <c r="N38" s="62"/>
      <c r="O38" s="64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ht="18" customHeight="1" spans="1:25" s="43" customFormat="1" x14ac:dyDescent="0.25">
      <c r="A39" s="79"/>
      <c r="B39" s="80"/>
      <c r="C39" s="81" t="s">
        <v>18</v>
      </c>
      <c r="D39" s="82"/>
      <c r="E39" s="83"/>
      <c r="F39" s="83"/>
      <c r="G39" s="84"/>
      <c r="H39" s="82"/>
      <c r="I39" s="83"/>
      <c r="J39" s="83"/>
      <c r="K39" s="85"/>
      <c r="L39" s="86"/>
      <c r="M39" s="83"/>
      <c r="N39" s="83"/>
      <c r="O39" s="85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ht="16.9" customHeight="1" hidden="1" spans="1:25" s="43" customFormat="1" x14ac:dyDescent="0.25">
      <c r="A40" s="87"/>
      <c r="B40" s="92"/>
      <c r="C40" s="73" t="s">
        <v>17</v>
      </c>
      <c r="D40" s="74"/>
      <c r="E40" s="75"/>
      <c r="F40" s="75"/>
      <c r="G40" s="76"/>
      <c r="H40" s="74"/>
      <c r="I40" s="75"/>
      <c r="J40" s="75"/>
      <c r="K40" s="77"/>
      <c r="L40" s="78"/>
      <c r="M40" s="75"/>
      <c r="N40" s="75"/>
      <c r="O40" s="77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ht="16.9" customHeight="1" hidden="1" spans="1:25" s="43" customFormat="1" x14ac:dyDescent="0.25">
      <c r="A41" s="52"/>
      <c r="B41" s="90"/>
      <c r="C41" s="89" t="s">
        <v>18</v>
      </c>
      <c r="D41" s="55"/>
      <c r="E41" s="56"/>
      <c r="F41" s="56"/>
      <c r="G41" s="57"/>
      <c r="H41" s="55"/>
      <c r="I41" s="56"/>
      <c r="J41" s="56"/>
      <c r="K41" s="58"/>
      <c r="L41" s="59"/>
      <c r="M41" s="56"/>
      <c r="N41" s="56"/>
      <c r="O41" s="58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ht="16.9" customHeight="1" hidden="1" spans="1:25" s="43" customFormat="1" x14ac:dyDescent="0.25">
      <c r="A42" s="52"/>
      <c r="B42" s="93"/>
      <c r="C42" s="66" t="s">
        <v>17</v>
      </c>
      <c r="D42" s="61"/>
      <c r="E42" s="62"/>
      <c r="F42" s="62"/>
      <c r="G42" s="63"/>
      <c r="H42" s="61"/>
      <c r="I42" s="62"/>
      <c r="J42" s="62"/>
      <c r="K42" s="64"/>
      <c r="L42" s="65"/>
      <c r="M42" s="62"/>
      <c r="N42" s="62"/>
      <c r="O42" s="64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ht="16.9" customHeight="1" hidden="1" spans="1:25" s="43" customFormat="1" x14ac:dyDescent="0.25">
      <c r="A43" s="52"/>
      <c r="B43" s="90"/>
      <c r="C43" s="89" t="s">
        <v>18</v>
      </c>
      <c r="D43" s="55"/>
      <c r="E43" s="56"/>
      <c r="F43" s="56"/>
      <c r="G43" s="57"/>
      <c r="H43" s="55"/>
      <c r="I43" s="56"/>
      <c r="J43" s="56"/>
      <c r="K43" s="58"/>
      <c r="L43" s="59"/>
      <c r="M43" s="56"/>
      <c r="N43" s="56"/>
      <c r="O43" s="58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ht="16.9" customHeight="1" hidden="1" spans="1:25" s="43" customFormat="1" x14ac:dyDescent="0.25">
      <c r="A44" s="52"/>
      <c r="B44" s="93"/>
      <c r="C44" s="66" t="s">
        <v>17</v>
      </c>
      <c r="D44" s="61"/>
      <c r="E44" s="62"/>
      <c r="F44" s="62"/>
      <c r="G44" s="64"/>
      <c r="H44" s="61"/>
      <c r="I44" s="62"/>
      <c r="J44" s="62"/>
      <c r="K44" s="64"/>
      <c r="L44" s="65"/>
      <c r="M44" s="62"/>
      <c r="N44" s="62"/>
      <c r="O44" s="64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ht="16.9" customHeight="1" hidden="1" spans="1:25" s="43" customFormat="1" x14ac:dyDescent="0.25">
      <c r="A45" s="52"/>
      <c r="B45" s="90"/>
      <c r="C45" s="89" t="s">
        <v>18</v>
      </c>
      <c r="D45" s="55"/>
      <c r="E45" s="56"/>
      <c r="F45" s="56"/>
      <c r="G45" s="58"/>
      <c r="H45" s="55"/>
      <c r="I45" s="56"/>
      <c r="J45" s="56"/>
      <c r="K45" s="58"/>
      <c r="L45" s="59"/>
      <c r="M45" s="56"/>
      <c r="N45" s="56"/>
      <c r="O45" s="58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ht="16.9" customHeight="1" hidden="1" spans="1:25" s="43" customFormat="1" x14ac:dyDescent="0.25">
      <c r="A46" s="52"/>
      <c r="B46" s="93"/>
      <c r="C46" s="66" t="s">
        <v>17</v>
      </c>
      <c r="D46" s="61"/>
      <c r="E46" s="62"/>
      <c r="F46" s="62"/>
      <c r="G46" s="64"/>
      <c r="H46" s="61"/>
      <c r="I46" s="62"/>
      <c r="J46" s="62"/>
      <c r="K46" s="64"/>
      <c r="L46" s="65"/>
      <c r="M46" s="62"/>
      <c r="N46" s="62"/>
      <c r="O46" s="64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ht="16.9" customHeight="1" hidden="1" spans="1:25" s="43" customFormat="1" x14ac:dyDescent="0.25">
      <c r="A47" s="52"/>
      <c r="B47" s="90"/>
      <c r="C47" s="89" t="s">
        <v>18</v>
      </c>
      <c r="D47" s="55"/>
      <c r="E47" s="56"/>
      <c r="F47" s="56"/>
      <c r="G47" s="58"/>
      <c r="H47" s="55"/>
      <c r="I47" s="56"/>
      <c r="J47" s="56"/>
      <c r="K47" s="58"/>
      <c r="L47" s="59"/>
      <c r="M47" s="56"/>
      <c r="N47" s="56"/>
      <c r="O47" s="58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ht="16.9" customHeight="1" hidden="1" spans="1:25" s="43" customFormat="1" x14ac:dyDescent="0.25">
      <c r="A48" s="52"/>
      <c r="B48" s="93"/>
      <c r="C48" s="66" t="s">
        <v>17</v>
      </c>
      <c r="D48" s="61"/>
      <c r="E48" s="62"/>
      <c r="F48" s="62"/>
      <c r="G48" s="64"/>
      <c r="H48" s="61"/>
      <c r="I48" s="62"/>
      <c r="J48" s="62"/>
      <c r="K48" s="64"/>
      <c r="L48" s="65"/>
      <c r="M48" s="62"/>
      <c r="N48" s="62"/>
      <c r="O48" s="64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ht="16.9" customHeight="1" hidden="1" spans="1:25" s="43" customFormat="1" x14ac:dyDescent="0.25">
      <c r="A49" s="94"/>
      <c r="B49" s="90"/>
      <c r="C49" s="89" t="s">
        <v>18</v>
      </c>
      <c r="D49" s="55"/>
      <c r="E49" s="56"/>
      <c r="F49" s="56"/>
      <c r="G49" s="58"/>
      <c r="H49" s="55"/>
      <c r="I49" s="56"/>
      <c r="J49" s="56"/>
      <c r="K49" s="58"/>
      <c r="L49" s="59"/>
      <c r="M49" s="56"/>
      <c r="N49" s="56"/>
      <c r="O49" s="58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ht="16.9" customHeight="1" hidden="1" spans="1:25" s="43" customFormat="1" x14ac:dyDescent="0.25">
      <c r="A50" s="52"/>
      <c r="B50" s="95"/>
      <c r="C50" s="73" t="s">
        <v>17</v>
      </c>
      <c r="D50" s="74"/>
      <c r="E50" s="75"/>
      <c r="F50" s="75"/>
      <c r="G50" s="77"/>
      <c r="H50" s="74"/>
      <c r="I50" s="75"/>
      <c r="J50" s="75"/>
      <c r="K50" s="77"/>
      <c r="L50" s="78"/>
      <c r="M50" s="75"/>
      <c r="N50" s="75"/>
      <c r="O50" s="77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ht="16.9" customHeight="1" hidden="1" spans="1:25" s="43" customFormat="1" x14ac:dyDescent="0.25">
      <c r="A51" s="52"/>
      <c r="B51" s="96"/>
      <c r="C51" s="89" t="s">
        <v>18</v>
      </c>
      <c r="D51" s="55"/>
      <c r="E51" s="56"/>
      <c r="F51" s="56"/>
      <c r="G51" s="58"/>
      <c r="H51" s="55"/>
      <c r="I51" s="56"/>
      <c r="J51" s="56"/>
      <c r="K51" s="58"/>
      <c r="L51" s="59"/>
      <c r="M51" s="56"/>
      <c r="N51" s="56"/>
      <c r="O51" s="58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ht="16.9" customHeight="1" hidden="1" spans="1:25" s="43" customFormat="1" x14ac:dyDescent="0.25">
      <c r="A52" s="97"/>
      <c r="B52" s="98"/>
      <c r="C52" s="66" t="s">
        <v>17</v>
      </c>
      <c r="D52" s="61"/>
      <c r="E52" s="62"/>
      <c r="F52" s="62"/>
      <c r="G52" s="63"/>
      <c r="H52" s="61"/>
      <c r="I52" s="62"/>
      <c r="J52" s="62"/>
      <c r="K52" s="64"/>
      <c r="L52" s="65"/>
      <c r="M52" s="62"/>
      <c r="N52" s="62"/>
      <c r="O52" s="64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ht="16.9" customHeight="1" hidden="1" spans="1:25" s="43" customFormat="1" x14ac:dyDescent="0.25">
      <c r="A53" s="94"/>
      <c r="B53" s="96"/>
      <c r="C53" s="89" t="s">
        <v>18</v>
      </c>
      <c r="D53" s="55"/>
      <c r="E53" s="56"/>
      <c r="F53" s="56"/>
      <c r="G53" s="57"/>
      <c r="H53" s="55"/>
      <c r="I53" s="56"/>
      <c r="J53" s="56"/>
      <c r="K53" s="58"/>
      <c r="L53" s="59"/>
      <c r="M53" s="56"/>
      <c r="N53" s="56"/>
      <c r="O53" s="58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ht="16.9" customHeight="1" hidden="1" spans="1:25" s="43" customFormat="1" x14ac:dyDescent="0.25">
      <c r="A54" s="97"/>
      <c r="B54" s="99"/>
      <c r="C54" s="66" t="s">
        <v>17</v>
      </c>
      <c r="D54" s="61"/>
      <c r="E54" s="62"/>
      <c r="F54" s="62"/>
      <c r="G54" s="63"/>
      <c r="H54" s="61"/>
      <c r="I54" s="62"/>
      <c r="J54" s="62"/>
      <c r="K54" s="64"/>
      <c r="L54" s="65"/>
      <c r="M54" s="62"/>
      <c r="N54" s="62"/>
      <c r="O54" s="64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ht="16.9" customHeight="1" hidden="1" spans="1:25" s="43" customFormat="1" x14ac:dyDescent="0.25">
      <c r="A55" s="94"/>
      <c r="B55" s="96"/>
      <c r="C55" s="89" t="s">
        <v>18</v>
      </c>
      <c r="D55" s="55"/>
      <c r="E55" s="56"/>
      <c r="F55" s="56"/>
      <c r="G55" s="57"/>
      <c r="H55" s="55"/>
      <c r="I55" s="56"/>
      <c r="J55" s="56"/>
      <c r="K55" s="58"/>
      <c r="L55" s="59"/>
      <c r="M55" s="56"/>
      <c r="N55" s="56"/>
      <c r="O55" s="58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ht="16.9" customHeight="1" hidden="1" spans="1:25" s="43" customFormat="1" x14ac:dyDescent="0.25">
      <c r="A56" s="52"/>
      <c r="B56" s="95"/>
      <c r="C56" s="66" t="s">
        <v>17</v>
      </c>
      <c r="D56" s="61"/>
      <c r="E56" s="62"/>
      <c r="F56" s="62"/>
      <c r="G56" s="63"/>
      <c r="H56" s="61"/>
      <c r="I56" s="62"/>
      <c r="J56" s="62"/>
      <c r="K56" s="64"/>
      <c r="L56" s="65"/>
      <c r="M56" s="62"/>
      <c r="N56" s="62"/>
      <c r="O56" s="64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ht="16.9" customHeight="1" hidden="1" spans="1:25" s="43" customFormat="1" x14ac:dyDescent="0.25">
      <c r="A57" s="94"/>
      <c r="B57" s="96"/>
      <c r="C57" s="89" t="s">
        <v>18</v>
      </c>
      <c r="D57" s="55"/>
      <c r="E57" s="56"/>
      <c r="F57" s="56"/>
      <c r="G57" s="57"/>
      <c r="H57" s="55"/>
      <c r="I57" s="56"/>
      <c r="J57" s="56"/>
      <c r="K57" s="58"/>
      <c r="L57" s="59"/>
      <c r="M57" s="56"/>
      <c r="N57" s="56"/>
      <c r="O57" s="58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ht="16.9" customHeight="1" hidden="1" spans="1:25" s="43" customFormat="1" x14ac:dyDescent="0.25">
      <c r="A58" s="52"/>
      <c r="B58" s="95"/>
      <c r="C58" s="66" t="s">
        <v>17</v>
      </c>
      <c r="D58" s="61"/>
      <c r="E58" s="62"/>
      <c r="F58" s="62"/>
      <c r="G58" s="64"/>
      <c r="H58" s="61"/>
      <c r="I58" s="62"/>
      <c r="J58" s="62"/>
      <c r="K58" s="64"/>
      <c r="L58" s="65"/>
      <c r="M58" s="62"/>
      <c r="N58" s="62"/>
      <c r="O58" s="64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ht="16.9" customHeight="1" hidden="1" spans="1:25" s="43" customFormat="1" x14ac:dyDescent="0.25">
      <c r="A59" s="94"/>
      <c r="B59" s="96"/>
      <c r="C59" s="89" t="s">
        <v>18</v>
      </c>
      <c r="D59" s="55"/>
      <c r="E59" s="56"/>
      <c r="F59" s="56"/>
      <c r="G59" s="58"/>
      <c r="H59" s="55"/>
      <c r="I59" s="56"/>
      <c r="J59" s="56"/>
      <c r="K59" s="58"/>
      <c r="L59" s="59"/>
      <c r="M59" s="56"/>
      <c r="N59" s="56"/>
      <c r="O59" s="58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ht="16.9" customHeight="1" hidden="1" spans="1:25" s="43" customFormat="1" x14ac:dyDescent="0.25">
      <c r="A60" s="52"/>
      <c r="B60" s="95"/>
      <c r="C60" s="66" t="s">
        <v>17</v>
      </c>
      <c r="D60" s="61"/>
      <c r="E60" s="62"/>
      <c r="F60" s="62"/>
      <c r="G60" s="64"/>
      <c r="H60" s="61"/>
      <c r="I60" s="62"/>
      <c r="J60" s="62"/>
      <c r="K60" s="64"/>
      <c r="L60" s="65"/>
      <c r="M60" s="62"/>
      <c r="N60" s="62"/>
      <c r="O60" s="64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ht="16.9" customHeight="1" hidden="1" spans="1:25" s="43" customFormat="1" x14ac:dyDescent="0.25">
      <c r="A61" s="94"/>
      <c r="B61" s="96"/>
      <c r="C61" s="89" t="s">
        <v>18</v>
      </c>
      <c r="D61" s="55"/>
      <c r="E61" s="56"/>
      <c r="F61" s="56"/>
      <c r="G61" s="58"/>
      <c r="H61" s="55"/>
      <c r="I61" s="56"/>
      <c r="J61" s="56"/>
      <c r="K61" s="58"/>
      <c r="L61" s="59"/>
      <c r="M61" s="56"/>
      <c r="N61" s="56"/>
      <c r="O61" s="58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ht="16.9" customHeight="1" hidden="1" spans="1:25" s="43" customFormat="1" x14ac:dyDescent="0.25">
      <c r="A62" s="52"/>
      <c r="B62" s="95"/>
      <c r="C62" s="66" t="s">
        <v>17</v>
      </c>
      <c r="D62" s="61"/>
      <c r="E62" s="62"/>
      <c r="F62" s="62"/>
      <c r="G62" s="64"/>
      <c r="H62" s="61"/>
      <c r="I62" s="62"/>
      <c r="J62" s="62"/>
      <c r="K62" s="64"/>
      <c r="L62" s="65"/>
      <c r="M62" s="62"/>
      <c r="N62" s="62"/>
      <c r="O62" s="64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ht="16.9" customHeight="1" hidden="1" spans="1:25" s="43" customFormat="1" x14ac:dyDescent="0.25">
      <c r="A63" s="94"/>
      <c r="B63" s="96"/>
      <c r="C63" s="89" t="s">
        <v>18</v>
      </c>
      <c r="D63" s="55"/>
      <c r="E63" s="56"/>
      <c r="F63" s="56"/>
      <c r="G63" s="58"/>
      <c r="H63" s="55"/>
      <c r="I63" s="56"/>
      <c r="J63" s="56"/>
      <c r="K63" s="58"/>
      <c r="L63" s="59"/>
      <c r="M63" s="56"/>
      <c r="N63" s="56"/>
      <c r="O63" s="58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ht="16.9" customHeight="1" hidden="1" spans="1:25" s="43" customFormat="1" x14ac:dyDescent="0.25">
      <c r="A64" s="52"/>
      <c r="B64" s="95"/>
      <c r="C64" s="73" t="s">
        <v>17</v>
      </c>
      <c r="D64" s="74"/>
      <c r="E64" s="75"/>
      <c r="F64" s="75"/>
      <c r="G64" s="77"/>
      <c r="H64" s="74"/>
      <c r="I64" s="75"/>
      <c r="J64" s="75"/>
      <c r="K64" s="77"/>
      <c r="L64" s="78"/>
      <c r="M64" s="75"/>
      <c r="N64" s="75"/>
      <c r="O64" s="77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ht="16.9" customHeight="1" hidden="1" spans="1:25" s="43" customFormat="1" x14ac:dyDescent="0.25">
      <c r="A65" s="52"/>
      <c r="B65" s="96"/>
      <c r="C65" s="89" t="s">
        <v>18</v>
      </c>
      <c r="D65" s="55"/>
      <c r="E65" s="56"/>
      <c r="F65" s="56"/>
      <c r="G65" s="58"/>
      <c r="H65" s="55"/>
      <c r="I65" s="56"/>
      <c r="J65" s="56"/>
      <c r="K65" s="58"/>
      <c r="L65" s="59"/>
      <c r="M65" s="56"/>
      <c r="N65" s="56"/>
      <c r="O65" s="58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ht="16.9" customHeight="1" hidden="1" spans="1:25" s="43" customFormat="1" x14ac:dyDescent="0.25">
      <c r="A66" s="97"/>
      <c r="B66" s="98"/>
      <c r="C66" s="66" t="s">
        <v>17</v>
      </c>
      <c r="D66" s="61"/>
      <c r="E66" s="62"/>
      <c r="F66" s="62"/>
      <c r="G66" s="63"/>
      <c r="H66" s="61"/>
      <c r="I66" s="62"/>
      <c r="J66" s="62"/>
      <c r="K66" s="64"/>
      <c r="L66" s="65"/>
      <c r="M66" s="62"/>
      <c r="N66" s="62"/>
      <c r="O66" s="64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ht="16.9" customHeight="1" hidden="1" spans="1:25" s="43" customFormat="1" x14ac:dyDescent="0.25">
      <c r="A67" s="94"/>
      <c r="B67" s="96"/>
      <c r="C67" s="89" t="s">
        <v>18</v>
      </c>
      <c r="D67" s="55"/>
      <c r="E67" s="56"/>
      <c r="F67" s="56"/>
      <c r="G67" s="57"/>
      <c r="H67" s="55"/>
      <c r="I67" s="56"/>
      <c r="J67" s="56"/>
      <c r="K67" s="58"/>
      <c r="L67" s="59"/>
      <c r="M67" s="56"/>
      <c r="N67" s="56"/>
      <c r="O67" s="58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ht="16.9" customHeight="1" hidden="1" spans="1:25" s="43" customFormat="1" x14ac:dyDescent="0.25">
      <c r="A68" s="52"/>
      <c r="B68" s="98"/>
      <c r="C68" s="66" t="s">
        <v>17</v>
      </c>
      <c r="D68" s="61"/>
      <c r="E68" s="62"/>
      <c r="F68" s="62"/>
      <c r="G68" s="63"/>
      <c r="H68" s="61"/>
      <c r="I68" s="62"/>
      <c r="J68" s="62"/>
      <c r="K68" s="64"/>
      <c r="L68" s="65"/>
      <c r="M68" s="62"/>
      <c r="N68" s="62"/>
      <c r="O68" s="64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ht="16.9" customHeight="1" hidden="1" spans="1:25" s="43" customFormat="1" x14ac:dyDescent="0.25">
      <c r="A69" s="100"/>
      <c r="B69" s="101"/>
      <c r="C69" s="102" t="s">
        <v>18</v>
      </c>
      <c r="D69" s="103"/>
      <c r="E69" s="35"/>
      <c r="F69" s="35"/>
      <c r="G69" s="104"/>
      <c r="H69" s="103"/>
      <c r="I69" s="35"/>
      <c r="J69" s="35"/>
      <c r="K69" s="105"/>
      <c r="L69" s="106"/>
      <c r="M69" s="35"/>
      <c r="N69" s="35"/>
      <c r="O69" s="105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ht="18" customHeight="1" spans="1:25" s="43" customFormat="1" x14ac:dyDescent="0.25">
      <c r="A70" s="107" t="s">
        <v>19</v>
      </c>
      <c r="B70" s="108"/>
      <c r="C70" s="109"/>
      <c r="D70" s="110">
        <f>SUM(D10,D12,D14,D16,D18,D20,D22,D24,D26,D28,D30,D32,D34,D36,D38,D40,D42,D44,D46,D48,D50,D52,D54,D56,D58,D60,D62,D64,D66,D68)</f>
        <v>105</v>
      </c>
      <c r="E70" s="111">
        <f t="shared" ref="E70:O70" si="0">SUM(E10,E12,E14,E16,E18,E20,E22,E24,E26,E28,E30,E32,E34,E36,E38,E40,E42,E44,E46,E48,E50,E52,E54,E56,E58,E60,E62,E64,E66,E68)</f>
        <v>0</v>
      </c>
      <c r="F70" s="111">
        <f t="shared" si="0"/>
        <v>235</v>
      </c>
      <c r="G70" s="112">
        <f t="shared" si="0"/>
        <v>0</v>
      </c>
      <c r="H70" s="110">
        <f t="shared" si="0"/>
        <v>0</v>
      </c>
      <c r="I70" s="111">
        <f t="shared" si="0"/>
        <v>0</v>
      </c>
      <c r="J70" s="111">
        <f t="shared" si="0"/>
        <v>0</v>
      </c>
      <c r="K70" s="113">
        <f t="shared" si="0"/>
        <v>0</v>
      </c>
      <c r="L70" s="114">
        <f t="shared" si="0"/>
        <v>0</v>
      </c>
      <c r="M70" s="111">
        <f t="shared" si="0"/>
        <v>0</v>
      </c>
      <c r="N70" s="111">
        <f t="shared" si="0"/>
        <v>0</v>
      </c>
      <c r="O70" s="113">
        <f t="shared" si="0"/>
        <v>0</v>
      </c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ht="18" customHeight="1" spans="1:25" s="43" customFormat="1" x14ac:dyDescent="0.25">
      <c r="A71" s="115"/>
      <c r="B71" s="116"/>
      <c r="C71" s="117"/>
      <c r="D71" s="118">
        <f>SUM(D11,D13,D15,D17,D19,D21,D23,D25,D27,D29,D31,D33,D35,D37,D39,D41,D43,D45,D47,D49,D51,D53,D55,D57,D59,D61,D63,D65,D67,D69)</f>
        <v>0</v>
      </c>
      <c r="E71" s="119">
        <f t="shared" ref="E71:O71" si="1">SUM(E11,E13,E15,E17,E19,E21,E23,E25,E27,E29,E31,E33,E35,E37,E39,E41,E43,E45,E47,E49,E51,E53,E55,E57,E59,E61,E63,E65,E67,E69)</f>
        <v>0</v>
      </c>
      <c r="F71" s="119">
        <f t="shared" si="1"/>
        <v>0</v>
      </c>
      <c r="G71" s="120">
        <f t="shared" si="1"/>
        <v>0</v>
      </c>
      <c r="H71" s="118">
        <f t="shared" si="1"/>
        <v>8</v>
      </c>
      <c r="I71" s="119">
        <f t="shared" si="1"/>
        <v>0</v>
      </c>
      <c r="J71" s="119">
        <f t="shared" si="1"/>
        <v>367</v>
      </c>
      <c r="K71" s="121">
        <f t="shared" si="1"/>
        <v>0</v>
      </c>
      <c r="L71" s="122">
        <f t="shared" si="1"/>
        <v>0</v>
      </c>
      <c r="M71" s="119">
        <f t="shared" si="1"/>
        <v>0</v>
      </c>
      <c r="N71" s="119">
        <f t="shared" si="1"/>
        <v>0</v>
      </c>
      <c r="O71" s="121">
        <f t="shared" si="1"/>
        <v>0</v>
      </c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ht="9.75" customHeight="1" spans="1:25" x14ac:dyDescent="0.25">
      <c r="A72" s="123"/>
      <c r="B72" s="123"/>
      <c r="C72" s="124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8" customHeight="1" spans="1:25" x14ac:dyDescent="0.25">
      <c r="A73" s="126" t="s">
        <v>20</v>
      </c>
      <c r="B73" s="127"/>
      <c r="C73" s="127"/>
      <c r="D73" s="127"/>
      <c r="E73" s="127"/>
      <c r="F73" s="127"/>
      <c r="G73" s="128"/>
      <c r="H73" s="129" t="s">
        <v>21</v>
      </c>
      <c r="I73" s="130"/>
      <c r="J73" s="130"/>
      <c r="K73" s="130"/>
      <c r="L73" s="130"/>
      <c r="M73" s="130"/>
      <c r="N73" s="130"/>
      <c r="O73" s="13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8" customHeight="1" spans="1:25" x14ac:dyDescent="0.25">
      <c r="A74" s="132"/>
      <c r="B74" s="133"/>
      <c r="C74" s="133"/>
      <c r="D74" s="133"/>
      <c r="E74" s="133"/>
      <c r="F74" s="133"/>
      <c r="G74" s="134"/>
      <c r="H74" s="132"/>
      <c r="I74" s="133"/>
      <c r="J74" s="133"/>
      <c r="K74" s="133"/>
      <c r="L74" s="133"/>
      <c r="M74" s="133"/>
      <c r="N74" s="133"/>
      <c r="O74" s="134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8" customHeight="1" spans="1:25" x14ac:dyDescent="0.25">
      <c r="A75" s="135"/>
      <c r="B75" s="136"/>
      <c r="C75" s="136"/>
      <c r="D75" s="136"/>
      <c r="E75" s="136"/>
      <c r="F75" s="136"/>
      <c r="G75" s="137"/>
      <c r="H75" s="135"/>
      <c r="I75" s="136"/>
      <c r="J75" s="136"/>
      <c r="K75" s="136"/>
      <c r="L75" s="136"/>
      <c r="M75" s="136"/>
      <c r="N75" s="136"/>
      <c r="O75" s="137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8" customHeight="1" spans="1:25" x14ac:dyDescent="0.25">
      <c r="A76" s="135"/>
      <c r="B76" s="136"/>
      <c r="C76" s="136"/>
      <c r="D76" s="136"/>
      <c r="E76" s="136"/>
      <c r="F76" s="136"/>
      <c r="G76" s="137"/>
      <c r="H76" s="135"/>
      <c r="I76" s="136"/>
      <c r="J76" s="136"/>
      <c r="K76" s="136"/>
      <c r="L76" s="136"/>
      <c r="M76" s="136"/>
      <c r="N76" s="136"/>
      <c r="O76" s="137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8" customHeight="1" spans="1:25" x14ac:dyDescent="0.25">
      <c r="A77" s="135"/>
      <c r="B77" s="136"/>
      <c r="C77" s="136"/>
      <c r="D77" s="136"/>
      <c r="E77" s="136"/>
      <c r="F77" s="136"/>
      <c r="G77" s="137"/>
      <c r="H77" s="135"/>
      <c r="I77" s="136"/>
      <c r="J77" s="136"/>
      <c r="K77" s="136"/>
      <c r="L77" s="136"/>
      <c r="M77" s="136"/>
      <c r="N77" s="136"/>
      <c r="O77" s="137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8" customHeight="1" spans="1:25" x14ac:dyDescent="0.25">
      <c r="A78" s="138"/>
      <c r="B78" s="139"/>
      <c r="C78" s="139"/>
      <c r="D78" s="139"/>
      <c r="E78" s="139"/>
      <c r="F78" s="139"/>
      <c r="G78" s="140"/>
      <c r="H78" s="138"/>
      <c r="I78" s="139"/>
      <c r="J78" s="139"/>
      <c r="K78" s="139"/>
      <c r="L78" s="139"/>
      <c r="M78" s="139"/>
      <c r="N78" s="139"/>
      <c r="O78" s="140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22.9" customHeight="1" spans="1:25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7.1" customHeight="1" spans="1:25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7.1" customHeight="1" spans="1:25" x14ac:dyDescent="0.25">
      <c r="A81" s="5"/>
      <c r="B81" s="5"/>
      <c r="C81" s="5"/>
      <c r="D81" s="1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7.1" customHeight="1" spans="1:25" x14ac:dyDescent="0.25">
      <c r="A82" s="141"/>
      <c r="B82" s="141"/>
      <c r="C82" s="141"/>
      <c r="D82" s="142"/>
      <c r="E82" s="5"/>
      <c r="F82" s="5"/>
      <c r="G82" s="5"/>
      <c r="H82" s="5"/>
      <c r="I82" s="5"/>
      <c r="J82" s="141"/>
      <c r="K82" s="141"/>
      <c r="L82" s="141"/>
      <c r="M82" s="141"/>
      <c r="N82" s="141"/>
      <c r="O82" s="14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 spans="1:25" x14ac:dyDescent="0.25">
      <c r="A83" s="143" t="s">
        <v>22</v>
      </c>
      <c r="B83" s="143"/>
      <c r="C83" s="143"/>
      <c r="D83" s="143"/>
      <c r="E83" s="144"/>
      <c r="F83" s="144"/>
      <c r="G83" s="144"/>
      <c r="H83" s="144"/>
      <c r="I83" s="5"/>
      <c r="J83" s="143" t="s">
        <v>23</v>
      </c>
      <c r="K83" s="143"/>
      <c r="L83" s="143"/>
      <c r="M83" s="143"/>
      <c r="N83" s="143"/>
      <c r="O83" s="143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</sheetData>
  <mergeCells count="27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83:D83"/>
    <mergeCell ref="J83:O83"/>
  </mergeCells>
  <printOptions horizontalCentered="1" verticalCentered="1"/>
  <pageMargins left="0.3937007874015748" right="0.3937007874015748" top="0.3937007874015748" bottom="0.3937007874015748" header="0.5118110236220472" footer="0.5118110236220472"/>
  <pageSetup paperSize="9" orientation="portrait" horizontalDpi="4294967295" verticalDpi="4294967295" scale="97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K117"/>
  <sheetViews>
    <sheetView workbookViewId="0" zoomScale="100" zoomScaleNormal="100">
      <selection activeCell="AN34" sqref="AN34"/>
    </sheetView>
  </sheetViews>
  <sheetFormatPr defaultRowHeight="13.5" outlineLevelRow="0" outlineLevelCol="0" x14ac:dyDescent="0" customHeight="1"/>
  <cols>
    <col min="1" max="2" width="2.5" style="10" customWidth="1"/>
    <col min="3" max="3" width="2.375" style="10" customWidth="1"/>
    <col min="4" max="7" width="2.125" style="10" customWidth="1"/>
    <col min="8" max="9" width="2.625" style="10" customWidth="1"/>
    <col min="10" max="11" width="2.5" style="10" customWidth="1"/>
    <col min="12" max="13" width="2.625" style="10" customWidth="1"/>
    <col min="14" max="19" width="2.5" style="10" customWidth="1"/>
    <col min="20" max="21" width="2.625" style="10" customWidth="1"/>
    <col min="22" max="23" width="2.5" style="10" customWidth="1"/>
    <col min="24" max="26" width="2" style="10" customWidth="1"/>
    <col min="27" max="32" width="2.5" style="10" customWidth="1"/>
    <col min="33" max="33" width="1.625" style="10" customWidth="1"/>
    <col min="34" max="35" width="2.625" style="10" customWidth="1"/>
    <col min="36" max="36" width="5.125" style="10" customWidth="1"/>
    <col min="37" max="256" width="9" style="10" customWidth="1"/>
    <col min="257" max="258" width="2.5" style="10" customWidth="1"/>
    <col min="259" max="259" width="2.375" style="10" customWidth="1"/>
    <col min="260" max="288" width="2.5" style="10" customWidth="1"/>
    <col min="289" max="289" width="1.625" style="10" customWidth="1"/>
    <col min="290" max="291" width="2.625" style="10" customWidth="1"/>
    <col min="292" max="292" width="3.875" style="10" customWidth="1"/>
    <col min="293" max="512" width="9" style="10" customWidth="1"/>
    <col min="513" max="514" width="2.5" style="10" customWidth="1"/>
    <col min="515" max="515" width="2.375" style="10" customWidth="1"/>
    <col min="516" max="544" width="2.5" style="10" customWidth="1"/>
    <col min="545" max="545" width="1.625" style="10" customWidth="1"/>
    <col min="546" max="547" width="2.625" style="10" customWidth="1"/>
    <col min="548" max="548" width="3.875" style="10" customWidth="1"/>
    <col min="549" max="768" width="9" style="10" customWidth="1"/>
    <col min="769" max="770" width="2.5" style="10" customWidth="1"/>
    <col min="771" max="771" width="2.375" style="10" customWidth="1"/>
    <col min="772" max="800" width="2.5" style="10" customWidth="1"/>
    <col min="801" max="801" width="1.625" style="10" customWidth="1"/>
    <col min="802" max="803" width="2.625" style="10" customWidth="1"/>
    <col min="804" max="804" width="3.875" style="10" customWidth="1"/>
    <col min="805" max="1024" width="9" style="10" customWidth="1"/>
    <col min="1025" max="1026" width="2.5" style="10" customWidth="1"/>
    <col min="1027" max="1027" width="2.375" style="10" customWidth="1"/>
    <col min="1028" max="1056" width="2.5" style="10" customWidth="1"/>
    <col min="1057" max="1057" width="1.625" style="10" customWidth="1"/>
    <col min="1058" max="1059" width="2.625" style="10" customWidth="1"/>
    <col min="1060" max="1060" width="3.875" style="10" customWidth="1"/>
    <col min="1061" max="1280" width="9" style="10" customWidth="1"/>
    <col min="1281" max="1282" width="2.5" style="10" customWidth="1"/>
    <col min="1283" max="1283" width="2.375" style="10" customWidth="1"/>
    <col min="1284" max="1312" width="2.5" style="10" customWidth="1"/>
    <col min="1313" max="1313" width="1.625" style="10" customWidth="1"/>
    <col min="1314" max="1315" width="2.625" style="10" customWidth="1"/>
    <col min="1316" max="1316" width="3.875" style="10" customWidth="1"/>
    <col min="1317" max="1536" width="9" style="10" customWidth="1"/>
    <col min="1537" max="1538" width="2.5" style="10" customWidth="1"/>
    <col min="1539" max="1539" width="2.375" style="10" customWidth="1"/>
    <col min="1540" max="1568" width="2.5" style="10" customWidth="1"/>
    <col min="1569" max="1569" width="1.625" style="10" customWidth="1"/>
    <col min="1570" max="1571" width="2.625" style="10" customWidth="1"/>
    <col min="1572" max="1572" width="3.875" style="10" customWidth="1"/>
    <col min="1573" max="1792" width="9" style="10" customWidth="1"/>
    <col min="1793" max="1794" width="2.5" style="10" customWidth="1"/>
    <col min="1795" max="1795" width="2.375" style="10" customWidth="1"/>
    <col min="1796" max="1824" width="2.5" style="10" customWidth="1"/>
    <col min="1825" max="1825" width="1.625" style="10" customWidth="1"/>
    <col min="1826" max="1827" width="2.625" style="10" customWidth="1"/>
    <col min="1828" max="1828" width="3.875" style="10" customWidth="1"/>
    <col min="1829" max="2048" width="9" style="10" customWidth="1"/>
    <col min="2049" max="2050" width="2.5" style="10" customWidth="1"/>
    <col min="2051" max="2051" width="2.375" style="10" customWidth="1"/>
    <col min="2052" max="2080" width="2.5" style="10" customWidth="1"/>
    <col min="2081" max="2081" width="1.625" style="10" customWidth="1"/>
    <col min="2082" max="2083" width="2.625" style="10" customWidth="1"/>
    <col min="2084" max="2084" width="3.875" style="10" customWidth="1"/>
    <col min="2085" max="2304" width="9" style="10" customWidth="1"/>
    <col min="2305" max="2306" width="2.5" style="10" customWidth="1"/>
    <col min="2307" max="2307" width="2.375" style="10" customWidth="1"/>
    <col min="2308" max="2336" width="2.5" style="10" customWidth="1"/>
    <col min="2337" max="2337" width="1.625" style="10" customWidth="1"/>
    <col min="2338" max="2339" width="2.625" style="10" customWidth="1"/>
    <col min="2340" max="2340" width="3.875" style="10" customWidth="1"/>
    <col min="2341" max="2560" width="9" style="10" customWidth="1"/>
    <col min="2561" max="2562" width="2.5" style="10" customWidth="1"/>
    <col min="2563" max="2563" width="2.375" style="10" customWidth="1"/>
    <col min="2564" max="2592" width="2.5" style="10" customWidth="1"/>
    <col min="2593" max="2593" width="1.625" style="10" customWidth="1"/>
    <col min="2594" max="2595" width="2.625" style="10" customWidth="1"/>
    <col min="2596" max="2596" width="3.875" style="10" customWidth="1"/>
    <col min="2597" max="2816" width="9" style="10" customWidth="1"/>
    <col min="2817" max="2818" width="2.5" style="10" customWidth="1"/>
    <col min="2819" max="2819" width="2.375" style="10" customWidth="1"/>
    <col min="2820" max="2848" width="2.5" style="10" customWidth="1"/>
    <col min="2849" max="2849" width="1.625" style="10" customWidth="1"/>
    <col min="2850" max="2851" width="2.625" style="10" customWidth="1"/>
    <col min="2852" max="2852" width="3.875" style="10" customWidth="1"/>
    <col min="2853" max="3072" width="9" style="10" customWidth="1"/>
    <col min="3073" max="3074" width="2.5" style="10" customWidth="1"/>
    <col min="3075" max="3075" width="2.375" style="10" customWidth="1"/>
    <col min="3076" max="3104" width="2.5" style="10" customWidth="1"/>
    <col min="3105" max="3105" width="1.625" style="10" customWidth="1"/>
    <col min="3106" max="3107" width="2.625" style="10" customWidth="1"/>
    <col min="3108" max="3108" width="3.875" style="10" customWidth="1"/>
    <col min="3109" max="3328" width="9" style="10" customWidth="1"/>
    <col min="3329" max="3330" width="2.5" style="10" customWidth="1"/>
    <col min="3331" max="3331" width="2.375" style="10" customWidth="1"/>
    <col min="3332" max="3360" width="2.5" style="10" customWidth="1"/>
    <col min="3361" max="3361" width="1.625" style="10" customWidth="1"/>
    <col min="3362" max="3363" width="2.625" style="10" customWidth="1"/>
    <col min="3364" max="3364" width="3.875" style="10" customWidth="1"/>
    <col min="3365" max="3584" width="9" style="10" customWidth="1"/>
    <col min="3585" max="3586" width="2.5" style="10" customWidth="1"/>
    <col min="3587" max="3587" width="2.375" style="10" customWidth="1"/>
    <col min="3588" max="3616" width="2.5" style="10" customWidth="1"/>
    <col min="3617" max="3617" width="1.625" style="10" customWidth="1"/>
    <col min="3618" max="3619" width="2.625" style="10" customWidth="1"/>
    <col min="3620" max="3620" width="3.875" style="10" customWidth="1"/>
    <col min="3621" max="3840" width="9" style="10" customWidth="1"/>
    <col min="3841" max="3842" width="2.5" style="10" customWidth="1"/>
    <col min="3843" max="3843" width="2.375" style="10" customWidth="1"/>
    <col min="3844" max="3872" width="2.5" style="10" customWidth="1"/>
    <col min="3873" max="3873" width="1.625" style="10" customWidth="1"/>
    <col min="3874" max="3875" width="2.625" style="10" customWidth="1"/>
    <col min="3876" max="3876" width="3.875" style="10" customWidth="1"/>
    <col min="3877" max="4096" width="9" style="10" customWidth="1"/>
    <col min="4097" max="4098" width="2.5" style="10" customWidth="1"/>
    <col min="4099" max="4099" width="2.375" style="10" customWidth="1"/>
    <col min="4100" max="4128" width="2.5" style="10" customWidth="1"/>
    <col min="4129" max="4129" width="1.625" style="10" customWidth="1"/>
    <col min="4130" max="4131" width="2.625" style="10" customWidth="1"/>
    <col min="4132" max="4132" width="3.875" style="10" customWidth="1"/>
    <col min="4133" max="4352" width="9" style="10" customWidth="1"/>
    <col min="4353" max="4354" width="2.5" style="10" customWidth="1"/>
    <col min="4355" max="4355" width="2.375" style="10" customWidth="1"/>
    <col min="4356" max="4384" width="2.5" style="10" customWidth="1"/>
    <col min="4385" max="4385" width="1.625" style="10" customWidth="1"/>
    <col min="4386" max="4387" width="2.625" style="10" customWidth="1"/>
    <col min="4388" max="4388" width="3.875" style="10" customWidth="1"/>
    <col min="4389" max="4608" width="9" style="10" customWidth="1"/>
    <col min="4609" max="4610" width="2.5" style="10" customWidth="1"/>
    <col min="4611" max="4611" width="2.375" style="10" customWidth="1"/>
    <col min="4612" max="4640" width="2.5" style="10" customWidth="1"/>
    <col min="4641" max="4641" width="1.625" style="10" customWidth="1"/>
    <col min="4642" max="4643" width="2.625" style="10" customWidth="1"/>
    <col min="4644" max="4644" width="3.875" style="10" customWidth="1"/>
    <col min="4645" max="4864" width="9" style="10" customWidth="1"/>
    <col min="4865" max="4866" width="2.5" style="10" customWidth="1"/>
    <col min="4867" max="4867" width="2.375" style="10" customWidth="1"/>
    <col min="4868" max="4896" width="2.5" style="10" customWidth="1"/>
    <col min="4897" max="4897" width="1.625" style="10" customWidth="1"/>
    <col min="4898" max="4899" width="2.625" style="10" customWidth="1"/>
    <col min="4900" max="4900" width="3.875" style="10" customWidth="1"/>
    <col min="4901" max="5120" width="9" style="10" customWidth="1"/>
    <col min="5121" max="5122" width="2.5" style="10" customWidth="1"/>
    <col min="5123" max="5123" width="2.375" style="10" customWidth="1"/>
    <col min="5124" max="5152" width="2.5" style="10" customWidth="1"/>
    <col min="5153" max="5153" width="1.625" style="10" customWidth="1"/>
    <col min="5154" max="5155" width="2.625" style="10" customWidth="1"/>
    <col min="5156" max="5156" width="3.875" style="10" customWidth="1"/>
    <col min="5157" max="5376" width="9" style="10" customWidth="1"/>
    <col min="5377" max="5378" width="2.5" style="10" customWidth="1"/>
    <col min="5379" max="5379" width="2.375" style="10" customWidth="1"/>
    <col min="5380" max="5408" width="2.5" style="10" customWidth="1"/>
    <col min="5409" max="5409" width="1.625" style="10" customWidth="1"/>
    <col min="5410" max="5411" width="2.625" style="10" customWidth="1"/>
    <col min="5412" max="5412" width="3.875" style="10" customWidth="1"/>
    <col min="5413" max="5632" width="9" style="10" customWidth="1"/>
    <col min="5633" max="5634" width="2.5" style="10" customWidth="1"/>
    <col min="5635" max="5635" width="2.375" style="10" customWidth="1"/>
    <col min="5636" max="5664" width="2.5" style="10" customWidth="1"/>
    <col min="5665" max="5665" width="1.625" style="10" customWidth="1"/>
    <col min="5666" max="5667" width="2.625" style="10" customWidth="1"/>
    <col min="5668" max="5668" width="3.875" style="10" customWidth="1"/>
    <col min="5669" max="5888" width="9" style="10" customWidth="1"/>
    <col min="5889" max="5890" width="2.5" style="10" customWidth="1"/>
    <col min="5891" max="5891" width="2.375" style="10" customWidth="1"/>
    <col min="5892" max="5920" width="2.5" style="10" customWidth="1"/>
    <col min="5921" max="5921" width="1.625" style="10" customWidth="1"/>
    <col min="5922" max="5923" width="2.625" style="10" customWidth="1"/>
    <col min="5924" max="5924" width="3.875" style="10" customWidth="1"/>
    <col min="5925" max="6144" width="9" style="10" customWidth="1"/>
    <col min="6145" max="6146" width="2.5" style="10" customWidth="1"/>
    <col min="6147" max="6147" width="2.375" style="10" customWidth="1"/>
    <col min="6148" max="6176" width="2.5" style="10" customWidth="1"/>
    <col min="6177" max="6177" width="1.625" style="10" customWidth="1"/>
    <col min="6178" max="6179" width="2.625" style="10" customWidth="1"/>
    <col min="6180" max="6180" width="3.875" style="10" customWidth="1"/>
    <col min="6181" max="6400" width="9" style="10" customWidth="1"/>
    <col min="6401" max="6402" width="2.5" style="10" customWidth="1"/>
    <col min="6403" max="6403" width="2.375" style="10" customWidth="1"/>
    <col min="6404" max="6432" width="2.5" style="10" customWidth="1"/>
    <col min="6433" max="6433" width="1.625" style="10" customWidth="1"/>
    <col min="6434" max="6435" width="2.625" style="10" customWidth="1"/>
    <col min="6436" max="6436" width="3.875" style="10" customWidth="1"/>
    <col min="6437" max="6656" width="9" style="10" customWidth="1"/>
    <col min="6657" max="6658" width="2.5" style="10" customWidth="1"/>
    <col min="6659" max="6659" width="2.375" style="10" customWidth="1"/>
    <col min="6660" max="6688" width="2.5" style="10" customWidth="1"/>
    <col min="6689" max="6689" width="1.625" style="10" customWidth="1"/>
    <col min="6690" max="6691" width="2.625" style="10" customWidth="1"/>
    <col min="6692" max="6692" width="3.875" style="10" customWidth="1"/>
    <col min="6693" max="6912" width="9" style="10" customWidth="1"/>
    <col min="6913" max="6914" width="2.5" style="10" customWidth="1"/>
    <col min="6915" max="6915" width="2.375" style="10" customWidth="1"/>
    <col min="6916" max="6944" width="2.5" style="10" customWidth="1"/>
    <col min="6945" max="6945" width="1.625" style="10" customWidth="1"/>
    <col min="6946" max="6947" width="2.625" style="10" customWidth="1"/>
    <col min="6948" max="6948" width="3.875" style="10" customWidth="1"/>
    <col min="6949" max="7168" width="9" style="10" customWidth="1"/>
    <col min="7169" max="7170" width="2.5" style="10" customWidth="1"/>
    <col min="7171" max="7171" width="2.375" style="10" customWidth="1"/>
    <col min="7172" max="7200" width="2.5" style="10" customWidth="1"/>
    <col min="7201" max="7201" width="1.625" style="10" customWidth="1"/>
    <col min="7202" max="7203" width="2.625" style="10" customWidth="1"/>
    <col min="7204" max="7204" width="3.875" style="10" customWidth="1"/>
    <col min="7205" max="7424" width="9" style="10" customWidth="1"/>
    <col min="7425" max="7426" width="2.5" style="10" customWidth="1"/>
    <col min="7427" max="7427" width="2.375" style="10" customWidth="1"/>
    <col min="7428" max="7456" width="2.5" style="10" customWidth="1"/>
    <col min="7457" max="7457" width="1.625" style="10" customWidth="1"/>
    <col min="7458" max="7459" width="2.625" style="10" customWidth="1"/>
    <col min="7460" max="7460" width="3.875" style="10" customWidth="1"/>
    <col min="7461" max="7680" width="9" style="10" customWidth="1"/>
    <col min="7681" max="7682" width="2.5" style="10" customWidth="1"/>
    <col min="7683" max="7683" width="2.375" style="10" customWidth="1"/>
    <col min="7684" max="7712" width="2.5" style="10" customWidth="1"/>
    <col min="7713" max="7713" width="1.625" style="10" customWidth="1"/>
    <col min="7714" max="7715" width="2.625" style="10" customWidth="1"/>
    <col min="7716" max="7716" width="3.875" style="10" customWidth="1"/>
    <col min="7717" max="7936" width="9" style="10" customWidth="1"/>
    <col min="7937" max="7938" width="2.5" style="10" customWidth="1"/>
    <col min="7939" max="7939" width="2.375" style="10" customWidth="1"/>
    <col min="7940" max="7968" width="2.5" style="10" customWidth="1"/>
    <col min="7969" max="7969" width="1.625" style="10" customWidth="1"/>
    <col min="7970" max="7971" width="2.625" style="10" customWidth="1"/>
    <col min="7972" max="7972" width="3.875" style="10" customWidth="1"/>
    <col min="7973" max="8192" width="9" style="10" customWidth="1"/>
    <col min="8193" max="8194" width="2.5" style="10" customWidth="1"/>
    <col min="8195" max="8195" width="2.375" style="10" customWidth="1"/>
    <col min="8196" max="8224" width="2.5" style="10" customWidth="1"/>
    <col min="8225" max="8225" width="1.625" style="10" customWidth="1"/>
    <col min="8226" max="8227" width="2.625" style="10" customWidth="1"/>
    <col min="8228" max="8228" width="3.875" style="10" customWidth="1"/>
    <col min="8229" max="8448" width="9" style="10" customWidth="1"/>
    <col min="8449" max="8450" width="2.5" style="10" customWidth="1"/>
    <col min="8451" max="8451" width="2.375" style="10" customWidth="1"/>
    <col min="8452" max="8480" width="2.5" style="10" customWidth="1"/>
    <col min="8481" max="8481" width="1.625" style="10" customWidth="1"/>
    <col min="8482" max="8483" width="2.625" style="10" customWidth="1"/>
    <col min="8484" max="8484" width="3.875" style="10" customWidth="1"/>
    <col min="8485" max="8704" width="9" style="10" customWidth="1"/>
    <col min="8705" max="8706" width="2.5" style="10" customWidth="1"/>
    <col min="8707" max="8707" width="2.375" style="10" customWidth="1"/>
    <col min="8708" max="8736" width="2.5" style="10" customWidth="1"/>
    <col min="8737" max="8737" width="1.625" style="10" customWidth="1"/>
    <col min="8738" max="8739" width="2.625" style="10" customWidth="1"/>
    <col min="8740" max="8740" width="3.875" style="10" customWidth="1"/>
    <col min="8741" max="8960" width="9" style="10" customWidth="1"/>
    <col min="8961" max="8962" width="2.5" style="10" customWidth="1"/>
    <col min="8963" max="8963" width="2.375" style="10" customWidth="1"/>
    <col min="8964" max="8992" width="2.5" style="10" customWidth="1"/>
    <col min="8993" max="8993" width="1.625" style="10" customWidth="1"/>
    <col min="8994" max="8995" width="2.625" style="10" customWidth="1"/>
    <col min="8996" max="8996" width="3.875" style="10" customWidth="1"/>
    <col min="8997" max="9216" width="9" style="10" customWidth="1"/>
    <col min="9217" max="9218" width="2.5" style="10" customWidth="1"/>
    <col min="9219" max="9219" width="2.375" style="10" customWidth="1"/>
    <col min="9220" max="9248" width="2.5" style="10" customWidth="1"/>
    <col min="9249" max="9249" width="1.625" style="10" customWidth="1"/>
    <col min="9250" max="9251" width="2.625" style="10" customWidth="1"/>
    <col min="9252" max="9252" width="3.875" style="10" customWidth="1"/>
    <col min="9253" max="9472" width="9" style="10" customWidth="1"/>
    <col min="9473" max="9474" width="2.5" style="10" customWidth="1"/>
    <col min="9475" max="9475" width="2.375" style="10" customWidth="1"/>
    <col min="9476" max="9504" width="2.5" style="10" customWidth="1"/>
    <col min="9505" max="9505" width="1.625" style="10" customWidth="1"/>
    <col min="9506" max="9507" width="2.625" style="10" customWidth="1"/>
    <col min="9508" max="9508" width="3.875" style="10" customWidth="1"/>
    <col min="9509" max="9728" width="9" style="10" customWidth="1"/>
    <col min="9729" max="9730" width="2.5" style="10" customWidth="1"/>
    <col min="9731" max="9731" width="2.375" style="10" customWidth="1"/>
    <col min="9732" max="9760" width="2.5" style="10" customWidth="1"/>
    <col min="9761" max="9761" width="1.625" style="10" customWidth="1"/>
    <col min="9762" max="9763" width="2.625" style="10" customWidth="1"/>
    <col min="9764" max="9764" width="3.875" style="10" customWidth="1"/>
    <col min="9765" max="9984" width="9" style="10" customWidth="1"/>
    <col min="9985" max="9986" width="2.5" style="10" customWidth="1"/>
    <col min="9987" max="9987" width="2.375" style="10" customWidth="1"/>
    <col min="9988" max="10016" width="2.5" style="10" customWidth="1"/>
    <col min="10017" max="10017" width="1.625" style="10" customWidth="1"/>
    <col min="10018" max="10019" width="2.625" style="10" customWidth="1"/>
    <col min="10020" max="10020" width="3.875" style="10" customWidth="1"/>
    <col min="10021" max="10240" width="9" style="10" customWidth="1"/>
    <col min="10241" max="10242" width="2.5" style="10" customWidth="1"/>
    <col min="10243" max="10243" width="2.375" style="10" customWidth="1"/>
    <col min="10244" max="10272" width="2.5" style="10" customWidth="1"/>
    <col min="10273" max="10273" width="1.625" style="10" customWidth="1"/>
    <col min="10274" max="10275" width="2.625" style="10" customWidth="1"/>
    <col min="10276" max="10276" width="3.875" style="10" customWidth="1"/>
    <col min="10277" max="10496" width="9" style="10" customWidth="1"/>
    <col min="10497" max="10498" width="2.5" style="10" customWidth="1"/>
    <col min="10499" max="10499" width="2.375" style="10" customWidth="1"/>
    <col min="10500" max="10528" width="2.5" style="10" customWidth="1"/>
    <col min="10529" max="10529" width="1.625" style="10" customWidth="1"/>
    <col min="10530" max="10531" width="2.625" style="10" customWidth="1"/>
    <col min="10532" max="10532" width="3.875" style="10" customWidth="1"/>
    <col min="10533" max="10752" width="9" style="10" customWidth="1"/>
    <col min="10753" max="10754" width="2.5" style="10" customWidth="1"/>
    <col min="10755" max="10755" width="2.375" style="10" customWidth="1"/>
    <col min="10756" max="10784" width="2.5" style="10" customWidth="1"/>
    <col min="10785" max="10785" width="1.625" style="10" customWidth="1"/>
    <col min="10786" max="10787" width="2.625" style="10" customWidth="1"/>
    <col min="10788" max="10788" width="3.875" style="10" customWidth="1"/>
    <col min="10789" max="11008" width="9" style="10" customWidth="1"/>
    <col min="11009" max="11010" width="2.5" style="10" customWidth="1"/>
    <col min="11011" max="11011" width="2.375" style="10" customWidth="1"/>
    <col min="11012" max="11040" width="2.5" style="10" customWidth="1"/>
    <col min="11041" max="11041" width="1.625" style="10" customWidth="1"/>
    <col min="11042" max="11043" width="2.625" style="10" customWidth="1"/>
    <col min="11044" max="11044" width="3.875" style="10" customWidth="1"/>
    <col min="11045" max="11264" width="9" style="10" customWidth="1"/>
    <col min="11265" max="11266" width="2.5" style="10" customWidth="1"/>
    <col min="11267" max="11267" width="2.375" style="10" customWidth="1"/>
    <col min="11268" max="11296" width="2.5" style="10" customWidth="1"/>
    <col min="11297" max="11297" width="1.625" style="10" customWidth="1"/>
    <col min="11298" max="11299" width="2.625" style="10" customWidth="1"/>
    <col min="11300" max="11300" width="3.875" style="10" customWidth="1"/>
    <col min="11301" max="11520" width="9" style="10" customWidth="1"/>
    <col min="11521" max="11522" width="2.5" style="10" customWidth="1"/>
    <col min="11523" max="11523" width="2.375" style="10" customWidth="1"/>
    <col min="11524" max="11552" width="2.5" style="10" customWidth="1"/>
    <col min="11553" max="11553" width="1.625" style="10" customWidth="1"/>
    <col min="11554" max="11555" width="2.625" style="10" customWidth="1"/>
    <col min="11556" max="11556" width="3.875" style="10" customWidth="1"/>
    <col min="11557" max="11776" width="9" style="10" customWidth="1"/>
    <col min="11777" max="11778" width="2.5" style="10" customWidth="1"/>
    <col min="11779" max="11779" width="2.375" style="10" customWidth="1"/>
    <col min="11780" max="11808" width="2.5" style="10" customWidth="1"/>
    <col min="11809" max="11809" width="1.625" style="10" customWidth="1"/>
    <col min="11810" max="11811" width="2.625" style="10" customWidth="1"/>
    <col min="11812" max="11812" width="3.875" style="10" customWidth="1"/>
    <col min="11813" max="12032" width="9" style="10" customWidth="1"/>
    <col min="12033" max="12034" width="2.5" style="10" customWidth="1"/>
    <col min="12035" max="12035" width="2.375" style="10" customWidth="1"/>
    <col min="12036" max="12064" width="2.5" style="10" customWidth="1"/>
    <col min="12065" max="12065" width="1.625" style="10" customWidth="1"/>
    <col min="12066" max="12067" width="2.625" style="10" customWidth="1"/>
    <col min="12068" max="12068" width="3.875" style="10" customWidth="1"/>
    <col min="12069" max="12288" width="9" style="10" customWidth="1"/>
    <col min="12289" max="12290" width="2.5" style="10" customWidth="1"/>
    <col min="12291" max="12291" width="2.375" style="10" customWidth="1"/>
    <col min="12292" max="12320" width="2.5" style="10" customWidth="1"/>
    <col min="12321" max="12321" width="1.625" style="10" customWidth="1"/>
    <col min="12322" max="12323" width="2.625" style="10" customWidth="1"/>
    <col min="12324" max="12324" width="3.875" style="10" customWidth="1"/>
    <col min="12325" max="12544" width="9" style="10" customWidth="1"/>
    <col min="12545" max="12546" width="2.5" style="10" customWidth="1"/>
    <col min="12547" max="12547" width="2.375" style="10" customWidth="1"/>
    <col min="12548" max="12576" width="2.5" style="10" customWidth="1"/>
    <col min="12577" max="12577" width="1.625" style="10" customWidth="1"/>
    <col min="12578" max="12579" width="2.625" style="10" customWidth="1"/>
    <col min="12580" max="12580" width="3.875" style="10" customWidth="1"/>
    <col min="12581" max="12800" width="9" style="10" customWidth="1"/>
    <col min="12801" max="12802" width="2.5" style="10" customWidth="1"/>
    <col min="12803" max="12803" width="2.375" style="10" customWidth="1"/>
    <col min="12804" max="12832" width="2.5" style="10" customWidth="1"/>
    <col min="12833" max="12833" width="1.625" style="10" customWidth="1"/>
    <col min="12834" max="12835" width="2.625" style="10" customWidth="1"/>
    <col min="12836" max="12836" width="3.875" style="10" customWidth="1"/>
    <col min="12837" max="13056" width="9" style="10" customWidth="1"/>
    <col min="13057" max="13058" width="2.5" style="10" customWidth="1"/>
    <col min="13059" max="13059" width="2.375" style="10" customWidth="1"/>
    <col min="13060" max="13088" width="2.5" style="10" customWidth="1"/>
    <col min="13089" max="13089" width="1.625" style="10" customWidth="1"/>
    <col min="13090" max="13091" width="2.625" style="10" customWidth="1"/>
    <col min="13092" max="13092" width="3.875" style="10" customWidth="1"/>
    <col min="13093" max="13312" width="9" style="10" customWidth="1"/>
    <col min="13313" max="13314" width="2.5" style="10" customWidth="1"/>
    <col min="13315" max="13315" width="2.375" style="10" customWidth="1"/>
    <col min="13316" max="13344" width="2.5" style="10" customWidth="1"/>
    <col min="13345" max="13345" width="1.625" style="10" customWidth="1"/>
    <col min="13346" max="13347" width="2.625" style="10" customWidth="1"/>
    <col min="13348" max="13348" width="3.875" style="10" customWidth="1"/>
    <col min="13349" max="13568" width="9" style="10" customWidth="1"/>
    <col min="13569" max="13570" width="2.5" style="10" customWidth="1"/>
    <col min="13571" max="13571" width="2.375" style="10" customWidth="1"/>
    <col min="13572" max="13600" width="2.5" style="10" customWidth="1"/>
    <col min="13601" max="13601" width="1.625" style="10" customWidth="1"/>
    <col min="13602" max="13603" width="2.625" style="10" customWidth="1"/>
    <col min="13604" max="13604" width="3.875" style="10" customWidth="1"/>
    <col min="13605" max="13824" width="9" style="10" customWidth="1"/>
    <col min="13825" max="13826" width="2.5" style="10" customWidth="1"/>
    <col min="13827" max="13827" width="2.375" style="10" customWidth="1"/>
    <col min="13828" max="13856" width="2.5" style="10" customWidth="1"/>
    <col min="13857" max="13857" width="1.625" style="10" customWidth="1"/>
    <col min="13858" max="13859" width="2.625" style="10" customWidth="1"/>
    <col min="13860" max="13860" width="3.875" style="10" customWidth="1"/>
    <col min="13861" max="14080" width="9" style="10" customWidth="1"/>
    <col min="14081" max="14082" width="2.5" style="10" customWidth="1"/>
    <col min="14083" max="14083" width="2.375" style="10" customWidth="1"/>
    <col min="14084" max="14112" width="2.5" style="10" customWidth="1"/>
    <col min="14113" max="14113" width="1.625" style="10" customWidth="1"/>
    <col min="14114" max="14115" width="2.625" style="10" customWidth="1"/>
    <col min="14116" max="14116" width="3.875" style="10" customWidth="1"/>
    <col min="14117" max="14336" width="9" style="10" customWidth="1"/>
    <col min="14337" max="14338" width="2.5" style="10" customWidth="1"/>
    <col min="14339" max="14339" width="2.375" style="10" customWidth="1"/>
    <col min="14340" max="14368" width="2.5" style="10" customWidth="1"/>
    <col min="14369" max="14369" width="1.625" style="10" customWidth="1"/>
    <col min="14370" max="14371" width="2.625" style="10" customWidth="1"/>
    <col min="14372" max="14372" width="3.875" style="10" customWidth="1"/>
    <col min="14373" max="14592" width="9" style="10" customWidth="1"/>
    <col min="14593" max="14594" width="2.5" style="10" customWidth="1"/>
    <col min="14595" max="14595" width="2.375" style="10" customWidth="1"/>
    <col min="14596" max="14624" width="2.5" style="10" customWidth="1"/>
    <col min="14625" max="14625" width="1.625" style="10" customWidth="1"/>
    <col min="14626" max="14627" width="2.625" style="10" customWidth="1"/>
    <col min="14628" max="14628" width="3.875" style="10" customWidth="1"/>
    <col min="14629" max="14848" width="9" style="10" customWidth="1"/>
    <col min="14849" max="14850" width="2.5" style="10" customWidth="1"/>
    <col min="14851" max="14851" width="2.375" style="10" customWidth="1"/>
    <col min="14852" max="14880" width="2.5" style="10" customWidth="1"/>
    <col min="14881" max="14881" width="1.625" style="10" customWidth="1"/>
    <col min="14882" max="14883" width="2.625" style="10" customWidth="1"/>
    <col min="14884" max="14884" width="3.875" style="10" customWidth="1"/>
    <col min="14885" max="15104" width="9" style="10" customWidth="1"/>
    <col min="15105" max="15106" width="2.5" style="10" customWidth="1"/>
    <col min="15107" max="15107" width="2.375" style="10" customWidth="1"/>
    <col min="15108" max="15136" width="2.5" style="10" customWidth="1"/>
    <col min="15137" max="15137" width="1.625" style="10" customWidth="1"/>
    <col min="15138" max="15139" width="2.625" style="10" customWidth="1"/>
    <col min="15140" max="15140" width="3.875" style="10" customWidth="1"/>
    <col min="15141" max="15360" width="9" style="10" customWidth="1"/>
    <col min="15361" max="15362" width="2.5" style="10" customWidth="1"/>
    <col min="15363" max="15363" width="2.375" style="10" customWidth="1"/>
    <col min="15364" max="15392" width="2.5" style="10" customWidth="1"/>
    <col min="15393" max="15393" width="1.625" style="10" customWidth="1"/>
    <col min="15394" max="15395" width="2.625" style="10" customWidth="1"/>
    <col min="15396" max="15396" width="3.875" style="10" customWidth="1"/>
    <col min="15397" max="15616" width="9" style="10" customWidth="1"/>
    <col min="15617" max="15618" width="2.5" style="10" customWidth="1"/>
    <col min="15619" max="15619" width="2.375" style="10" customWidth="1"/>
    <col min="15620" max="15648" width="2.5" style="10" customWidth="1"/>
    <col min="15649" max="15649" width="1.625" style="10" customWidth="1"/>
    <col min="15650" max="15651" width="2.625" style="10" customWidth="1"/>
    <col min="15652" max="15652" width="3.875" style="10" customWidth="1"/>
    <col min="15653" max="15872" width="9" style="10" customWidth="1"/>
    <col min="15873" max="15874" width="2.5" style="10" customWidth="1"/>
    <col min="15875" max="15875" width="2.375" style="10" customWidth="1"/>
    <col min="15876" max="15904" width="2.5" style="10" customWidth="1"/>
    <col min="15905" max="15905" width="1.625" style="10" customWidth="1"/>
    <col min="15906" max="15907" width="2.625" style="10" customWidth="1"/>
    <col min="15908" max="15908" width="3.875" style="10" customWidth="1"/>
    <col min="15909" max="16128" width="9" style="10" customWidth="1"/>
    <col min="16129" max="16130" width="2.5" style="10" customWidth="1"/>
    <col min="16131" max="16131" width="2.375" style="10" customWidth="1"/>
    <col min="16132" max="16160" width="2.5" style="10" customWidth="1"/>
    <col min="16161" max="16161" width="1.625" style="10" customWidth="1"/>
    <col min="16162" max="16163" width="2.625" style="10" customWidth="1"/>
    <col min="16164" max="16164" width="3.875" style="10" customWidth="1"/>
    <col min="16165" max="16384" width="9" style="10" customWidth="1"/>
  </cols>
  <sheetData>
    <row r="1" ht="27" customHeight="1" spans="1:36" x14ac:dyDescent="0.25">
      <c r="A1" s="409" t="s">
        <v>146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</row>
    <row r="2" ht="12" customHeight="1" spans="1:36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</row>
    <row r="3" ht="4.5" customHeight="1" spans="1:36" x14ac:dyDescent="0.25">
      <c r="A3" s="197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</row>
    <row r="4" ht="22.5" customHeight="1" spans="1:36" x14ac:dyDescent="0.25">
      <c r="A4" s="199" t="s">
        <v>147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</row>
    <row r="5" ht="6" customHeight="1" spans="1:36" x14ac:dyDescent="0.25">
      <c r="A5" s="474"/>
      <c r="B5" s="474"/>
      <c r="C5" s="474"/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  <c r="V5" s="474"/>
      <c r="W5" s="474"/>
      <c r="X5" s="474"/>
      <c r="Y5" s="474"/>
      <c r="Z5" s="474"/>
      <c r="AA5" s="474"/>
      <c r="AB5" s="474"/>
      <c r="AC5" s="474"/>
      <c r="AD5" s="474"/>
      <c r="AE5" s="474"/>
      <c r="AF5" s="474"/>
      <c r="AG5" s="474"/>
      <c r="AH5" s="474"/>
      <c r="AI5" s="474"/>
      <c r="AJ5" s="474"/>
    </row>
    <row r="6" ht="13.5" customHeight="1" spans="1:36" s="18" customFormat="1" x14ac:dyDescent="0.25">
      <c r="A6" s="276" t="s">
        <v>148</v>
      </c>
      <c r="B6" s="276"/>
      <c r="C6" s="276"/>
      <c r="D6" s="276" t="str">
        <f>'Final Work'!B4</f>
        <v>SAWASDEE RIGEL</v>
      </c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 t="s">
        <v>4</v>
      </c>
      <c r="P6" s="193"/>
      <c r="Q6" s="193"/>
      <c r="R6" s="124" t="str">
        <f>'Final Work'!G4</f>
        <v>2606N &amp; 2606N</v>
      </c>
      <c r="S6" s="124"/>
      <c r="T6" s="124"/>
      <c r="U6" s="124"/>
      <c r="V6" s="124"/>
      <c r="W6" s="124"/>
      <c r="X6" s="193"/>
      <c r="Y6" s="124" t="s">
        <v>5</v>
      </c>
      <c r="Z6" s="124"/>
      <c r="AA6" s="124"/>
      <c r="AB6" s="475">
        <f>'Final Work'!L4</f>
        <v>46214</v>
      </c>
      <c r="AC6" s="316"/>
      <c r="AD6" s="316"/>
      <c r="AE6" s="316"/>
      <c r="AF6" s="316"/>
      <c r="AG6" s="316"/>
      <c r="AH6" s="316"/>
      <c r="AI6" s="316"/>
      <c r="AJ6" s="316"/>
    </row>
    <row r="7" ht="6" customHeight="1" spans="1:36" s="18" customFormat="1" x14ac:dyDescent="0.25">
      <c r="A7" s="476"/>
      <c r="B7" s="476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</row>
    <row r="8" ht="13.5" customHeight="1" spans="1:36" s="18" customFormat="1" x14ac:dyDescent="0.25">
      <c r="A8" s="144" t="s">
        <v>149</v>
      </c>
      <c r="B8" s="144"/>
      <c r="C8" s="144"/>
      <c r="D8" s="477" t="s">
        <v>61</v>
      </c>
      <c r="E8" s="477"/>
      <c r="F8" s="477"/>
      <c r="G8" s="477"/>
      <c r="H8" s="477"/>
      <c r="I8" s="477"/>
      <c r="J8" s="144"/>
      <c r="K8" s="144"/>
      <c r="L8" s="193"/>
      <c r="M8" s="193"/>
      <c r="N8" s="193"/>
      <c r="O8" s="477" t="s">
        <v>7</v>
      </c>
      <c r="P8" s="144"/>
      <c r="Q8" s="144"/>
      <c r="R8" s="476">
        <f>'Final Work'!G6</f>
        <v>6</v>
      </c>
      <c r="S8" s="476"/>
      <c r="T8" s="476"/>
      <c r="U8" s="476"/>
      <c r="V8" s="476"/>
      <c r="W8" s="476"/>
      <c r="X8" s="144"/>
      <c r="Y8" s="476" t="s">
        <v>150</v>
      </c>
      <c r="Z8" s="476"/>
      <c r="AA8" s="476"/>
      <c r="AB8" s="476" t="s">
        <v>25</v>
      </c>
      <c r="AC8" s="476"/>
      <c r="AD8" s="476"/>
      <c r="AE8" s="476"/>
      <c r="AF8" s="476"/>
      <c r="AG8" s="476"/>
      <c r="AH8" s="476"/>
      <c r="AI8" s="476"/>
      <c r="AJ8" s="476"/>
    </row>
    <row r="9" ht="4.5" customHeight="1" spans="1:36" x14ac:dyDescent="0.25">
      <c r="A9" s="478"/>
      <c r="B9" s="478"/>
      <c r="C9" s="478"/>
      <c r="D9" s="478"/>
      <c r="E9" s="478"/>
      <c r="F9" s="478"/>
      <c r="G9" s="478"/>
      <c r="H9" s="478"/>
      <c r="I9" s="478"/>
      <c r="J9" s="478"/>
      <c r="K9" s="478"/>
      <c r="L9" s="478"/>
      <c r="M9" s="478"/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478"/>
      <c r="Y9" s="478"/>
      <c r="Z9" s="478"/>
      <c r="AA9" s="478"/>
      <c r="AB9" s="478"/>
      <c r="AC9" s="478"/>
      <c r="AD9" s="478"/>
      <c r="AE9" s="478"/>
      <c r="AF9" s="478"/>
      <c r="AG9" s="478"/>
      <c r="AH9" s="478"/>
      <c r="AI9" s="478"/>
      <c r="AJ9" s="478"/>
    </row>
    <row r="10" ht="17.1" customHeight="1" spans="1:36" s="193" customFormat="1" x14ac:dyDescent="0.25">
      <c r="A10" s="479" t="s">
        <v>151</v>
      </c>
      <c r="B10" s="480"/>
      <c r="C10" s="480"/>
      <c r="D10" s="480"/>
      <c r="E10" s="480"/>
      <c r="F10" s="480"/>
      <c r="G10" s="480"/>
      <c r="H10" s="481" t="s">
        <v>96</v>
      </c>
      <c r="I10" s="31"/>
      <c r="J10" s="31"/>
      <c r="K10" s="31"/>
      <c r="L10" s="31"/>
      <c r="M10" s="31"/>
      <c r="N10" s="31"/>
      <c r="O10" s="33"/>
      <c r="P10" s="481" t="s">
        <v>97</v>
      </c>
      <c r="Q10" s="31"/>
      <c r="R10" s="31"/>
      <c r="S10" s="31"/>
      <c r="T10" s="31"/>
      <c r="U10" s="31"/>
      <c r="V10" s="31"/>
      <c r="W10" s="33"/>
      <c r="X10" s="30" t="s">
        <v>99</v>
      </c>
      <c r="Y10" s="31"/>
      <c r="Z10" s="33"/>
      <c r="AA10" s="30" t="s">
        <v>49</v>
      </c>
      <c r="AB10" s="31"/>
      <c r="AC10" s="31"/>
      <c r="AD10" s="31"/>
      <c r="AE10" s="31"/>
      <c r="AF10" s="31"/>
      <c r="AG10" s="31"/>
      <c r="AH10" s="31"/>
      <c r="AI10" s="31"/>
      <c r="AJ10" s="33"/>
    </row>
    <row r="11" ht="17.1" customHeight="1" spans="1:36" s="193" customFormat="1" x14ac:dyDescent="0.25">
      <c r="A11" s="482" t="s">
        <v>152</v>
      </c>
      <c r="B11" s="483"/>
      <c r="C11" s="483"/>
      <c r="D11" s="483"/>
      <c r="E11" s="483"/>
      <c r="F11" s="483"/>
      <c r="G11" s="483"/>
      <c r="H11" s="40" t="s">
        <v>13</v>
      </c>
      <c r="I11" s="38"/>
      <c r="J11" s="38" t="s">
        <v>14</v>
      </c>
      <c r="K11" s="38"/>
      <c r="L11" s="38" t="s">
        <v>153</v>
      </c>
      <c r="M11" s="38"/>
      <c r="N11" s="38" t="s">
        <v>16</v>
      </c>
      <c r="O11" s="484"/>
      <c r="P11" s="40" t="s">
        <v>13</v>
      </c>
      <c r="Q11" s="38"/>
      <c r="R11" s="38" t="s">
        <v>14</v>
      </c>
      <c r="S11" s="38"/>
      <c r="T11" s="38" t="s">
        <v>153</v>
      </c>
      <c r="U11" s="38"/>
      <c r="V11" s="38" t="s">
        <v>16</v>
      </c>
      <c r="W11" s="484"/>
      <c r="X11" s="42"/>
      <c r="Y11" s="38"/>
      <c r="Z11" s="484"/>
      <c r="AA11" s="42"/>
      <c r="AB11" s="38"/>
      <c r="AC11" s="38"/>
      <c r="AD11" s="38"/>
      <c r="AE11" s="38"/>
      <c r="AF11" s="38"/>
      <c r="AG11" s="38"/>
      <c r="AH11" s="38"/>
      <c r="AI11" s="38"/>
      <c r="AJ11" s="484"/>
    </row>
    <row r="12" ht="17.1" customHeight="1" spans="1:36" s="193" customFormat="1" x14ac:dyDescent="0.25">
      <c r="A12" s="485" t="s">
        <v>154</v>
      </c>
      <c r="B12" s="486"/>
      <c r="C12" s="486"/>
      <c r="D12" s="282"/>
      <c r="E12" s="283"/>
      <c r="F12" s="283"/>
      <c r="G12" s="487"/>
      <c r="H12" s="488"/>
      <c r="I12" s="183"/>
      <c r="J12" s="111"/>
      <c r="K12" s="285"/>
      <c r="L12" s="489"/>
      <c r="M12" s="56"/>
      <c r="N12" s="489"/>
      <c r="O12" s="56"/>
      <c r="P12" s="488"/>
      <c r="Q12" s="183"/>
      <c r="R12" s="490"/>
      <c r="S12" s="284"/>
      <c r="T12" s="490"/>
      <c r="U12" s="284"/>
      <c r="V12" s="490"/>
      <c r="W12" s="487"/>
      <c r="X12" s="110">
        <f t="shared" ref="X12:X18" si="0">SUM(H12:W12)</f>
        <v>203</v>
      </c>
      <c r="Y12" s="111"/>
      <c r="Z12" s="491"/>
      <c r="AA12" s="492" t="s">
        <v>155</v>
      </c>
      <c r="AB12" s="493"/>
      <c r="AC12" s="493"/>
      <c r="AD12" s="493"/>
      <c r="AE12" s="493"/>
      <c r="AF12" s="493"/>
      <c r="AG12" s="493"/>
      <c r="AH12" s="493"/>
      <c r="AI12" s="493"/>
      <c r="AJ12" s="494"/>
    </row>
    <row r="13" ht="17.1" customHeight="1" spans="1:36" s="193" customFormat="1" x14ac:dyDescent="0.25">
      <c r="A13" s="495"/>
      <c r="B13" s="496"/>
      <c r="C13" s="496"/>
      <c r="D13" s="413"/>
      <c r="E13" s="290"/>
      <c r="F13" s="290"/>
      <c r="G13" s="497"/>
      <c r="H13" s="488"/>
      <c r="I13" s="183"/>
      <c r="J13" s="498"/>
      <c r="K13" s="313"/>
      <c r="L13" s="498"/>
      <c r="M13" s="313"/>
      <c r="N13" s="498"/>
      <c r="O13" s="313"/>
      <c r="P13" s="488"/>
      <c r="Q13" s="183"/>
      <c r="R13" s="499"/>
      <c r="S13" s="56"/>
      <c r="T13" s="499"/>
      <c r="U13" s="56"/>
      <c r="V13" s="499"/>
      <c r="W13" s="183"/>
      <c r="X13" s="500">
        <f t="shared" si="0"/>
        <v>130</v>
      </c>
      <c r="Y13" s="498"/>
      <c r="Z13" s="501"/>
      <c r="AA13" s="502" t="s">
        <v>156</v>
      </c>
      <c r="AB13" s="503"/>
      <c r="AC13" s="503"/>
      <c r="AD13" s="503"/>
      <c r="AE13" s="503"/>
      <c r="AF13" s="503"/>
      <c r="AG13" s="503"/>
      <c r="AH13" s="503"/>
      <c r="AI13" s="503"/>
      <c r="AJ13" s="504"/>
    </row>
    <row r="14" ht="17.1" customHeight="1" spans="1:36" s="193" customFormat="1" x14ac:dyDescent="0.25">
      <c r="A14" s="495"/>
      <c r="B14" s="496"/>
      <c r="C14" s="496"/>
      <c r="D14" s="413"/>
      <c r="E14" s="290"/>
      <c r="F14" s="290"/>
      <c r="G14" s="497"/>
      <c r="H14" s="488"/>
      <c r="I14" s="183"/>
      <c r="J14" s="499"/>
      <c r="K14" s="56"/>
      <c r="L14" s="489"/>
      <c r="M14" s="56"/>
      <c r="N14" s="489"/>
      <c r="O14" s="56"/>
      <c r="P14" s="488"/>
      <c r="Q14" s="183"/>
      <c r="R14" s="498"/>
      <c r="S14" s="313"/>
      <c r="T14" s="489"/>
      <c r="U14" s="56"/>
      <c r="V14" s="489"/>
      <c r="W14" s="183"/>
      <c r="X14" s="505">
        <f t="shared" si="0"/>
        <v>7</v>
      </c>
      <c r="Y14" s="506"/>
      <c r="Z14" s="507"/>
      <c r="AA14" s="502"/>
      <c r="AB14" s="503"/>
      <c r="AC14" s="503"/>
      <c r="AD14" s="503"/>
      <c r="AE14" s="503"/>
      <c r="AF14" s="503"/>
      <c r="AG14" s="503"/>
      <c r="AH14" s="503"/>
      <c r="AI14" s="503"/>
      <c r="AJ14" s="504"/>
    </row>
    <row r="15" ht="17.1" customHeight="1" spans="1:36" s="193" customFormat="1" x14ac:dyDescent="0.25">
      <c r="A15" s="495"/>
      <c r="B15" s="496"/>
      <c r="C15" s="496"/>
      <c r="D15" s="413"/>
      <c r="E15" s="290"/>
      <c r="F15" s="290"/>
      <c r="G15" s="497"/>
      <c r="H15" s="488"/>
      <c r="I15" s="183"/>
      <c r="J15" s="499"/>
      <c r="K15" s="56"/>
      <c r="L15" s="489"/>
      <c r="M15" s="56"/>
      <c r="N15" s="489"/>
      <c r="O15" s="56"/>
      <c r="P15" s="488"/>
      <c r="Q15" s="183"/>
      <c r="R15" s="498"/>
      <c r="S15" s="313"/>
      <c r="T15" s="489"/>
      <c r="U15" s="56"/>
      <c r="V15" s="489"/>
      <c r="W15" s="183"/>
      <c r="X15" s="505">
        <f t="shared" si="0"/>
        <v>0</v>
      </c>
      <c r="Y15" s="506"/>
      <c r="Z15" s="507"/>
      <c r="AA15" s="502"/>
      <c r="AB15" s="503"/>
      <c r="AC15" s="503"/>
      <c r="AD15" s="503"/>
      <c r="AE15" s="503"/>
      <c r="AF15" s="503"/>
      <c r="AG15" s="503"/>
      <c r="AH15" s="503"/>
      <c r="AI15" s="503"/>
      <c r="AJ15" s="504"/>
    </row>
    <row r="16" ht="17.1" customHeight="1" spans="1:36" s="193" customFormat="1" x14ac:dyDescent="0.25">
      <c r="A16" s="495"/>
      <c r="B16" s="496"/>
      <c r="C16" s="496"/>
      <c r="D16" s="413"/>
      <c r="E16" s="290"/>
      <c r="F16" s="290"/>
      <c r="G16" s="497"/>
      <c r="H16" s="505"/>
      <c r="I16" s="166"/>
      <c r="J16" s="508"/>
      <c r="K16" s="166"/>
      <c r="L16" s="508"/>
      <c r="M16" s="166"/>
      <c r="N16" s="508"/>
      <c r="O16" s="497"/>
      <c r="P16" s="505"/>
      <c r="Q16" s="166"/>
      <c r="R16" s="508"/>
      <c r="S16" s="166"/>
      <c r="T16" s="508"/>
      <c r="U16" s="166"/>
      <c r="V16" s="508"/>
      <c r="W16" s="497"/>
      <c r="X16" s="505">
        <f t="shared" si="0"/>
        <v>0</v>
      </c>
      <c r="Y16" s="506"/>
      <c r="Z16" s="507"/>
      <c r="AA16" s="502"/>
      <c r="AB16" s="503"/>
      <c r="AC16" s="503"/>
      <c r="AD16" s="503"/>
      <c r="AE16" s="503"/>
      <c r="AF16" s="503"/>
      <c r="AG16" s="503"/>
      <c r="AH16" s="503"/>
      <c r="AI16" s="503"/>
      <c r="AJ16" s="504"/>
    </row>
    <row r="17" ht="17.1" customHeight="1" spans="1:36" s="193" customFormat="1" x14ac:dyDescent="0.25">
      <c r="A17" s="495"/>
      <c r="B17" s="496"/>
      <c r="C17" s="496"/>
      <c r="D17" s="413"/>
      <c r="E17" s="290"/>
      <c r="F17" s="290"/>
      <c r="G17" s="497"/>
      <c r="H17" s="505"/>
      <c r="I17" s="166"/>
      <c r="J17" s="508"/>
      <c r="K17" s="166"/>
      <c r="L17" s="508"/>
      <c r="M17" s="166"/>
      <c r="N17" s="508"/>
      <c r="O17" s="497"/>
      <c r="P17" s="505"/>
      <c r="Q17" s="166"/>
      <c r="R17" s="508"/>
      <c r="S17" s="166"/>
      <c r="T17" s="508"/>
      <c r="U17" s="166"/>
      <c r="V17" s="508"/>
      <c r="W17" s="497"/>
      <c r="X17" s="505">
        <f>SUM(H17:W17)</f>
        <v>0</v>
      </c>
      <c r="Y17" s="506"/>
      <c r="Z17" s="507"/>
      <c r="AA17" s="502"/>
      <c r="AB17" s="503"/>
      <c r="AC17" s="503"/>
      <c r="AD17" s="503"/>
      <c r="AE17" s="503"/>
      <c r="AF17" s="503"/>
      <c r="AG17" s="503"/>
      <c r="AH17" s="503"/>
      <c r="AI17" s="503"/>
      <c r="AJ17" s="504"/>
    </row>
    <row r="18" ht="17.1" customHeight="1" spans="1:36" s="193" customFormat="1" x14ac:dyDescent="0.25">
      <c r="A18" s="495"/>
      <c r="B18" s="496"/>
      <c r="C18" s="496"/>
      <c r="D18" s="509"/>
      <c r="E18" s="39"/>
      <c r="F18" s="39"/>
      <c r="G18" s="41"/>
      <c r="H18" s="510"/>
      <c r="I18" s="509"/>
      <c r="J18" s="511"/>
      <c r="K18" s="38"/>
      <c r="L18" s="512"/>
      <c r="M18" s="38"/>
      <c r="N18" s="512"/>
      <c r="O18" s="38"/>
      <c r="P18" s="510"/>
      <c r="Q18" s="509"/>
      <c r="R18" s="511"/>
      <c r="S18" s="38"/>
      <c r="T18" s="512"/>
      <c r="U18" s="38"/>
      <c r="V18" s="512"/>
      <c r="W18" s="509"/>
      <c r="X18" s="513">
        <f t="shared" si="0"/>
        <v>0</v>
      </c>
      <c r="Y18" s="514"/>
      <c r="Z18" s="515"/>
      <c r="AA18" s="516"/>
      <c r="AB18" s="517"/>
      <c r="AC18" s="517"/>
      <c r="AD18" s="517"/>
      <c r="AE18" s="517"/>
      <c r="AF18" s="517"/>
      <c r="AG18" s="517"/>
      <c r="AH18" s="517"/>
      <c r="AI18" s="517"/>
      <c r="AJ18" s="518"/>
    </row>
    <row r="19" ht="17.1" customHeight="1" spans="1:36" s="193" customFormat="1" x14ac:dyDescent="0.25">
      <c r="A19" s="519"/>
      <c r="B19" s="520"/>
      <c r="C19" s="520"/>
      <c r="D19" s="521" t="s">
        <v>157</v>
      </c>
      <c r="E19" s="521"/>
      <c r="F19" s="521"/>
      <c r="G19" s="522"/>
      <c r="H19" s="523">
        <f t="shared" ref="H19" si="1">SUM(H12:I18)</f>
        <v>105</v>
      </c>
      <c r="I19" s="524"/>
      <c r="J19" s="525">
        <f t="shared" ref="J19" si="2">SUM(J12:K18)</f>
        <v>0</v>
      </c>
      <c r="K19" s="526"/>
      <c r="L19" s="525">
        <f t="shared" ref="L19" si="3">SUM(L12:M18)</f>
        <v>235</v>
      </c>
      <c r="M19" s="526"/>
      <c r="N19" s="525">
        <f t="shared" ref="N19" si="4">SUM(N12:O18)</f>
        <v>0</v>
      </c>
      <c r="O19" s="527"/>
      <c r="P19" s="523">
        <f t="shared" ref="P19" si="5">SUM(P12:Q18)</f>
        <v>0</v>
      </c>
      <c r="Q19" s="524"/>
      <c r="R19" s="524">
        <f t="shared" ref="R19" si="6">SUM(R12:S18)</f>
        <v>0</v>
      </c>
      <c r="S19" s="524"/>
      <c r="T19" s="524">
        <f t="shared" ref="T19" si="7">SUM(T12:U18)</f>
        <v>0</v>
      </c>
      <c r="U19" s="524"/>
      <c r="V19" s="524">
        <f t="shared" ref="V19" si="8">SUM(V12:W18)</f>
        <v>0</v>
      </c>
      <c r="W19" s="528"/>
      <c r="X19" s="529">
        <f>SUM(X12:Z18)</f>
        <v>340</v>
      </c>
      <c r="Y19" s="530"/>
      <c r="Z19" s="531"/>
      <c r="AA19" s="532"/>
      <c r="AB19" s="533"/>
      <c r="AC19" s="533"/>
      <c r="AD19" s="533"/>
      <c r="AE19" s="533"/>
      <c r="AF19" s="533"/>
      <c r="AG19" s="533"/>
      <c r="AH19" s="533"/>
      <c r="AI19" s="533"/>
      <c r="AJ19" s="534"/>
    </row>
    <row r="20" ht="17.1" customHeight="1" spans="1:36" s="193" customFormat="1" x14ac:dyDescent="0.25">
      <c r="A20" s="535" t="s">
        <v>158</v>
      </c>
      <c r="B20" s="536"/>
      <c r="C20" s="537"/>
      <c r="D20" s="183"/>
      <c r="E20" s="57"/>
      <c r="F20" s="57"/>
      <c r="G20" s="58"/>
      <c r="H20" s="488"/>
      <c r="I20" s="183"/>
      <c r="J20" s="499"/>
      <c r="K20" s="56"/>
      <c r="L20" s="499"/>
      <c r="M20" s="56"/>
      <c r="N20" s="499"/>
      <c r="O20" s="56"/>
      <c r="P20" s="488"/>
      <c r="Q20" s="183"/>
      <c r="R20" s="499"/>
      <c r="S20" s="56"/>
      <c r="T20" s="499"/>
      <c r="U20" s="56"/>
      <c r="V20" s="499"/>
      <c r="W20" s="183"/>
      <c r="X20" s="538">
        <f t="shared" ref="X20:X26" si="9">SUM(H20:W20)</f>
        <v>0</v>
      </c>
      <c r="Y20" s="539"/>
      <c r="Z20" s="540"/>
      <c r="AA20" s="541"/>
      <c r="AB20" s="542"/>
      <c r="AC20" s="542"/>
      <c r="AD20" s="542"/>
      <c r="AE20" s="542"/>
      <c r="AF20" s="542"/>
      <c r="AG20" s="542"/>
      <c r="AH20" s="542"/>
      <c r="AI20" s="542"/>
      <c r="AJ20" s="543"/>
    </row>
    <row r="21" ht="17.1" customHeight="1" spans="1:36" s="193" customFormat="1" x14ac:dyDescent="0.25">
      <c r="A21" s="495"/>
      <c r="B21" s="496"/>
      <c r="C21" s="544"/>
      <c r="D21" s="413"/>
      <c r="E21" s="290"/>
      <c r="F21" s="290"/>
      <c r="G21" s="497"/>
      <c r="H21" s="488"/>
      <c r="I21" s="183"/>
      <c r="J21" s="498"/>
      <c r="K21" s="313"/>
      <c r="L21" s="498"/>
      <c r="M21" s="313"/>
      <c r="N21" s="498"/>
      <c r="O21" s="313"/>
      <c r="P21" s="488"/>
      <c r="Q21" s="183"/>
      <c r="R21" s="499"/>
      <c r="S21" s="56"/>
      <c r="T21" s="499"/>
      <c r="U21" s="56"/>
      <c r="V21" s="499"/>
      <c r="W21" s="183"/>
      <c r="X21" s="500">
        <f t="shared" si="9"/>
        <v>375</v>
      </c>
      <c r="Y21" s="498"/>
      <c r="Z21" s="501"/>
      <c r="AA21" s="545"/>
      <c r="AB21" s="546"/>
      <c r="AC21" s="546"/>
      <c r="AD21" s="546"/>
      <c r="AE21" s="546"/>
      <c r="AF21" s="546"/>
      <c r="AG21" s="546"/>
      <c r="AH21" s="546"/>
      <c r="AI21" s="546"/>
      <c r="AJ21" s="547"/>
    </row>
    <row r="22" ht="17.1" customHeight="1" spans="1:36" s="193" customFormat="1" x14ac:dyDescent="0.25">
      <c r="A22" s="495"/>
      <c r="B22" s="496"/>
      <c r="C22" s="544"/>
      <c r="D22" s="184"/>
      <c r="E22" s="548"/>
      <c r="F22" s="548"/>
      <c r="G22" s="549"/>
      <c r="H22" s="513"/>
      <c r="I22" s="184"/>
      <c r="J22" s="514"/>
      <c r="K22" s="411"/>
      <c r="L22" s="514"/>
      <c r="M22" s="411"/>
      <c r="N22" s="514"/>
      <c r="O22" s="411"/>
      <c r="P22" s="513"/>
      <c r="Q22" s="184"/>
      <c r="R22" s="514"/>
      <c r="S22" s="411"/>
      <c r="T22" s="514"/>
      <c r="U22" s="411"/>
      <c r="V22" s="514"/>
      <c r="W22" s="184"/>
      <c r="X22" s="500">
        <f t="shared" si="9"/>
        <v>0</v>
      </c>
      <c r="Y22" s="498"/>
      <c r="Z22" s="501"/>
      <c r="AA22" s="550"/>
      <c r="AB22" s="551"/>
      <c r="AC22" s="551"/>
      <c r="AD22" s="551"/>
      <c r="AE22" s="551"/>
      <c r="AF22" s="551"/>
      <c r="AG22" s="551"/>
      <c r="AH22" s="551"/>
      <c r="AI22" s="551"/>
      <c r="AJ22" s="552"/>
    </row>
    <row r="23" ht="17.1" customHeight="1" spans="1:36" s="193" customFormat="1" x14ac:dyDescent="0.25">
      <c r="A23" s="495"/>
      <c r="B23" s="496"/>
      <c r="C23" s="544"/>
      <c r="D23" s="184"/>
      <c r="E23" s="548"/>
      <c r="F23" s="548"/>
      <c r="G23" s="549"/>
      <c r="H23" s="513"/>
      <c r="I23" s="184"/>
      <c r="J23" s="514"/>
      <c r="K23" s="411"/>
      <c r="L23" s="514"/>
      <c r="M23" s="411"/>
      <c r="N23" s="514"/>
      <c r="O23" s="411"/>
      <c r="P23" s="513"/>
      <c r="Q23" s="184"/>
      <c r="R23" s="514"/>
      <c r="S23" s="411"/>
      <c r="T23" s="514"/>
      <c r="U23" s="411"/>
      <c r="V23" s="514"/>
      <c r="W23" s="184"/>
      <c r="X23" s="500">
        <f t="shared" si="9"/>
        <v>0</v>
      </c>
      <c r="Y23" s="498"/>
      <c r="Z23" s="501"/>
      <c r="AA23" s="550"/>
      <c r="AB23" s="551"/>
      <c r="AC23" s="551"/>
      <c r="AD23" s="551"/>
      <c r="AE23" s="551"/>
      <c r="AF23" s="551"/>
      <c r="AG23" s="551"/>
      <c r="AH23" s="551"/>
      <c r="AI23" s="551"/>
      <c r="AJ23" s="552"/>
    </row>
    <row r="24" ht="17.1" customHeight="1" spans="1:36" s="193" customFormat="1" x14ac:dyDescent="0.25">
      <c r="A24" s="495"/>
      <c r="B24" s="496"/>
      <c r="C24" s="544"/>
      <c r="D24" s="184"/>
      <c r="E24" s="548"/>
      <c r="F24" s="548"/>
      <c r="G24" s="549"/>
      <c r="H24" s="513"/>
      <c r="I24" s="184"/>
      <c r="J24" s="514"/>
      <c r="K24" s="411"/>
      <c r="L24" s="514"/>
      <c r="M24" s="411"/>
      <c r="N24" s="514"/>
      <c r="O24" s="411"/>
      <c r="P24" s="513"/>
      <c r="Q24" s="184"/>
      <c r="R24" s="514"/>
      <c r="S24" s="411"/>
      <c r="T24" s="514"/>
      <c r="U24" s="411"/>
      <c r="V24" s="514"/>
      <c r="W24" s="184"/>
      <c r="X24" s="500">
        <f t="shared" si="9"/>
        <v>0</v>
      </c>
      <c r="Y24" s="498"/>
      <c r="Z24" s="501"/>
      <c r="AA24" s="550"/>
      <c r="AB24" s="551"/>
      <c r="AC24" s="551"/>
      <c r="AD24" s="551"/>
      <c r="AE24" s="551"/>
      <c r="AF24" s="551"/>
      <c r="AG24" s="551"/>
      <c r="AH24" s="551"/>
      <c r="AI24" s="551"/>
      <c r="AJ24" s="552"/>
    </row>
    <row r="25" ht="17.1" customHeight="1" spans="1:36" s="193" customFormat="1" x14ac:dyDescent="0.25">
      <c r="A25" s="495"/>
      <c r="B25" s="496"/>
      <c r="C25" s="544"/>
      <c r="D25" s="184"/>
      <c r="E25" s="548"/>
      <c r="F25" s="548"/>
      <c r="G25" s="549"/>
      <c r="H25" s="513"/>
      <c r="I25" s="184"/>
      <c r="J25" s="514"/>
      <c r="K25" s="411"/>
      <c r="L25" s="514"/>
      <c r="M25" s="411"/>
      <c r="N25" s="514"/>
      <c r="O25" s="411"/>
      <c r="P25" s="513"/>
      <c r="Q25" s="184"/>
      <c r="R25" s="514"/>
      <c r="S25" s="411"/>
      <c r="T25" s="514"/>
      <c r="U25" s="411"/>
      <c r="V25" s="514"/>
      <c r="W25" s="184"/>
      <c r="X25" s="500">
        <f t="shared" si="9"/>
        <v>0</v>
      </c>
      <c r="Y25" s="498"/>
      <c r="Z25" s="501"/>
      <c r="AA25" s="550"/>
      <c r="AB25" s="551"/>
      <c r="AC25" s="551"/>
      <c r="AD25" s="551"/>
      <c r="AE25" s="551"/>
      <c r="AF25" s="551"/>
      <c r="AG25" s="551"/>
      <c r="AH25" s="551"/>
      <c r="AI25" s="551"/>
      <c r="AJ25" s="552"/>
    </row>
    <row r="26" ht="17.1" customHeight="1" spans="1:36" s="193" customFormat="1" x14ac:dyDescent="0.25">
      <c r="A26" s="495"/>
      <c r="B26" s="496"/>
      <c r="C26" s="544"/>
      <c r="D26" s="177"/>
      <c r="E26" s="548"/>
      <c r="F26" s="548"/>
      <c r="G26" s="549"/>
      <c r="H26" s="513"/>
      <c r="I26" s="184"/>
      <c r="J26" s="514"/>
      <c r="K26" s="411"/>
      <c r="L26" s="514"/>
      <c r="M26" s="411"/>
      <c r="N26" s="514"/>
      <c r="O26" s="411"/>
      <c r="P26" s="513"/>
      <c r="Q26" s="184"/>
      <c r="R26" s="514"/>
      <c r="S26" s="411"/>
      <c r="T26" s="514"/>
      <c r="U26" s="411"/>
      <c r="V26" s="514"/>
      <c r="W26" s="184"/>
      <c r="X26" s="513">
        <f t="shared" si="9"/>
        <v>0</v>
      </c>
      <c r="Y26" s="514"/>
      <c r="Z26" s="515"/>
      <c r="AA26" s="553"/>
      <c r="AB26" s="554"/>
      <c r="AC26" s="554"/>
      <c r="AD26" s="554"/>
      <c r="AE26" s="554"/>
      <c r="AF26" s="554"/>
      <c r="AG26" s="554"/>
      <c r="AH26" s="554"/>
      <c r="AI26" s="554"/>
      <c r="AJ26" s="555"/>
    </row>
    <row r="27" ht="17.1" customHeight="1" spans="1:36" s="193" customFormat="1" x14ac:dyDescent="0.25">
      <c r="A27" s="519"/>
      <c r="B27" s="520"/>
      <c r="C27" s="556"/>
      <c r="D27" s="557" t="s">
        <v>157</v>
      </c>
      <c r="E27" s="557"/>
      <c r="F27" s="557"/>
      <c r="G27" s="558"/>
      <c r="H27" s="529">
        <f>SUM(H20:I26)</f>
        <v>0</v>
      </c>
      <c r="I27" s="530"/>
      <c r="J27" s="525">
        <f>SUM(J20:K26)</f>
        <v>0</v>
      </c>
      <c r="K27" s="526"/>
      <c r="L27" s="525">
        <f>SUM(L20:M26)</f>
        <v>0</v>
      </c>
      <c r="M27" s="526"/>
      <c r="N27" s="525">
        <f>SUM(N20:O26)</f>
        <v>0</v>
      </c>
      <c r="O27" s="527"/>
      <c r="P27" s="529">
        <f>SUM(P20:Q26)</f>
        <v>8</v>
      </c>
      <c r="Q27" s="530"/>
      <c r="R27" s="530">
        <f>SUM(R20:S26)</f>
        <v>0</v>
      </c>
      <c r="S27" s="530"/>
      <c r="T27" s="530">
        <f>SUM(T20:U26)</f>
        <v>367</v>
      </c>
      <c r="U27" s="530"/>
      <c r="V27" s="530">
        <f>SUM(V20:W26)</f>
        <v>0</v>
      </c>
      <c r="W27" s="531"/>
      <c r="X27" s="529">
        <f>SUM(X20:Z26)</f>
        <v>375</v>
      </c>
      <c r="Y27" s="530"/>
      <c r="Z27" s="531"/>
      <c r="AA27" s="559"/>
      <c r="AB27" s="560"/>
      <c r="AC27" s="560"/>
      <c r="AD27" s="560"/>
      <c r="AE27" s="560"/>
      <c r="AF27" s="560"/>
      <c r="AG27" s="560"/>
      <c r="AH27" s="560"/>
      <c r="AI27" s="560"/>
      <c r="AJ27" s="561"/>
    </row>
    <row r="28" ht="17.1" customHeight="1" spans="1:36" s="193" customFormat="1" x14ac:dyDescent="0.25">
      <c r="A28" s="55" t="s">
        <v>159</v>
      </c>
      <c r="B28" s="56"/>
      <c r="C28" s="56"/>
      <c r="D28" s="56" t="s">
        <v>160</v>
      </c>
      <c r="E28" s="56"/>
      <c r="F28" s="56"/>
      <c r="G28" s="183"/>
      <c r="H28" s="488"/>
      <c r="I28" s="499"/>
      <c r="J28" s="562"/>
      <c r="K28" s="563"/>
      <c r="L28" s="562"/>
      <c r="M28" s="563"/>
      <c r="N28" s="562"/>
      <c r="O28" s="564"/>
      <c r="P28" s="488"/>
      <c r="Q28" s="499"/>
      <c r="R28" s="499"/>
      <c r="S28" s="499"/>
      <c r="T28" s="499"/>
      <c r="U28" s="499"/>
      <c r="V28" s="499"/>
      <c r="W28" s="565"/>
      <c r="X28" s="489"/>
      <c r="Y28" s="499"/>
      <c r="Z28" s="565"/>
      <c r="AA28" s="566"/>
      <c r="AB28" s="567"/>
      <c r="AC28" s="567"/>
      <c r="AD28" s="567"/>
      <c r="AE28" s="567"/>
      <c r="AF28" s="567"/>
      <c r="AG28" s="567"/>
      <c r="AH28" s="567"/>
      <c r="AI28" s="567"/>
      <c r="AJ28" s="568"/>
    </row>
    <row r="29" ht="17.1" customHeight="1" spans="1:36" s="193" customFormat="1" x14ac:dyDescent="0.25">
      <c r="A29" s="40"/>
      <c r="B29" s="38"/>
      <c r="C29" s="38"/>
      <c r="D29" s="38" t="s">
        <v>160</v>
      </c>
      <c r="E29" s="38"/>
      <c r="F29" s="38"/>
      <c r="G29" s="509"/>
      <c r="H29" s="510"/>
      <c r="I29" s="511"/>
      <c r="J29" s="511"/>
      <c r="K29" s="511"/>
      <c r="L29" s="511"/>
      <c r="M29" s="511"/>
      <c r="N29" s="511"/>
      <c r="O29" s="569"/>
      <c r="P29" s="510"/>
      <c r="Q29" s="511"/>
      <c r="R29" s="511"/>
      <c r="S29" s="511"/>
      <c r="T29" s="511"/>
      <c r="U29" s="511"/>
      <c r="V29" s="511"/>
      <c r="W29" s="569"/>
      <c r="X29" s="512"/>
      <c r="Y29" s="511"/>
      <c r="Z29" s="569"/>
      <c r="AA29" s="570"/>
      <c r="AB29" s="571"/>
      <c r="AC29" s="571"/>
      <c r="AD29" s="571"/>
      <c r="AE29" s="571"/>
      <c r="AF29" s="571"/>
      <c r="AG29" s="571"/>
      <c r="AH29" s="571"/>
      <c r="AI29" s="571"/>
      <c r="AJ29" s="572"/>
    </row>
    <row r="30" ht="17.1" customHeight="1" spans="1:36" s="193" customFormat="1" x14ac:dyDescent="0.25">
      <c r="A30" s="573" t="s">
        <v>161</v>
      </c>
      <c r="B30" s="521"/>
      <c r="C30" s="521"/>
      <c r="D30" s="521"/>
      <c r="E30" s="521"/>
      <c r="F30" s="521"/>
      <c r="G30" s="574"/>
      <c r="H30" s="523">
        <f>SUM(H19+H27+H28+H29)</f>
        <v>105</v>
      </c>
      <c r="I30" s="524"/>
      <c r="J30" s="524">
        <f>SUM(J19+J27+J28+J29)</f>
        <v>0</v>
      </c>
      <c r="K30" s="524"/>
      <c r="L30" s="524">
        <f>SUM(L19+L27+L28+L29)</f>
        <v>235</v>
      </c>
      <c r="M30" s="524"/>
      <c r="N30" s="524">
        <f>SUM(N19+N27+N28+N29)</f>
        <v>0</v>
      </c>
      <c r="O30" s="528"/>
      <c r="P30" s="523">
        <f>SUM(P19+P27+P28+P29)</f>
        <v>8</v>
      </c>
      <c r="Q30" s="524"/>
      <c r="R30" s="524">
        <f>SUM(R19+R27+R28+R29)</f>
        <v>0</v>
      </c>
      <c r="S30" s="524"/>
      <c r="T30" s="524">
        <f>SUM(T19+T27+T28+T29)</f>
        <v>367</v>
      </c>
      <c r="U30" s="524"/>
      <c r="V30" s="524">
        <f>SUM(V19+V27+V28+V29)</f>
        <v>0</v>
      </c>
      <c r="W30" s="528"/>
      <c r="X30" s="575">
        <f>SUM(X19+X27+X28+X29)</f>
        <v>715</v>
      </c>
      <c r="Y30" s="524"/>
      <c r="Z30" s="528"/>
      <c r="AA30" s="576"/>
      <c r="AB30" s="577"/>
      <c r="AC30" s="577"/>
      <c r="AD30" s="577"/>
      <c r="AE30" s="577"/>
      <c r="AF30" s="577"/>
      <c r="AG30" s="577"/>
      <c r="AH30" s="577"/>
      <c r="AI30" s="577"/>
      <c r="AJ30" s="578"/>
    </row>
    <row r="31" ht="8.25" customHeight="1" spans="1:2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25">
      <c r="A32" s="579" t="s">
        <v>162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3.75" customHeight="1" spans="1:2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21" customHeight="1" spans="1:36" x14ac:dyDescent="0.25">
      <c r="A34" s="580" t="s">
        <v>163</v>
      </c>
      <c r="B34" s="581"/>
      <c r="C34" s="581"/>
      <c r="D34" s="582"/>
      <c r="E34" s="583" t="s">
        <v>164</v>
      </c>
      <c r="F34" s="584"/>
      <c r="G34" s="584"/>
      <c r="H34" s="584"/>
      <c r="I34" s="584"/>
      <c r="J34" s="584"/>
      <c r="K34" s="584" t="s">
        <v>165</v>
      </c>
      <c r="L34" s="584"/>
      <c r="M34" s="584"/>
      <c r="N34" s="584"/>
      <c r="O34" s="584"/>
      <c r="P34" s="585"/>
      <c r="Q34" s="583" t="s">
        <v>166</v>
      </c>
      <c r="R34" s="584"/>
      <c r="S34" s="584"/>
      <c r="T34" s="584"/>
      <c r="U34" s="584"/>
      <c r="V34" s="585"/>
      <c r="W34" s="583" t="s">
        <v>49</v>
      </c>
      <c r="X34" s="584"/>
      <c r="Y34" s="584"/>
      <c r="Z34" s="584"/>
      <c r="AA34" s="584"/>
      <c r="AB34" s="584"/>
      <c r="AC34" s="584"/>
      <c r="AD34" s="584"/>
      <c r="AE34" s="584"/>
      <c r="AF34" s="584"/>
      <c r="AG34" s="584"/>
      <c r="AH34" s="584"/>
      <c r="AI34" s="584"/>
      <c r="AJ34" s="585"/>
    </row>
    <row r="35" ht="15.75" customHeight="1" hidden="1" spans="1:37" s="586" customFormat="1" x14ac:dyDescent="0.25">
      <c r="A35" s="587" t="s">
        <v>167</v>
      </c>
      <c r="B35" s="588"/>
      <c r="C35" s="588"/>
      <c r="D35" s="589"/>
      <c r="E35" s="590"/>
      <c r="F35" s="591"/>
      <c r="G35" s="591"/>
      <c r="H35" s="591"/>
      <c r="I35" s="591"/>
      <c r="J35" s="592"/>
      <c r="K35" s="593"/>
      <c r="L35" s="591"/>
      <c r="M35" s="591"/>
      <c r="N35" s="591"/>
      <c r="O35" s="591"/>
      <c r="P35" s="594"/>
      <c r="Q35" s="595">
        <f t="shared" ref="Q35:Q36" si="10">IF(AND(NOT(ISBLANK(K35)),NOT(ISBLANK(E35))), IF(K35&gt;E35,K35-E35,24-E35+K35), "")</f>
      </c>
      <c r="R35" s="596"/>
      <c r="S35" s="596"/>
      <c r="T35" s="596"/>
      <c r="U35" s="596"/>
      <c r="V35" s="597"/>
      <c r="W35" s="598" t="s">
        <v>168</v>
      </c>
      <c r="X35" s="599"/>
      <c r="Y35" s="599"/>
      <c r="Z35" s="599"/>
      <c r="AA35" s="599"/>
      <c r="AB35" s="599"/>
      <c r="AC35" s="599"/>
      <c r="AD35" s="599"/>
      <c r="AE35" s="599"/>
      <c r="AF35" s="599"/>
      <c r="AG35" s="599"/>
      <c r="AH35" s="599"/>
      <c r="AI35" s="599"/>
      <c r="AJ35" s="600"/>
      <c r="AK35" s="601"/>
    </row>
    <row r="36" ht="15.75" customHeight="1" hidden="1" spans="1:37" s="586" customFormat="1" x14ac:dyDescent="0.25">
      <c r="A36" s="602"/>
      <c r="B36" s="603"/>
      <c r="C36" s="603"/>
      <c r="D36" s="604"/>
      <c r="E36" s="605"/>
      <c r="F36" s="606"/>
      <c r="G36" s="606"/>
      <c r="H36" s="606"/>
      <c r="I36" s="606"/>
      <c r="J36" s="607"/>
      <c r="K36" s="608"/>
      <c r="L36" s="606"/>
      <c r="M36" s="606"/>
      <c r="N36" s="606"/>
      <c r="O36" s="606"/>
      <c r="P36" s="609"/>
      <c r="Q36" s="610">
        <f t="shared" si="10"/>
      </c>
      <c r="R36" s="611"/>
      <c r="S36" s="611"/>
      <c r="T36" s="611"/>
      <c r="U36" s="611"/>
      <c r="V36" s="612"/>
      <c r="W36" s="613" t="s">
        <v>169</v>
      </c>
      <c r="X36" s="614"/>
      <c r="Y36" s="614"/>
      <c r="Z36" s="614"/>
      <c r="AA36" s="614"/>
      <c r="AB36" s="614"/>
      <c r="AC36" s="614"/>
      <c r="AD36" s="614"/>
      <c r="AE36" s="614"/>
      <c r="AF36" s="614"/>
      <c r="AG36" s="614"/>
      <c r="AH36" s="614"/>
      <c r="AI36" s="614"/>
      <c r="AJ36" s="615"/>
      <c r="AK36" s="601"/>
    </row>
    <row r="37" ht="15.75" customHeight="1" hidden="1" spans="1:37" s="586" customFormat="1" x14ac:dyDescent="0.25">
      <c r="A37" s="616"/>
      <c r="B37" s="617"/>
      <c r="C37" s="617"/>
      <c r="D37" s="618"/>
      <c r="E37" s="605"/>
      <c r="F37" s="606"/>
      <c r="G37" s="606"/>
      <c r="H37" s="606"/>
      <c r="I37" s="606"/>
      <c r="J37" s="607"/>
      <c r="K37" s="608"/>
      <c r="L37" s="606"/>
      <c r="M37" s="606"/>
      <c r="N37" s="606"/>
      <c r="O37" s="606"/>
      <c r="P37" s="609"/>
      <c r="Q37" s="610">
        <f t="shared" ref="Q37:Q48" si="11">IF(AND(NOT(ISBLANK(K37)),NOT(ISBLANK(E37))), IF(K37&gt;E37,K37-E37,24-E37+K37), "")</f>
      </c>
      <c r="R37" s="611"/>
      <c r="S37" s="611"/>
      <c r="T37" s="611"/>
      <c r="U37" s="611"/>
      <c r="V37" s="612"/>
      <c r="W37" s="613" t="s">
        <v>170</v>
      </c>
      <c r="X37" s="614"/>
      <c r="Y37" s="614"/>
      <c r="Z37" s="614"/>
      <c r="AA37" s="614"/>
      <c r="AB37" s="614"/>
      <c r="AC37" s="614"/>
      <c r="AD37" s="614"/>
      <c r="AE37" s="614"/>
      <c r="AF37" s="614"/>
      <c r="AG37" s="614"/>
      <c r="AH37" s="614"/>
      <c r="AI37" s="614"/>
      <c r="AJ37" s="615"/>
      <c r="AK37" s="601"/>
    </row>
    <row r="38" ht="15.75" customHeight="1" hidden="1" spans="1:37" s="586" customFormat="1" x14ac:dyDescent="0.25">
      <c r="A38" s="616"/>
      <c r="B38" s="617"/>
      <c r="C38" s="617"/>
      <c r="D38" s="618"/>
      <c r="E38" s="590"/>
      <c r="F38" s="591"/>
      <c r="G38" s="591"/>
      <c r="H38" s="591"/>
      <c r="I38" s="591"/>
      <c r="J38" s="592"/>
      <c r="K38" s="608"/>
      <c r="L38" s="606"/>
      <c r="M38" s="606"/>
      <c r="N38" s="606"/>
      <c r="O38" s="606"/>
      <c r="P38" s="609"/>
      <c r="Q38" s="610">
        <f t="shared" si="11"/>
      </c>
      <c r="R38" s="611"/>
      <c r="S38" s="611"/>
      <c r="T38" s="611"/>
      <c r="U38" s="611"/>
      <c r="V38" s="612"/>
      <c r="W38" s="613" t="s">
        <v>169</v>
      </c>
      <c r="X38" s="614"/>
      <c r="Y38" s="614"/>
      <c r="Z38" s="614"/>
      <c r="AA38" s="614"/>
      <c r="AB38" s="614"/>
      <c r="AC38" s="614"/>
      <c r="AD38" s="614"/>
      <c r="AE38" s="614"/>
      <c r="AF38" s="614"/>
      <c r="AG38" s="614"/>
      <c r="AH38" s="614"/>
      <c r="AI38" s="614"/>
      <c r="AJ38" s="615"/>
      <c r="AK38" s="601"/>
    </row>
    <row r="39" ht="15.75" customHeight="1" hidden="1" spans="1:37" s="586" customFormat="1" x14ac:dyDescent="0.25">
      <c r="A39" s="616"/>
      <c r="B39" s="617"/>
      <c r="C39" s="617"/>
      <c r="D39" s="618"/>
      <c r="E39" s="605"/>
      <c r="F39" s="606"/>
      <c r="G39" s="606"/>
      <c r="H39" s="606"/>
      <c r="I39" s="606"/>
      <c r="J39" s="607"/>
      <c r="K39" s="608"/>
      <c r="L39" s="606"/>
      <c r="M39" s="606"/>
      <c r="N39" s="606"/>
      <c r="O39" s="606"/>
      <c r="P39" s="609"/>
      <c r="Q39" s="610">
        <f t="shared" si="11"/>
      </c>
      <c r="R39" s="611"/>
      <c r="S39" s="611"/>
      <c r="T39" s="611"/>
      <c r="U39" s="611"/>
      <c r="V39" s="612"/>
      <c r="W39" s="613" t="s">
        <v>170</v>
      </c>
      <c r="X39" s="614"/>
      <c r="Y39" s="614"/>
      <c r="Z39" s="614"/>
      <c r="AA39" s="614"/>
      <c r="AB39" s="614"/>
      <c r="AC39" s="614"/>
      <c r="AD39" s="614"/>
      <c r="AE39" s="614"/>
      <c r="AF39" s="614"/>
      <c r="AG39" s="614"/>
      <c r="AH39" s="614"/>
      <c r="AI39" s="614"/>
      <c r="AJ39" s="615"/>
      <c r="AK39" s="601"/>
    </row>
    <row r="40" ht="15.75" customHeight="1" hidden="1" spans="1:37" s="586" customFormat="1" x14ac:dyDescent="0.25">
      <c r="A40" s="616"/>
      <c r="B40" s="617"/>
      <c r="C40" s="617"/>
      <c r="D40" s="618"/>
      <c r="E40" s="605"/>
      <c r="F40" s="606"/>
      <c r="G40" s="606"/>
      <c r="H40" s="606"/>
      <c r="I40" s="606"/>
      <c r="J40" s="607"/>
      <c r="K40" s="606"/>
      <c r="L40" s="606"/>
      <c r="M40" s="606"/>
      <c r="N40" s="606"/>
      <c r="O40" s="606"/>
      <c r="P40" s="609"/>
      <c r="Q40" s="610">
        <f t="shared" si="11"/>
      </c>
      <c r="R40" s="611"/>
      <c r="S40" s="611"/>
      <c r="T40" s="611"/>
      <c r="U40" s="611"/>
      <c r="V40" s="612"/>
      <c r="W40" s="613" t="s">
        <v>169</v>
      </c>
      <c r="X40" s="614"/>
      <c r="Y40" s="614"/>
      <c r="Z40" s="614"/>
      <c r="AA40" s="614"/>
      <c r="AB40" s="614"/>
      <c r="AC40" s="614"/>
      <c r="AD40" s="614"/>
      <c r="AE40" s="614"/>
      <c r="AF40" s="614"/>
      <c r="AG40" s="614"/>
      <c r="AH40" s="614"/>
      <c r="AI40" s="614"/>
      <c r="AJ40" s="615"/>
      <c r="AK40" s="601"/>
    </row>
    <row r="41" ht="15.75" customHeight="1" hidden="1" spans="1:37" s="586" customFormat="1" x14ac:dyDescent="0.25">
      <c r="A41" s="602"/>
      <c r="B41" s="603"/>
      <c r="C41" s="603"/>
      <c r="D41" s="604"/>
      <c r="E41" s="605"/>
      <c r="F41" s="606"/>
      <c r="G41" s="606"/>
      <c r="H41" s="606"/>
      <c r="I41" s="606"/>
      <c r="J41" s="607"/>
      <c r="K41" s="608"/>
      <c r="L41" s="606"/>
      <c r="M41" s="606"/>
      <c r="N41" s="606"/>
      <c r="O41" s="606"/>
      <c r="P41" s="609"/>
      <c r="Q41" s="610">
        <f t="shared" si="11"/>
      </c>
      <c r="R41" s="611"/>
      <c r="S41" s="611"/>
      <c r="T41" s="611"/>
      <c r="U41" s="611"/>
      <c r="V41" s="612"/>
      <c r="W41" s="613" t="s">
        <v>171</v>
      </c>
      <c r="X41" s="614"/>
      <c r="Y41" s="614"/>
      <c r="Z41" s="614"/>
      <c r="AA41" s="614"/>
      <c r="AB41" s="614"/>
      <c r="AC41" s="614"/>
      <c r="AD41" s="614"/>
      <c r="AE41" s="614"/>
      <c r="AF41" s="614"/>
      <c r="AG41" s="614"/>
      <c r="AH41" s="614"/>
      <c r="AI41" s="614"/>
      <c r="AJ41" s="615"/>
      <c r="AK41" s="601"/>
    </row>
    <row r="42" ht="15.6" customHeight="1" hidden="1" spans="1:37" s="586" customFormat="1" x14ac:dyDescent="0.25">
      <c r="A42" s="616"/>
      <c r="B42" s="617"/>
      <c r="C42" s="617"/>
      <c r="D42" s="618"/>
      <c r="E42" s="605"/>
      <c r="F42" s="606"/>
      <c r="G42" s="606"/>
      <c r="H42" s="606"/>
      <c r="I42" s="606"/>
      <c r="J42" s="607"/>
      <c r="K42" s="608"/>
      <c r="L42" s="606"/>
      <c r="M42" s="606"/>
      <c r="N42" s="606"/>
      <c r="O42" s="606"/>
      <c r="P42" s="609"/>
      <c r="Q42" s="610">
        <f t="shared" si="11"/>
      </c>
      <c r="R42" s="611"/>
      <c r="S42" s="611"/>
      <c r="T42" s="611"/>
      <c r="U42" s="611"/>
      <c r="V42" s="612"/>
      <c r="W42" s="598" t="s">
        <v>172</v>
      </c>
      <c r="X42" s="599"/>
      <c r="Y42" s="599"/>
      <c r="Z42" s="599"/>
      <c r="AA42" s="599"/>
      <c r="AB42" s="599"/>
      <c r="AC42" s="599"/>
      <c r="AD42" s="599"/>
      <c r="AE42" s="599"/>
      <c r="AF42" s="599"/>
      <c r="AG42" s="599"/>
      <c r="AH42" s="599"/>
      <c r="AI42" s="599"/>
      <c r="AJ42" s="600"/>
      <c r="AK42" s="601"/>
    </row>
    <row r="43" ht="15.75" customHeight="1" hidden="1" spans="1:37" s="586" customFormat="1" x14ac:dyDescent="0.25">
      <c r="A43" s="602"/>
      <c r="B43" s="603"/>
      <c r="C43" s="603"/>
      <c r="D43" s="604"/>
      <c r="E43" s="605"/>
      <c r="F43" s="606"/>
      <c r="G43" s="606"/>
      <c r="H43" s="606"/>
      <c r="I43" s="606"/>
      <c r="J43" s="607"/>
      <c r="K43" s="608"/>
      <c r="L43" s="606"/>
      <c r="M43" s="606"/>
      <c r="N43" s="606"/>
      <c r="O43" s="606"/>
      <c r="P43" s="609"/>
      <c r="Q43" s="610">
        <f t="shared" si="11"/>
      </c>
      <c r="R43" s="611"/>
      <c r="S43" s="611"/>
      <c r="T43" s="611"/>
      <c r="U43" s="611"/>
      <c r="V43" s="612"/>
      <c r="W43" s="613" t="s">
        <v>173</v>
      </c>
      <c r="X43" s="614"/>
      <c r="Y43" s="614"/>
      <c r="Z43" s="614"/>
      <c r="AA43" s="614"/>
      <c r="AB43" s="614"/>
      <c r="AC43" s="614"/>
      <c r="AD43" s="614"/>
      <c r="AE43" s="614"/>
      <c r="AF43" s="614"/>
      <c r="AG43" s="614"/>
      <c r="AH43" s="614"/>
      <c r="AI43" s="614"/>
      <c r="AJ43" s="615"/>
      <c r="AK43" s="601"/>
    </row>
    <row r="44" ht="15.6" customHeight="1" hidden="1" spans="1:37" s="586" customFormat="1" x14ac:dyDescent="0.25">
      <c r="A44" s="616"/>
      <c r="B44" s="617"/>
      <c r="C44" s="617"/>
      <c r="D44" s="618"/>
      <c r="E44" s="605"/>
      <c r="F44" s="606"/>
      <c r="G44" s="606"/>
      <c r="H44" s="606"/>
      <c r="I44" s="606"/>
      <c r="J44" s="607"/>
      <c r="K44" s="608"/>
      <c r="L44" s="606"/>
      <c r="M44" s="606"/>
      <c r="N44" s="606"/>
      <c r="O44" s="606"/>
      <c r="P44" s="609"/>
      <c r="Q44" s="610">
        <f t="shared" si="11"/>
      </c>
      <c r="R44" s="611"/>
      <c r="S44" s="611"/>
      <c r="T44" s="611"/>
      <c r="U44" s="611"/>
      <c r="V44" s="612"/>
      <c r="W44" s="613" t="s">
        <v>170</v>
      </c>
      <c r="X44" s="614"/>
      <c r="Y44" s="614"/>
      <c r="Z44" s="614"/>
      <c r="AA44" s="614"/>
      <c r="AB44" s="614"/>
      <c r="AC44" s="614"/>
      <c r="AD44" s="614"/>
      <c r="AE44" s="614"/>
      <c r="AF44" s="614"/>
      <c r="AG44" s="614"/>
      <c r="AH44" s="614"/>
      <c r="AI44" s="614"/>
      <c r="AJ44" s="615"/>
      <c r="AK44" s="601"/>
    </row>
    <row r="45" ht="15.75" customHeight="1" hidden="1" spans="1:37" s="586" customFormat="1" x14ac:dyDescent="0.25">
      <c r="A45" s="602"/>
      <c r="B45" s="603"/>
      <c r="C45" s="603"/>
      <c r="D45" s="604"/>
      <c r="E45" s="605"/>
      <c r="F45" s="606"/>
      <c r="G45" s="606"/>
      <c r="H45" s="606"/>
      <c r="I45" s="606"/>
      <c r="J45" s="607"/>
      <c r="K45" s="608"/>
      <c r="L45" s="606"/>
      <c r="M45" s="606"/>
      <c r="N45" s="606"/>
      <c r="O45" s="606"/>
      <c r="P45" s="609"/>
      <c r="Q45" s="610">
        <f t="shared" si="11"/>
      </c>
      <c r="R45" s="611"/>
      <c r="S45" s="611"/>
      <c r="T45" s="611"/>
      <c r="U45" s="611"/>
      <c r="V45" s="612"/>
      <c r="W45" s="613" t="s">
        <v>173</v>
      </c>
      <c r="X45" s="614"/>
      <c r="Y45" s="614"/>
      <c r="Z45" s="614"/>
      <c r="AA45" s="614"/>
      <c r="AB45" s="614"/>
      <c r="AC45" s="614"/>
      <c r="AD45" s="614"/>
      <c r="AE45" s="614"/>
      <c r="AF45" s="614"/>
      <c r="AG45" s="614"/>
      <c r="AH45" s="614"/>
      <c r="AI45" s="614"/>
      <c r="AJ45" s="615"/>
      <c r="AK45" s="601"/>
    </row>
    <row r="46" ht="15.75" customHeight="1" hidden="1" spans="1:37" s="586" customFormat="1" x14ac:dyDescent="0.25">
      <c r="A46" s="616"/>
      <c r="B46" s="617"/>
      <c r="C46" s="617"/>
      <c r="D46" s="618"/>
      <c r="E46" s="605"/>
      <c r="F46" s="606"/>
      <c r="G46" s="606"/>
      <c r="H46" s="606"/>
      <c r="I46" s="606"/>
      <c r="J46" s="607"/>
      <c r="K46" s="608"/>
      <c r="L46" s="606"/>
      <c r="M46" s="606"/>
      <c r="N46" s="606"/>
      <c r="O46" s="606"/>
      <c r="P46" s="609"/>
      <c r="Q46" s="610">
        <f t="shared" si="11"/>
      </c>
      <c r="R46" s="611"/>
      <c r="S46" s="611"/>
      <c r="T46" s="611"/>
      <c r="U46" s="611"/>
      <c r="V46" s="612"/>
      <c r="W46" s="613" t="s">
        <v>174</v>
      </c>
      <c r="X46" s="614"/>
      <c r="Y46" s="614"/>
      <c r="Z46" s="614"/>
      <c r="AA46" s="614"/>
      <c r="AB46" s="614"/>
      <c r="AC46" s="614"/>
      <c r="AD46" s="614"/>
      <c r="AE46" s="614"/>
      <c r="AF46" s="614"/>
      <c r="AG46" s="614"/>
      <c r="AH46" s="614"/>
      <c r="AI46" s="614"/>
      <c r="AJ46" s="615"/>
      <c r="AK46" s="601"/>
    </row>
    <row r="47" ht="15.75" customHeight="1" hidden="1" spans="1:37" s="586" customFormat="1" x14ac:dyDescent="0.25">
      <c r="A47" s="602"/>
      <c r="B47" s="603"/>
      <c r="C47" s="603"/>
      <c r="D47" s="604"/>
      <c r="E47" s="605"/>
      <c r="F47" s="606"/>
      <c r="G47" s="606"/>
      <c r="H47" s="606"/>
      <c r="I47" s="606"/>
      <c r="J47" s="607"/>
      <c r="K47" s="608"/>
      <c r="L47" s="606"/>
      <c r="M47" s="606"/>
      <c r="N47" s="606"/>
      <c r="O47" s="606"/>
      <c r="P47" s="609"/>
      <c r="Q47" s="610">
        <f t="shared" si="11"/>
      </c>
      <c r="R47" s="611"/>
      <c r="S47" s="611"/>
      <c r="T47" s="611"/>
      <c r="U47" s="611"/>
      <c r="V47" s="612"/>
      <c r="W47" s="613" t="s">
        <v>173</v>
      </c>
      <c r="X47" s="614"/>
      <c r="Y47" s="614"/>
      <c r="Z47" s="614"/>
      <c r="AA47" s="614"/>
      <c r="AB47" s="614"/>
      <c r="AC47" s="614"/>
      <c r="AD47" s="614"/>
      <c r="AE47" s="614"/>
      <c r="AF47" s="614"/>
      <c r="AG47" s="614"/>
      <c r="AH47" s="614"/>
      <c r="AI47" s="614"/>
      <c r="AJ47" s="615"/>
      <c r="AK47" s="601"/>
    </row>
    <row r="48" ht="15.75" customHeight="1" hidden="1" spans="1:37" s="586" customFormat="1" x14ac:dyDescent="0.25">
      <c r="A48" s="602"/>
      <c r="B48" s="603"/>
      <c r="C48" s="603"/>
      <c r="D48" s="604"/>
      <c r="E48" s="605"/>
      <c r="F48" s="606"/>
      <c r="G48" s="606"/>
      <c r="H48" s="606"/>
      <c r="I48" s="606"/>
      <c r="J48" s="607"/>
      <c r="K48" s="608"/>
      <c r="L48" s="606"/>
      <c r="M48" s="606"/>
      <c r="N48" s="606"/>
      <c r="O48" s="606"/>
      <c r="P48" s="609"/>
      <c r="Q48" s="610">
        <f t="shared" si="11"/>
      </c>
      <c r="R48" s="611"/>
      <c r="S48" s="611"/>
      <c r="T48" s="611"/>
      <c r="U48" s="611"/>
      <c r="V48" s="612"/>
      <c r="W48" s="613" t="s">
        <v>175</v>
      </c>
      <c r="X48" s="614"/>
      <c r="Y48" s="614"/>
      <c r="Z48" s="614"/>
      <c r="AA48" s="614"/>
      <c r="AB48" s="614"/>
      <c r="AC48" s="614"/>
      <c r="AD48" s="614"/>
      <c r="AE48" s="614"/>
      <c r="AF48" s="614"/>
      <c r="AG48" s="614"/>
      <c r="AH48" s="614"/>
      <c r="AI48" s="614"/>
      <c r="AJ48" s="615"/>
      <c r="AK48" s="601"/>
    </row>
    <row r="49" ht="15.75" customHeight="1" hidden="1" spans="1:37" s="586" customFormat="1" x14ac:dyDescent="0.25">
      <c r="A49" s="616"/>
      <c r="B49" s="617"/>
      <c r="C49" s="617"/>
      <c r="D49" s="618"/>
      <c r="E49" s="605"/>
      <c r="F49" s="606"/>
      <c r="G49" s="606"/>
      <c r="H49" s="606"/>
      <c r="I49" s="606"/>
      <c r="J49" s="607"/>
      <c r="K49" s="606"/>
      <c r="L49" s="606"/>
      <c r="M49" s="606"/>
      <c r="N49" s="606"/>
      <c r="O49" s="606"/>
      <c r="P49" s="609"/>
      <c r="Q49" s="610">
        <f t="shared" ref="Q49" si="12">IF(AND(NOT(ISBLANK(K49)),NOT(ISBLANK(E49))), IF(K49&gt;E49,K49-E49,24-E49+K49), "")</f>
      </c>
      <c r="R49" s="611"/>
      <c r="S49" s="611"/>
      <c r="T49" s="611"/>
      <c r="U49" s="611"/>
      <c r="V49" s="612"/>
      <c r="W49" s="613"/>
      <c r="X49" s="614"/>
      <c r="Y49" s="614"/>
      <c r="Z49" s="614"/>
      <c r="AA49" s="614"/>
      <c r="AB49" s="614"/>
      <c r="AC49" s="614"/>
      <c r="AD49" s="614"/>
      <c r="AE49" s="614"/>
      <c r="AF49" s="614"/>
      <c r="AG49" s="614"/>
      <c r="AH49" s="614"/>
      <c r="AI49" s="614"/>
      <c r="AJ49" s="615"/>
      <c r="AK49" s="601"/>
    </row>
    <row r="50" ht="15.75" customHeight="1" hidden="1" spans="1:37" s="586" customFormat="1" x14ac:dyDescent="0.25">
      <c r="A50" s="616"/>
      <c r="B50" s="617"/>
      <c r="C50" s="617"/>
      <c r="D50" s="618"/>
      <c r="E50" s="605"/>
      <c r="F50" s="606"/>
      <c r="G50" s="606"/>
      <c r="H50" s="606"/>
      <c r="I50" s="606"/>
      <c r="J50" s="607"/>
      <c r="K50" s="606"/>
      <c r="L50" s="606"/>
      <c r="M50" s="606"/>
      <c r="N50" s="606"/>
      <c r="O50" s="606"/>
      <c r="P50" s="609"/>
      <c r="Q50" s="610">
        <f t="shared" ref="Q50" si="13">IF(AND(NOT(ISBLANK(K50)),NOT(ISBLANK(E50))), IF(K50&gt;E50,K50-E50,24-E50+K50), "")</f>
      </c>
      <c r="R50" s="611"/>
      <c r="S50" s="611"/>
      <c r="T50" s="611"/>
      <c r="U50" s="611"/>
      <c r="V50" s="612"/>
      <c r="W50" s="613"/>
      <c r="X50" s="614"/>
      <c r="Y50" s="614"/>
      <c r="Z50" s="614"/>
      <c r="AA50" s="614"/>
      <c r="AB50" s="614"/>
      <c r="AC50" s="614"/>
      <c r="AD50" s="614"/>
      <c r="AE50" s="614"/>
      <c r="AF50" s="614"/>
      <c r="AG50" s="614"/>
      <c r="AH50" s="614"/>
      <c r="AI50" s="614"/>
      <c r="AJ50" s="615"/>
      <c r="AK50" s="601"/>
    </row>
    <row r="51" ht="15.75" customHeight="1" hidden="1" spans="1:37" s="193" customFormat="1" x14ac:dyDescent="0.25">
      <c r="A51" s="619"/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1"/>
      <c r="Q51" s="622">
        <f>SUM(Q35:V41)</f>
        <v>0</v>
      </c>
      <c r="R51" s="623"/>
      <c r="S51" s="623"/>
      <c r="T51" s="623"/>
      <c r="U51" s="623"/>
      <c r="V51" s="624"/>
      <c r="W51" s="625"/>
      <c r="X51" s="626"/>
      <c r="Y51" s="626"/>
      <c r="Z51" s="626"/>
      <c r="AA51" s="626"/>
      <c r="AB51" s="626"/>
      <c r="AC51" s="626"/>
      <c r="AD51" s="626"/>
      <c r="AE51" s="626"/>
      <c r="AF51" s="626"/>
      <c r="AG51" s="626"/>
      <c r="AH51" s="626"/>
      <c r="AI51" s="626"/>
      <c r="AJ51" s="627"/>
      <c r="AK51" s="628"/>
    </row>
    <row r="52" ht="15.75" customHeight="1" hidden="1" spans="1:37" s="586" customFormat="1" x14ac:dyDescent="0.25">
      <c r="A52" s="587" t="s">
        <v>176</v>
      </c>
      <c r="B52" s="588"/>
      <c r="C52" s="588"/>
      <c r="D52" s="589"/>
      <c r="E52" s="590"/>
      <c r="F52" s="591"/>
      <c r="G52" s="591"/>
      <c r="H52" s="591"/>
      <c r="I52" s="591"/>
      <c r="J52" s="592"/>
      <c r="K52" s="593"/>
      <c r="L52" s="591"/>
      <c r="M52" s="591"/>
      <c r="N52" s="591"/>
      <c r="O52" s="591"/>
      <c r="P52" s="594"/>
      <c r="Q52" s="595">
        <f t="shared" ref="Q52:Q57" si="14">IF(AND(NOT(ISBLANK(K52)),NOT(ISBLANK(E52))), IF(K52&gt;E52,K52-E52,24-E52+K52), "")</f>
      </c>
      <c r="R52" s="596"/>
      <c r="S52" s="596"/>
      <c r="T52" s="596"/>
      <c r="U52" s="596"/>
      <c r="V52" s="597"/>
      <c r="W52" s="598" t="s">
        <v>168</v>
      </c>
      <c r="X52" s="599"/>
      <c r="Y52" s="599"/>
      <c r="Z52" s="599"/>
      <c r="AA52" s="599"/>
      <c r="AB52" s="599"/>
      <c r="AC52" s="599"/>
      <c r="AD52" s="599"/>
      <c r="AE52" s="599"/>
      <c r="AF52" s="599"/>
      <c r="AG52" s="599"/>
      <c r="AH52" s="599"/>
      <c r="AI52" s="599"/>
      <c r="AJ52" s="600"/>
      <c r="AK52" s="601"/>
    </row>
    <row r="53" ht="15.75" customHeight="1" hidden="1" spans="1:37" s="586" customFormat="1" x14ac:dyDescent="0.25">
      <c r="A53" s="602"/>
      <c r="B53" s="603"/>
      <c r="C53" s="603"/>
      <c r="D53" s="604"/>
      <c r="E53" s="605"/>
      <c r="F53" s="606"/>
      <c r="G53" s="606"/>
      <c r="H53" s="606"/>
      <c r="I53" s="606"/>
      <c r="J53" s="607"/>
      <c r="K53" s="608"/>
      <c r="L53" s="606"/>
      <c r="M53" s="606"/>
      <c r="N53" s="606"/>
      <c r="O53" s="606"/>
      <c r="P53" s="609"/>
      <c r="Q53" s="610">
        <f t="shared" si="14"/>
      </c>
      <c r="R53" s="611"/>
      <c r="S53" s="611"/>
      <c r="T53" s="611"/>
      <c r="U53" s="611"/>
      <c r="V53" s="612"/>
      <c r="W53" s="613" t="s">
        <v>169</v>
      </c>
      <c r="X53" s="614"/>
      <c r="Y53" s="614"/>
      <c r="Z53" s="614"/>
      <c r="AA53" s="614"/>
      <c r="AB53" s="614"/>
      <c r="AC53" s="614"/>
      <c r="AD53" s="614"/>
      <c r="AE53" s="614"/>
      <c r="AF53" s="614"/>
      <c r="AG53" s="614"/>
      <c r="AH53" s="614"/>
      <c r="AI53" s="614"/>
      <c r="AJ53" s="615"/>
      <c r="AK53" s="601"/>
    </row>
    <row r="54" ht="15.75" customHeight="1" hidden="1" spans="1:37" s="586" customFormat="1" x14ac:dyDescent="0.25">
      <c r="A54" s="616"/>
      <c r="B54" s="617"/>
      <c r="C54" s="617"/>
      <c r="D54" s="618"/>
      <c r="E54" s="605"/>
      <c r="F54" s="606"/>
      <c r="G54" s="606"/>
      <c r="H54" s="606"/>
      <c r="I54" s="606"/>
      <c r="J54" s="607"/>
      <c r="K54" s="608"/>
      <c r="L54" s="606"/>
      <c r="M54" s="606"/>
      <c r="N54" s="606"/>
      <c r="O54" s="606"/>
      <c r="P54" s="609"/>
      <c r="Q54" s="610">
        <f t="shared" si="14"/>
      </c>
      <c r="R54" s="611"/>
      <c r="S54" s="611"/>
      <c r="T54" s="611"/>
      <c r="U54" s="611"/>
      <c r="V54" s="612"/>
      <c r="W54" s="613" t="s">
        <v>170</v>
      </c>
      <c r="X54" s="614"/>
      <c r="Y54" s="614"/>
      <c r="Z54" s="614"/>
      <c r="AA54" s="614"/>
      <c r="AB54" s="614"/>
      <c r="AC54" s="614"/>
      <c r="AD54" s="614"/>
      <c r="AE54" s="614"/>
      <c r="AF54" s="614"/>
      <c r="AG54" s="614"/>
      <c r="AH54" s="614"/>
      <c r="AI54" s="614"/>
      <c r="AJ54" s="615"/>
      <c r="AK54" s="601"/>
    </row>
    <row r="55" ht="15.75" customHeight="1" hidden="1" spans="1:37" s="586" customFormat="1" x14ac:dyDescent="0.25">
      <c r="A55" s="616"/>
      <c r="B55" s="617"/>
      <c r="C55" s="617"/>
      <c r="D55" s="618"/>
      <c r="E55" s="590"/>
      <c r="F55" s="591"/>
      <c r="G55" s="591"/>
      <c r="H55" s="591"/>
      <c r="I55" s="591"/>
      <c r="J55" s="592"/>
      <c r="K55" s="608"/>
      <c r="L55" s="606"/>
      <c r="M55" s="606"/>
      <c r="N55" s="606"/>
      <c r="O55" s="606"/>
      <c r="P55" s="609"/>
      <c r="Q55" s="610">
        <f t="shared" si="14"/>
      </c>
      <c r="R55" s="611"/>
      <c r="S55" s="611"/>
      <c r="T55" s="611"/>
      <c r="U55" s="611"/>
      <c r="V55" s="612"/>
      <c r="W55" s="613" t="s">
        <v>169</v>
      </c>
      <c r="X55" s="614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5"/>
      <c r="AK55" s="601"/>
    </row>
    <row r="56" ht="15.75" customHeight="1" hidden="1" spans="1:37" s="586" customFormat="1" x14ac:dyDescent="0.25">
      <c r="A56" s="616"/>
      <c r="B56" s="617"/>
      <c r="C56" s="617"/>
      <c r="D56" s="618"/>
      <c r="E56" s="605"/>
      <c r="F56" s="606"/>
      <c r="G56" s="606"/>
      <c r="H56" s="606"/>
      <c r="I56" s="606"/>
      <c r="J56" s="607"/>
      <c r="K56" s="608"/>
      <c r="L56" s="606"/>
      <c r="M56" s="606"/>
      <c r="N56" s="606"/>
      <c r="O56" s="606"/>
      <c r="P56" s="609"/>
      <c r="Q56" s="610">
        <f t="shared" si="14"/>
      </c>
      <c r="R56" s="611"/>
      <c r="S56" s="611"/>
      <c r="T56" s="611"/>
      <c r="U56" s="611"/>
      <c r="V56" s="612"/>
      <c r="W56" s="613" t="s">
        <v>170</v>
      </c>
      <c r="X56" s="614"/>
      <c r="Y56" s="614"/>
      <c r="Z56" s="614"/>
      <c r="AA56" s="614"/>
      <c r="AB56" s="614"/>
      <c r="AC56" s="614"/>
      <c r="AD56" s="614"/>
      <c r="AE56" s="614"/>
      <c r="AF56" s="614"/>
      <c r="AG56" s="614"/>
      <c r="AH56" s="614"/>
      <c r="AI56" s="614"/>
      <c r="AJ56" s="615"/>
      <c r="AK56" s="601"/>
    </row>
    <row r="57" ht="15.75" customHeight="1" hidden="1" spans="1:37" s="586" customFormat="1" x14ac:dyDescent="0.25">
      <c r="A57" s="616"/>
      <c r="B57" s="617"/>
      <c r="C57" s="617"/>
      <c r="D57" s="618"/>
      <c r="E57" s="605"/>
      <c r="F57" s="606"/>
      <c r="G57" s="606"/>
      <c r="H57" s="606"/>
      <c r="I57" s="606"/>
      <c r="J57" s="607"/>
      <c r="K57" s="608"/>
      <c r="L57" s="606"/>
      <c r="M57" s="606"/>
      <c r="N57" s="606"/>
      <c r="O57" s="606"/>
      <c r="P57" s="609"/>
      <c r="Q57" s="610">
        <f t="shared" si="14"/>
      </c>
      <c r="R57" s="611"/>
      <c r="S57" s="611"/>
      <c r="T57" s="611"/>
      <c r="U57" s="611"/>
      <c r="V57" s="612"/>
      <c r="W57" s="613" t="s">
        <v>169</v>
      </c>
      <c r="X57" s="614"/>
      <c r="Y57" s="614"/>
      <c r="Z57" s="614"/>
      <c r="AA57" s="614"/>
      <c r="AB57" s="614"/>
      <c r="AC57" s="614"/>
      <c r="AD57" s="614"/>
      <c r="AE57" s="614"/>
      <c r="AF57" s="614"/>
      <c r="AG57" s="614"/>
      <c r="AH57" s="614"/>
      <c r="AI57" s="614"/>
      <c r="AJ57" s="615"/>
      <c r="AK57" s="601"/>
    </row>
    <row r="58" ht="15.75" customHeight="1" hidden="1" spans="1:37" s="586" customFormat="1" x14ac:dyDescent="0.25">
      <c r="A58" s="616"/>
      <c r="B58" s="617"/>
      <c r="C58" s="617"/>
      <c r="D58" s="618"/>
      <c r="E58" s="605"/>
      <c r="F58" s="606"/>
      <c r="G58" s="606"/>
      <c r="H58" s="606"/>
      <c r="I58" s="606"/>
      <c r="J58" s="607"/>
      <c r="K58" s="608"/>
      <c r="L58" s="606"/>
      <c r="M58" s="606"/>
      <c r="N58" s="606"/>
      <c r="O58" s="606"/>
      <c r="P58" s="609"/>
      <c r="Q58" s="610">
        <f t="shared" ref="Q58:Q68" si="15">IF(AND(NOT(ISBLANK(K58)),NOT(ISBLANK(E58))), IF(K58&gt;E58,K58-E58,24-E58+K58), "")</f>
      </c>
      <c r="R58" s="611"/>
      <c r="S58" s="611"/>
      <c r="T58" s="611"/>
      <c r="U58" s="611"/>
      <c r="V58" s="612"/>
      <c r="W58" s="613" t="s">
        <v>171</v>
      </c>
      <c r="X58" s="614"/>
      <c r="Y58" s="614"/>
      <c r="Z58" s="614"/>
      <c r="AA58" s="614"/>
      <c r="AB58" s="614"/>
      <c r="AC58" s="614"/>
      <c r="AD58" s="614"/>
      <c r="AE58" s="614"/>
      <c r="AF58" s="614"/>
      <c r="AG58" s="614"/>
      <c r="AH58" s="614"/>
      <c r="AI58" s="614"/>
      <c r="AJ58" s="615"/>
      <c r="AK58" s="601"/>
    </row>
    <row r="59" ht="15.75" customHeight="1" hidden="1" spans="1:37" s="586" customFormat="1" x14ac:dyDescent="0.25">
      <c r="A59" s="616"/>
      <c r="B59" s="617"/>
      <c r="C59" s="617"/>
      <c r="D59" s="618"/>
      <c r="E59" s="605"/>
      <c r="F59" s="606"/>
      <c r="G59" s="606"/>
      <c r="H59" s="606"/>
      <c r="I59" s="606"/>
      <c r="J59" s="607"/>
      <c r="K59" s="608"/>
      <c r="L59" s="606"/>
      <c r="M59" s="606"/>
      <c r="N59" s="606"/>
      <c r="O59" s="606"/>
      <c r="P59" s="609"/>
      <c r="Q59" s="610">
        <f t="shared" si="15"/>
      </c>
      <c r="R59" s="611"/>
      <c r="S59" s="611"/>
      <c r="T59" s="611"/>
      <c r="U59" s="611"/>
      <c r="V59" s="612"/>
      <c r="W59" s="598" t="s">
        <v>172</v>
      </c>
      <c r="X59" s="599"/>
      <c r="Y59" s="599"/>
      <c r="Z59" s="599"/>
      <c r="AA59" s="599"/>
      <c r="AB59" s="599"/>
      <c r="AC59" s="599"/>
      <c r="AD59" s="599"/>
      <c r="AE59" s="599"/>
      <c r="AF59" s="599"/>
      <c r="AG59" s="599"/>
      <c r="AH59" s="599"/>
      <c r="AI59" s="599"/>
      <c r="AJ59" s="600"/>
      <c r="AK59" s="601"/>
    </row>
    <row r="60" ht="15.75" customHeight="1" hidden="1" spans="1:37" s="586" customFormat="1" x14ac:dyDescent="0.25">
      <c r="A60" s="616"/>
      <c r="B60" s="617"/>
      <c r="C60" s="617"/>
      <c r="D60" s="618"/>
      <c r="E60" s="605"/>
      <c r="F60" s="606"/>
      <c r="G60" s="606"/>
      <c r="H60" s="606"/>
      <c r="I60" s="606"/>
      <c r="J60" s="607"/>
      <c r="K60" s="608"/>
      <c r="L60" s="606"/>
      <c r="M60" s="606"/>
      <c r="N60" s="606"/>
      <c r="O60" s="606"/>
      <c r="P60" s="609"/>
      <c r="Q60" s="610">
        <f t="shared" si="15"/>
      </c>
      <c r="R60" s="611"/>
      <c r="S60" s="611"/>
      <c r="T60" s="611"/>
      <c r="U60" s="611"/>
      <c r="V60" s="612"/>
      <c r="W60" s="613" t="s">
        <v>173</v>
      </c>
      <c r="X60" s="614"/>
      <c r="Y60" s="614"/>
      <c r="Z60" s="614"/>
      <c r="AA60" s="614"/>
      <c r="AB60" s="614"/>
      <c r="AC60" s="614"/>
      <c r="AD60" s="614"/>
      <c r="AE60" s="614"/>
      <c r="AF60" s="614"/>
      <c r="AG60" s="614"/>
      <c r="AH60" s="614"/>
      <c r="AI60" s="614"/>
      <c r="AJ60" s="615"/>
      <c r="AK60" s="601"/>
    </row>
    <row r="61" ht="15.75" customHeight="1" hidden="1" spans="1:37" s="586" customFormat="1" x14ac:dyDescent="0.25">
      <c r="A61" s="616"/>
      <c r="B61" s="617"/>
      <c r="C61" s="617"/>
      <c r="D61" s="618"/>
      <c r="E61" s="605"/>
      <c r="F61" s="606"/>
      <c r="G61" s="606"/>
      <c r="H61" s="606"/>
      <c r="I61" s="606"/>
      <c r="J61" s="607"/>
      <c r="K61" s="608"/>
      <c r="L61" s="606"/>
      <c r="M61" s="606"/>
      <c r="N61" s="606"/>
      <c r="O61" s="606"/>
      <c r="P61" s="609"/>
      <c r="Q61" s="610">
        <f t="shared" si="15"/>
      </c>
      <c r="R61" s="611"/>
      <c r="S61" s="611"/>
      <c r="T61" s="611"/>
      <c r="U61" s="611"/>
      <c r="V61" s="612"/>
      <c r="W61" s="613" t="s">
        <v>170</v>
      </c>
      <c r="X61" s="614"/>
      <c r="Y61" s="614"/>
      <c r="Z61" s="614"/>
      <c r="AA61" s="614"/>
      <c r="AB61" s="614"/>
      <c r="AC61" s="614"/>
      <c r="AD61" s="614"/>
      <c r="AE61" s="614"/>
      <c r="AF61" s="614"/>
      <c r="AG61" s="614"/>
      <c r="AH61" s="614"/>
      <c r="AI61" s="614"/>
      <c r="AJ61" s="615"/>
      <c r="AK61" s="601"/>
    </row>
    <row r="62" ht="15.75" customHeight="1" hidden="1" spans="1:37" s="586" customFormat="1" x14ac:dyDescent="0.25">
      <c r="A62" s="616"/>
      <c r="B62" s="617"/>
      <c r="C62" s="617"/>
      <c r="D62" s="618"/>
      <c r="E62" s="605"/>
      <c r="F62" s="606"/>
      <c r="G62" s="606"/>
      <c r="H62" s="606"/>
      <c r="I62" s="606"/>
      <c r="J62" s="607"/>
      <c r="K62" s="608"/>
      <c r="L62" s="606"/>
      <c r="M62" s="606"/>
      <c r="N62" s="606"/>
      <c r="O62" s="606"/>
      <c r="P62" s="609"/>
      <c r="Q62" s="610">
        <f t="shared" si="15"/>
      </c>
      <c r="R62" s="611"/>
      <c r="S62" s="611"/>
      <c r="T62" s="611"/>
      <c r="U62" s="611"/>
      <c r="V62" s="612"/>
      <c r="W62" s="613" t="s">
        <v>173</v>
      </c>
      <c r="X62" s="614"/>
      <c r="Y62" s="614"/>
      <c r="Z62" s="614"/>
      <c r="AA62" s="614"/>
      <c r="AB62" s="614"/>
      <c r="AC62" s="614"/>
      <c r="AD62" s="614"/>
      <c r="AE62" s="614"/>
      <c r="AF62" s="614"/>
      <c r="AG62" s="614"/>
      <c r="AH62" s="614"/>
      <c r="AI62" s="614"/>
      <c r="AJ62" s="615"/>
      <c r="AK62" s="601"/>
    </row>
    <row r="63" ht="15.75" customHeight="1" hidden="1" spans="1:37" s="586" customFormat="1" x14ac:dyDescent="0.25">
      <c r="A63" s="616"/>
      <c r="B63" s="617"/>
      <c r="C63" s="617"/>
      <c r="D63" s="618"/>
      <c r="E63" s="605"/>
      <c r="F63" s="606"/>
      <c r="G63" s="606"/>
      <c r="H63" s="606"/>
      <c r="I63" s="606"/>
      <c r="J63" s="607"/>
      <c r="K63" s="608"/>
      <c r="L63" s="606"/>
      <c r="M63" s="606"/>
      <c r="N63" s="606"/>
      <c r="O63" s="606"/>
      <c r="P63" s="609"/>
      <c r="Q63" s="610">
        <f t="shared" si="15"/>
      </c>
      <c r="R63" s="611"/>
      <c r="S63" s="611"/>
      <c r="T63" s="611"/>
      <c r="U63" s="611"/>
      <c r="V63" s="612"/>
      <c r="W63" s="613" t="s">
        <v>174</v>
      </c>
      <c r="X63" s="614"/>
      <c r="Y63" s="614"/>
      <c r="Z63" s="614"/>
      <c r="AA63" s="614"/>
      <c r="AB63" s="614"/>
      <c r="AC63" s="614"/>
      <c r="AD63" s="614"/>
      <c r="AE63" s="614"/>
      <c r="AF63" s="614"/>
      <c r="AG63" s="614"/>
      <c r="AH63" s="614"/>
      <c r="AI63" s="614"/>
      <c r="AJ63" s="615"/>
      <c r="AK63" s="601"/>
    </row>
    <row r="64" ht="15.75" customHeight="1" hidden="1" spans="1:37" s="586" customFormat="1" x14ac:dyDescent="0.25">
      <c r="A64" s="616"/>
      <c r="B64" s="617"/>
      <c r="C64" s="617"/>
      <c r="D64" s="618"/>
      <c r="E64" s="605"/>
      <c r="F64" s="606"/>
      <c r="G64" s="606"/>
      <c r="H64" s="606"/>
      <c r="I64" s="606"/>
      <c r="J64" s="607"/>
      <c r="K64" s="608"/>
      <c r="L64" s="606"/>
      <c r="M64" s="606"/>
      <c r="N64" s="606"/>
      <c r="O64" s="606"/>
      <c r="P64" s="609"/>
      <c r="Q64" s="610">
        <f t="shared" si="15"/>
      </c>
      <c r="R64" s="611"/>
      <c r="S64" s="611"/>
      <c r="T64" s="611"/>
      <c r="U64" s="611"/>
      <c r="V64" s="612"/>
      <c r="W64" s="613" t="s">
        <v>173</v>
      </c>
      <c r="X64" s="614"/>
      <c r="Y64" s="614"/>
      <c r="Z64" s="614"/>
      <c r="AA64" s="614"/>
      <c r="AB64" s="614"/>
      <c r="AC64" s="614"/>
      <c r="AD64" s="614"/>
      <c r="AE64" s="614"/>
      <c r="AF64" s="614"/>
      <c r="AG64" s="614"/>
      <c r="AH64" s="614"/>
      <c r="AI64" s="614"/>
      <c r="AJ64" s="615"/>
      <c r="AK64" s="601"/>
    </row>
    <row r="65" ht="15.75" customHeight="1" hidden="1" spans="1:37" s="586" customFormat="1" x14ac:dyDescent="0.25">
      <c r="A65" s="616"/>
      <c r="B65" s="617"/>
      <c r="C65" s="617"/>
      <c r="D65" s="618"/>
      <c r="E65" s="605"/>
      <c r="F65" s="606"/>
      <c r="G65" s="606"/>
      <c r="H65" s="606"/>
      <c r="I65" s="606"/>
      <c r="J65" s="607"/>
      <c r="K65" s="608"/>
      <c r="L65" s="606"/>
      <c r="M65" s="606"/>
      <c r="N65" s="606"/>
      <c r="O65" s="606"/>
      <c r="P65" s="609"/>
      <c r="Q65" s="610">
        <f t="shared" si="15"/>
      </c>
      <c r="R65" s="611"/>
      <c r="S65" s="611"/>
      <c r="T65" s="611"/>
      <c r="U65" s="611"/>
      <c r="V65" s="612"/>
      <c r="W65" s="613" t="s">
        <v>175</v>
      </c>
      <c r="X65" s="614"/>
      <c r="Y65" s="614"/>
      <c r="Z65" s="614"/>
      <c r="AA65" s="614"/>
      <c r="AB65" s="614"/>
      <c r="AC65" s="614"/>
      <c r="AD65" s="614"/>
      <c r="AE65" s="614"/>
      <c r="AF65" s="614"/>
      <c r="AG65" s="614"/>
      <c r="AH65" s="614"/>
      <c r="AI65" s="614"/>
      <c r="AJ65" s="615"/>
      <c r="AK65" s="601"/>
    </row>
    <row r="66" ht="15.75" customHeight="1" hidden="1" spans="1:37" s="586" customFormat="1" x14ac:dyDescent="0.25">
      <c r="A66" s="616"/>
      <c r="B66" s="617"/>
      <c r="C66" s="617"/>
      <c r="D66" s="618"/>
      <c r="E66" s="605"/>
      <c r="F66" s="606"/>
      <c r="G66" s="606"/>
      <c r="H66" s="606"/>
      <c r="I66" s="606"/>
      <c r="J66" s="607"/>
      <c r="K66" s="608"/>
      <c r="L66" s="606"/>
      <c r="M66" s="606"/>
      <c r="N66" s="606"/>
      <c r="O66" s="606"/>
      <c r="P66" s="609"/>
      <c r="Q66" s="610">
        <f t="shared" si="15"/>
      </c>
      <c r="R66" s="611"/>
      <c r="S66" s="611"/>
      <c r="T66" s="611"/>
      <c r="U66" s="611"/>
      <c r="V66" s="612"/>
      <c r="W66" s="613"/>
      <c r="X66" s="614"/>
      <c r="Y66" s="614"/>
      <c r="Z66" s="614"/>
      <c r="AA66" s="614"/>
      <c r="AB66" s="614"/>
      <c r="AC66" s="614"/>
      <c r="AD66" s="614"/>
      <c r="AE66" s="614"/>
      <c r="AF66" s="614"/>
      <c r="AG66" s="614"/>
      <c r="AH66" s="614"/>
      <c r="AI66" s="614"/>
      <c r="AJ66" s="615"/>
      <c r="AK66" s="601"/>
    </row>
    <row r="67" ht="15.75" customHeight="1" hidden="1" spans="1:37" s="586" customFormat="1" x14ac:dyDescent="0.25">
      <c r="A67" s="616"/>
      <c r="B67" s="617"/>
      <c r="C67" s="617"/>
      <c r="D67" s="618"/>
      <c r="E67" s="605"/>
      <c r="F67" s="606"/>
      <c r="G67" s="606"/>
      <c r="H67" s="606"/>
      <c r="I67" s="606"/>
      <c r="J67" s="607"/>
      <c r="K67" s="608"/>
      <c r="L67" s="606"/>
      <c r="M67" s="606"/>
      <c r="N67" s="606"/>
      <c r="O67" s="606"/>
      <c r="P67" s="609"/>
      <c r="Q67" s="610">
        <f t="shared" si="15"/>
      </c>
      <c r="R67" s="611"/>
      <c r="S67" s="611"/>
      <c r="T67" s="611"/>
      <c r="U67" s="611"/>
      <c r="V67" s="612"/>
      <c r="W67" s="613"/>
      <c r="X67" s="614"/>
      <c r="Y67" s="614"/>
      <c r="Z67" s="614"/>
      <c r="AA67" s="614"/>
      <c r="AB67" s="614"/>
      <c r="AC67" s="614"/>
      <c r="AD67" s="614"/>
      <c r="AE67" s="614"/>
      <c r="AF67" s="614"/>
      <c r="AG67" s="614"/>
      <c r="AH67" s="614"/>
      <c r="AI67" s="614"/>
      <c r="AJ67" s="615"/>
      <c r="AK67" s="601"/>
    </row>
    <row r="68" ht="15.75" customHeight="1" hidden="1" spans="1:37" s="586" customFormat="1" x14ac:dyDescent="0.25">
      <c r="A68" s="616"/>
      <c r="B68" s="617"/>
      <c r="C68" s="617"/>
      <c r="D68" s="618"/>
      <c r="E68" s="605"/>
      <c r="F68" s="606"/>
      <c r="G68" s="606"/>
      <c r="H68" s="606"/>
      <c r="I68" s="606"/>
      <c r="J68" s="607"/>
      <c r="K68" s="608"/>
      <c r="L68" s="606"/>
      <c r="M68" s="606"/>
      <c r="N68" s="606"/>
      <c r="O68" s="606"/>
      <c r="P68" s="609"/>
      <c r="Q68" s="610">
        <f t="shared" si="15"/>
      </c>
      <c r="R68" s="611"/>
      <c r="S68" s="611"/>
      <c r="T68" s="611"/>
      <c r="U68" s="611"/>
      <c r="V68" s="612"/>
      <c r="W68" s="613"/>
      <c r="X68" s="614"/>
      <c r="Y68" s="614"/>
      <c r="Z68" s="614"/>
      <c r="AA68" s="614"/>
      <c r="AB68" s="614"/>
      <c r="AC68" s="614"/>
      <c r="AD68" s="614"/>
      <c r="AE68" s="614"/>
      <c r="AF68" s="614"/>
      <c r="AG68" s="614"/>
      <c r="AH68" s="614"/>
      <c r="AI68" s="614"/>
      <c r="AJ68" s="615"/>
      <c r="AK68" s="601"/>
    </row>
    <row r="69" ht="15.75" customHeight="1" hidden="1" spans="1:37" s="586" customFormat="1" x14ac:dyDescent="0.25">
      <c r="A69" s="616"/>
      <c r="B69" s="617"/>
      <c r="C69" s="617"/>
      <c r="D69" s="618"/>
      <c r="E69" s="605"/>
      <c r="F69" s="606"/>
      <c r="G69" s="606"/>
      <c r="H69" s="606"/>
      <c r="I69" s="606"/>
      <c r="J69" s="607"/>
      <c r="K69" s="608"/>
      <c r="L69" s="606"/>
      <c r="M69" s="606"/>
      <c r="N69" s="606"/>
      <c r="O69" s="606"/>
      <c r="P69" s="609"/>
      <c r="Q69" s="610"/>
      <c r="R69" s="611"/>
      <c r="S69" s="611"/>
      <c r="T69" s="611"/>
      <c r="U69" s="611"/>
      <c r="V69" s="612"/>
      <c r="W69" s="613"/>
      <c r="X69" s="614"/>
      <c r="Y69" s="614"/>
      <c r="Z69" s="614"/>
      <c r="AA69" s="614"/>
      <c r="AB69" s="614"/>
      <c r="AC69" s="614"/>
      <c r="AD69" s="614"/>
      <c r="AE69" s="614"/>
      <c r="AF69" s="614"/>
      <c r="AG69" s="614"/>
      <c r="AH69" s="614"/>
      <c r="AI69" s="614"/>
      <c r="AJ69" s="615"/>
      <c r="AK69" s="601"/>
    </row>
    <row r="70" ht="15.75" customHeight="1" hidden="1" spans="1:37" s="586" customFormat="1" x14ac:dyDescent="0.25">
      <c r="A70" s="619"/>
      <c r="B70" s="620"/>
      <c r="C70" s="620"/>
      <c r="D70" s="620"/>
      <c r="E70" s="620"/>
      <c r="F70" s="620"/>
      <c r="G70" s="620"/>
      <c r="H70" s="620"/>
      <c r="I70" s="620"/>
      <c r="J70" s="620"/>
      <c r="K70" s="620"/>
      <c r="L70" s="620"/>
      <c r="M70" s="620"/>
      <c r="N70" s="620"/>
      <c r="O70" s="620"/>
      <c r="P70" s="621"/>
      <c r="Q70" s="622">
        <f>SUM(Q52:V62)</f>
        <v>0</v>
      </c>
      <c r="R70" s="623"/>
      <c r="S70" s="623"/>
      <c r="T70" s="623"/>
      <c r="U70" s="623"/>
      <c r="V70" s="624"/>
      <c r="W70" s="629"/>
      <c r="X70" s="630"/>
      <c r="Y70" s="630"/>
      <c r="Z70" s="630"/>
      <c r="AA70" s="630"/>
      <c r="AB70" s="630"/>
      <c r="AC70" s="630"/>
      <c r="AD70" s="630"/>
      <c r="AE70" s="630"/>
      <c r="AF70" s="630"/>
      <c r="AG70" s="630"/>
      <c r="AH70" s="630"/>
      <c r="AI70" s="630"/>
      <c r="AJ70" s="631"/>
      <c r="AK70" s="601"/>
    </row>
    <row r="71" ht="15.75" customHeight="1" spans="1:37" s="586" customFormat="1" x14ac:dyDescent="0.25">
      <c r="A71" s="587" t="s">
        <v>177</v>
      </c>
      <c r="B71" s="588"/>
      <c r="C71" s="588"/>
      <c r="D71" s="589"/>
      <c r="E71" s="590">
        <v>0.125</v>
      </c>
      <c r="F71" s="591"/>
      <c r="G71" s="591"/>
      <c r="H71" s="591"/>
      <c r="I71" s="591"/>
      <c r="J71" s="592"/>
      <c r="K71" s="593"/>
      <c r="L71" s="591"/>
      <c r="M71" s="591"/>
      <c r="N71" s="591"/>
      <c r="O71" s="591"/>
      <c r="P71" s="594"/>
      <c r="Q71" s="595">
        <f t="shared" ref="Q71:Q81" si="16">IF(AND(NOT(ISBLANK(K71)),NOT(ISBLANK(E71))), IF(K71&gt;E71,K71-E71,24-E71+K71), "")</f>
      </c>
      <c r="R71" s="596"/>
      <c r="S71" s="596"/>
      <c r="T71" s="596"/>
      <c r="U71" s="596"/>
      <c r="V71" s="597"/>
      <c r="W71" s="598" t="s">
        <v>168</v>
      </c>
      <c r="X71" s="599"/>
      <c r="Y71" s="599"/>
      <c r="Z71" s="599"/>
      <c r="AA71" s="599"/>
      <c r="AB71" s="599"/>
      <c r="AC71" s="599"/>
      <c r="AD71" s="599"/>
      <c r="AE71" s="599"/>
      <c r="AF71" s="599"/>
      <c r="AG71" s="599"/>
      <c r="AH71" s="599"/>
      <c r="AI71" s="599"/>
      <c r="AJ71" s="600"/>
      <c r="AK71" s="601"/>
    </row>
    <row r="72" ht="15.75" customHeight="1" spans="1:37" s="586" customFormat="1" x14ac:dyDescent="0.25">
      <c r="A72" s="602" t="s">
        <v>178</v>
      </c>
      <c r="B72" s="603"/>
      <c r="C72" s="603"/>
      <c r="D72" s="604"/>
      <c r="E72" s="605">
        <f>E71</f>
        <v>0.125</v>
      </c>
      <c r="F72" s="606"/>
      <c r="G72" s="606"/>
      <c r="H72" s="606"/>
      <c r="I72" s="606"/>
      <c r="J72" s="607"/>
      <c r="K72" s="608">
        <v>0.14583333333212067</v>
      </c>
      <c r="L72" s="606"/>
      <c r="M72" s="606"/>
      <c r="N72" s="606"/>
      <c r="O72" s="606"/>
      <c r="P72" s="609"/>
      <c r="Q72" s="610">
        <f t="shared" si="16"/>
        <v>0.020833333332120674</v>
      </c>
      <c r="R72" s="611"/>
      <c r="S72" s="611"/>
      <c r="T72" s="611"/>
      <c r="U72" s="611"/>
      <c r="V72" s="612"/>
      <c r="W72" s="613" t="s">
        <v>169</v>
      </c>
      <c r="X72" s="614"/>
      <c r="Y72" s="614"/>
      <c r="Z72" s="614"/>
      <c r="AA72" s="614"/>
      <c r="AB72" s="614"/>
      <c r="AC72" s="614"/>
      <c r="AD72" s="614"/>
      <c r="AE72" s="614"/>
      <c r="AF72" s="614"/>
      <c r="AG72" s="614"/>
      <c r="AH72" s="614"/>
      <c r="AI72" s="614"/>
      <c r="AJ72" s="615"/>
      <c r="AK72" s="601"/>
    </row>
    <row r="73" ht="15.75" customHeight="1" spans="1:37" s="586" customFormat="1" x14ac:dyDescent="0.25">
      <c r="A73" s="616"/>
      <c r="B73" s="617"/>
      <c r="C73" s="617"/>
      <c r="D73" s="618"/>
      <c r="E73" s="605">
        <f>K72</f>
        <v>0.14583333333212067</v>
      </c>
      <c r="F73" s="606"/>
      <c r="G73" s="606"/>
      <c r="H73" s="606"/>
      <c r="I73" s="606"/>
      <c r="J73" s="607"/>
      <c r="K73" s="608">
        <v>0.16666666666787933</v>
      </c>
      <c r="L73" s="606"/>
      <c r="M73" s="606"/>
      <c r="N73" s="606"/>
      <c r="O73" s="606"/>
      <c r="P73" s="609"/>
      <c r="Q73" s="610">
        <f t="shared" si="16"/>
        <v>0.020833333332120674</v>
      </c>
      <c r="R73" s="611"/>
      <c r="S73" s="611"/>
      <c r="T73" s="611"/>
      <c r="U73" s="611"/>
      <c r="V73" s="612"/>
      <c r="W73" s="613" t="s">
        <v>174</v>
      </c>
      <c r="X73" s="614"/>
      <c r="Y73" s="614"/>
      <c r="Z73" s="614"/>
      <c r="AA73" s="614"/>
      <c r="AB73" s="614"/>
      <c r="AC73" s="614"/>
      <c r="AD73" s="614"/>
      <c r="AE73" s="614"/>
      <c r="AF73" s="614"/>
      <c r="AG73" s="614"/>
      <c r="AH73" s="614"/>
      <c r="AI73" s="614"/>
      <c r="AJ73" s="615"/>
      <c r="AK73" s="601"/>
    </row>
    <row r="74" ht="15.75" customHeight="1" spans="1:37" s="586" customFormat="1" x14ac:dyDescent="0.25">
      <c r="A74" s="616"/>
      <c r="B74" s="617"/>
      <c r="C74" s="617"/>
      <c r="D74" s="618"/>
      <c r="E74" s="605">
        <f>K73</f>
        <v>0.16666666666787933</v>
      </c>
      <c r="F74" s="606"/>
      <c r="G74" s="606"/>
      <c r="H74" s="606"/>
      <c r="I74" s="606"/>
      <c r="J74" s="607"/>
      <c r="K74" s="608">
        <v>0.2708333333321207</v>
      </c>
      <c r="L74" s="606"/>
      <c r="M74" s="606"/>
      <c r="N74" s="606"/>
      <c r="O74" s="606"/>
      <c r="P74" s="609"/>
      <c r="Q74" s="610">
        <f t="shared" si="16"/>
        <v>0.10416666666787933</v>
      </c>
      <c r="R74" s="611"/>
      <c r="S74" s="611"/>
      <c r="T74" s="611"/>
      <c r="U74" s="611"/>
      <c r="V74" s="612"/>
      <c r="W74" s="613" t="s">
        <v>169</v>
      </c>
      <c r="X74" s="614"/>
      <c r="Y74" s="614"/>
      <c r="Z74" s="614"/>
      <c r="AA74" s="614"/>
      <c r="AB74" s="614"/>
      <c r="AC74" s="614"/>
      <c r="AD74" s="614"/>
      <c r="AE74" s="614"/>
      <c r="AF74" s="614"/>
      <c r="AG74" s="614"/>
      <c r="AH74" s="614"/>
      <c r="AI74" s="614"/>
      <c r="AJ74" s="615"/>
      <c r="AK74" s="601"/>
    </row>
    <row r="75" ht="15.75" customHeight="1" spans="1:37" s="586" customFormat="1" x14ac:dyDescent="0.25">
      <c r="A75" s="616"/>
      <c r="B75" s="617"/>
      <c r="C75" s="617"/>
      <c r="D75" s="618"/>
      <c r="E75" s="605">
        <f>K74</f>
        <v>0.2708333333321207</v>
      </c>
      <c r="F75" s="606"/>
      <c r="G75" s="606"/>
      <c r="H75" s="606"/>
      <c r="I75" s="606"/>
      <c r="J75" s="607"/>
      <c r="K75" s="608">
        <v>0.3333333333321207</v>
      </c>
      <c r="L75" s="606"/>
      <c r="M75" s="606"/>
      <c r="N75" s="606"/>
      <c r="O75" s="606"/>
      <c r="P75" s="609"/>
      <c r="Q75" s="610">
        <f t="shared" si="16"/>
        <v>0.0625</v>
      </c>
      <c r="R75" s="611"/>
      <c r="S75" s="611"/>
      <c r="T75" s="611"/>
      <c r="U75" s="611"/>
      <c r="V75" s="612"/>
      <c r="W75" s="613" t="s">
        <v>170</v>
      </c>
      <c r="X75" s="614"/>
      <c r="Y75" s="614"/>
      <c r="Z75" s="614"/>
      <c r="AA75" s="614"/>
      <c r="AB75" s="614"/>
      <c r="AC75" s="614"/>
      <c r="AD75" s="614"/>
      <c r="AE75" s="614"/>
      <c r="AF75" s="614"/>
      <c r="AG75" s="614"/>
      <c r="AH75" s="614"/>
      <c r="AI75" s="614"/>
      <c r="AJ75" s="615"/>
      <c r="AK75" s="601"/>
    </row>
    <row r="76" ht="15.75" customHeight="1" spans="1:37" s="586" customFormat="1" x14ac:dyDescent="0.25">
      <c r="A76" s="616"/>
      <c r="B76" s="617"/>
      <c r="C76" s="617"/>
      <c r="D76" s="618"/>
      <c r="E76" s="590">
        <f>K75</f>
        <v>0.3333333333321207</v>
      </c>
      <c r="F76" s="591"/>
      <c r="G76" s="591"/>
      <c r="H76" s="591"/>
      <c r="I76" s="591"/>
      <c r="J76" s="592"/>
      <c r="K76" s="608">
        <v>0.4756944444452529</v>
      </c>
      <c r="L76" s="606"/>
      <c r="M76" s="606"/>
      <c r="N76" s="606"/>
      <c r="O76" s="606"/>
      <c r="P76" s="609"/>
      <c r="Q76" s="610">
        <f t="shared" si="16"/>
        <v>0.14236111110949423</v>
      </c>
      <c r="R76" s="611"/>
      <c r="S76" s="611"/>
      <c r="T76" s="611"/>
      <c r="U76" s="611"/>
      <c r="V76" s="612"/>
      <c r="W76" s="613" t="s">
        <v>169</v>
      </c>
      <c r="X76" s="614"/>
      <c r="Y76" s="614"/>
      <c r="Z76" s="614"/>
      <c r="AA76" s="614"/>
      <c r="AB76" s="614"/>
      <c r="AC76" s="614"/>
      <c r="AD76" s="614"/>
      <c r="AE76" s="614"/>
      <c r="AF76" s="614"/>
      <c r="AG76" s="614"/>
      <c r="AH76" s="614"/>
      <c r="AI76" s="614"/>
      <c r="AJ76" s="615"/>
      <c r="AK76" s="601"/>
    </row>
    <row r="77" ht="15.75" customHeight="1" spans="1:37" s="586" customFormat="1" x14ac:dyDescent="0.25">
      <c r="A77" s="602"/>
      <c r="B77" s="603"/>
      <c r="C77" s="603"/>
      <c r="D77" s="604"/>
      <c r="E77" s="605"/>
      <c r="F77" s="606"/>
      <c r="G77" s="606"/>
      <c r="H77" s="606"/>
      <c r="I77" s="606"/>
      <c r="J77" s="607"/>
      <c r="K77" s="608">
        <f>K76</f>
        <v>0.4756944444452529</v>
      </c>
      <c r="L77" s="606"/>
      <c r="M77" s="606"/>
      <c r="N77" s="606"/>
      <c r="O77" s="606"/>
      <c r="P77" s="609"/>
      <c r="Q77" s="610">
        <f t="shared" si="16"/>
      </c>
      <c r="R77" s="611"/>
      <c r="S77" s="611"/>
      <c r="T77" s="611"/>
      <c r="U77" s="611"/>
      <c r="V77" s="612"/>
      <c r="W77" s="613" t="s">
        <v>171</v>
      </c>
      <c r="X77" s="614"/>
      <c r="Y77" s="614"/>
      <c r="Z77" s="614"/>
      <c r="AA77" s="614"/>
      <c r="AB77" s="614"/>
      <c r="AC77" s="614"/>
      <c r="AD77" s="614"/>
      <c r="AE77" s="614"/>
      <c r="AF77" s="614"/>
      <c r="AG77" s="614"/>
      <c r="AH77" s="614"/>
      <c r="AI77" s="614"/>
      <c r="AJ77" s="615"/>
      <c r="AK77" s="601"/>
    </row>
    <row r="78" ht="15.75" customHeight="1" spans="1:37" s="586" customFormat="1" x14ac:dyDescent="0.25">
      <c r="A78" s="616"/>
      <c r="B78" s="617"/>
      <c r="C78" s="617"/>
      <c r="D78" s="618"/>
      <c r="E78" s="605">
        <v>0.48611111110949423</v>
      </c>
      <c r="F78" s="606"/>
      <c r="G78" s="606"/>
      <c r="H78" s="606"/>
      <c r="I78" s="606"/>
      <c r="J78" s="607"/>
      <c r="K78" s="606"/>
      <c r="L78" s="606"/>
      <c r="M78" s="606"/>
      <c r="N78" s="606"/>
      <c r="O78" s="606"/>
      <c r="P78" s="609"/>
      <c r="Q78" s="610">
        <f t="shared" si="16"/>
      </c>
      <c r="R78" s="611"/>
      <c r="S78" s="611"/>
      <c r="T78" s="611"/>
      <c r="U78" s="611"/>
      <c r="V78" s="612"/>
      <c r="W78" s="598" t="s">
        <v>172</v>
      </c>
      <c r="X78" s="599"/>
      <c r="Y78" s="599"/>
      <c r="Z78" s="599"/>
      <c r="AA78" s="599"/>
      <c r="AB78" s="599"/>
      <c r="AC78" s="599"/>
      <c r="AD78" s="599"/>
      <c r="AE78" s="599"/>
      <c r="AF78" s="599"/>
      <c r="AG78" s="599"/>
      <c r="AH78" s="599"/>
      <c r="AI78" s="599"/>
      <c r="AJ78" s="600"/>
      <c r="AK78" s="601"/>
    </row>
    <row r="79" ht="15.75" customHeight="1" spans="1:37" s="586" customFormat="1" x14ac:dyDescent="0.25">
      <c r="A79" s="616"/>
      <c r="B79" s="617"/>
      <c r="C79" s="617"/>
      <c r="D79" s="618"/>
      <c r="E79" s="605">
        <f>E78</f>
        <v>0.48611111110949423</v>
      </c>
      <c r="F79" s="606"/>
      <c r="G79" s="606"/>
      <c r="H79" s="606"/>
      <c r="I79" s="606"/>
      <c r="J79" s="607"/>
      <c r="K79" s="608">
        <v>0.5</v>
      </c>
      <c r="L79" s="606"/>
      <c r="M79" s="606"/>
      <c r="N79" s="606"/>
      <c r="O79" s="606"/>
      <c r="P79" s="609"/>
      <c r="Q79" s="610">
        <f t="shared" si="16"/>
        <v>0.013888888890505768</v>
      </c>
      <c r="R79" s="611"/>
      <c r="S79" s="611"/>
      <c r="T79" s="611"/>
      <c r="U79" s="611"/>
      <c r="V79" s="612"/>
      <c r="W79" s="613" t="s">
        <v>173</v>
      </c>
      <c r="X79" s="614"/>
      <c r="Y79" s="614"/>
      <c r="Z79" s="614"/>
      <c r="AA79" s="614"/>
      <c r="AB79" s="614"/>
      <c r="AC79" s="614"/>
      <c r="AD79" s="614"/>
      <c r="AE79" s="614"/>
      <c r="AF79" s="614"/>
      <c r="AG79" s="614"/>
      <c r="AH79" s="614"/>
      <c r="AI79" s="614"/>
      <c r="AJ79" s="615"/>
      <c r="AK79" s="601"/>
    </row>
    <row r="80" ht="15.75" customHeight="1" spans="1:37" s="586" customFormat="1" x14ac:dyDescent="0.25">
      <c r="A80" s="616"/>
      <c r="B80" s="617"/>
      <c r="C80" s="617"/>
      <c r="D80" s="618"/>
      <c r="E80" s="605">
        <f>K79</f>
        <v>0.5</v>
      </c>
      <c r="F80" s="606"/>
      <c r="G80" s="606"/>
      <c r="H80" s="606"/>
      <c r="I80" s="606"/>
      <c r="J80" s="607"/>
      <c r="K80" s="608">
        <v>0.5416666666678793</v>
      </c>
      <c r="L80" s="606"/>
      <c r="M80" s="606"/>
      <c r="N80" s="606"/>
      <c r="O80" s="606"/>
      <c r="P80" s="609"/>
      <c r="Q80" s="610">
        <f t="shared" si="16"/>
        <v>0.041666666667879326</v>
      </c>
      <c r="R80" s="611"/>
      <c r="S80" s="611"/>
      <c r="T80" s="611"/>
      <c r="U80" s="611"/>
      <c r="V80" s="612"/>
      <c r="W80" s="613" t="s">
        <v>170</v>
      </c>
      <c r="X80" s="614"/>
      <c r="Y80" s="614"/>
      <c r="Z80" s="614"/>
      <c r="AA80" s="614"/>
      <c r="AB80" s="614"/>
      <c r="AC80" s="614"/>
      <c r="AD80" s="614"/>
      <c r="AE80" s="614"/>
      <c r="AF80" s="614"/>
      <c r="AG80" s="614"/>
      <c r="AH80" s="614"/>
      <c r="AI80" s="614"/>
      <c r="AJ80" s="615"/>
      <c r="AK80" s="601"/>
    </row>
    <row r="81" ht="15.75" customHeight="1" spans="1:37" s="586" customFormat="1" x14ac:dyDescent="0.25">
      <c r="A81" s="616"/>
      <c r="B81" s="617"/>
      <c r="C81" s="617"/>
      <c r="D81" s="618"/>
      <c r="E81" s="605">
        <f>K80</f>
        <v>0.5416666666678793</v>
      </c>
      <c r="F81" s="606"/>
      <c r="G81" s="606"/>
      <c r="H81" s="606"/>
      <c r="I81" s="606"/>
      <c r="J81" s="607"/>
      <c r="K81" s="608">
        <v>0.7291666666678793</v>
      </c>
      <c r="L81" s="606"/>
      <c r="M81" s="606"/>
      <c r="N81" s="606"/>
      <c r="O81" s="606"/>
      <c r="P81" s="609"/>
      <c r="Q81" s="610">
        <f t="shared" si="16"/>
        <v>0.1875</v>
      </c>
      <c r="R81" s="611"/>
      <c r="S81" s="611"/>
      <c r="T81" s="611"/>
      <c r="U81" s="611"/>
      <c r="V81" s="612"/>
      <c r="W81" s="613" t="s">
        <v>173</v>
      </c>
      <c r="X81" s="614"/>
      <c r="Y81" s="614"/>
      <c r="Z81" s="614"/>
      <c r="AA81" s="614"/>
      <c r="AB81" s="614"/>
      <c r="AC81" s="614"/>
      <c r="AD81" s="614"/>
      <c r="AE81" s="614"/>
      <c r="AF81" s="614"/>
      <c r="AG81" s="614"/>
      <c r="AH81" s="614"/>
      <c r="AI81" s="614"/>
      <c r="AJ81" s="615"/>
      <c r="AK81" s="601"/>
    </row>
    <row r="82" ht="15.75" customHeight="1" spans="1:37" s="586" customFormat="1" x14ac:dyDescent="0.25">
      <c r="A82" s="616"/>
      <c r="B82" s="617"/>
      <c r="C82" s="617"/>
      <c r="D82" s="618"/>
      <c r="E82" s="605">
        <f>K81</f>
        <v>0.7291666666678793</v>
      </c>
      <c r="F82" s="606"/>
      <c r="G82" s="606"/>
      <c r="H82" s="606"/>
      <c r="I82" s="606"/>
      <c r="J82" s="607"/>
      <c r="K82" s="608">
        <v>0.7916666666678793</v>
      </c>
      <c r="L82" s="606"/>
      <c r="M82" s="606"/>
      <c r="N82" s="606"/>
      <c r="O82" s="606"/>
      <c r="P82" s="609"/>
      <c r="Q82" s="610">
        <f t="shared" ref="Q82:Q87" si="17">IF(AND(NOT(ISBLANK(K82)),NOT(ISBLANK(E82))), IF(K82&gt;E82,K82-E82,24-E82+K82), "")</f>
        <v>0.0625</v>
      </c>
      <c r="R82" s="611"/>
      <c r="S82" s="611"/>
      <c r="T82" s="611"/>
      <c r="U82" s="611"/>
      <c r="V82" s="612"/>
      <c r="W82" s="613" t="s">
        <v>170</v>
      </c>
      <c r="X82" s="614"/>
      <c r="Y82" s="614"/>
      <c r="Z82" s="614"/>
      <c r="AA82" s="614"/>
      <c r="AB82" s="614"/>
      <c r="AC82" s="614"/>
      <c r="AD82" s="614"/>
      <c r="AE82" s="614"/>
      <c r="AF82" s="614"/>
      <c r="AG82" s="614"/>
      <c r="AH82" s="614"/>
      <c r="AI82" s="614"/>
      <c r="AJ82" s="615"/>
      <c r="AK82" s="601"/>
    </row>
    <row r="83" ht="15.75" customHeight="1" spans="1:37" s="586" customFormat="1" x14ac:dyDescent="0.25">
      <c r="A83" s="616"/>
      <c r="B83" s="617"/>
      <c r="C83" s="617"/>
      <c r="D83" s="618"/>
      <c r="E83" s="605">
        <f>K82</f>
        <v>0.7916666666678793</v>
      </c>
      <c r="F83" s="606"/>
      <c r="G83" s="606"/>
      <c r="H83" s="606"/>
      <c r="I83" s="606"/>
      <c r="J83" s="607"/>
      <c r="K83" s="608">
        <v>0.8368055555547471</v>
      </c>
      <c r="L83" s="606"/>
      <c r="M83" s="606"/>
      <c r="N83" s="606"/>
      <c r="O83" s="606"/>
      <c r="P83" s="609"/>
      <c r="Q83" s="610">
        <f t="shared" si="17"/>
        <v>0.04513888889050577</v>
      </c>
      <c r="R83" s="611"/>
      <c r="S83" s="611"/>
      <c r="T83" s="611"/>
      <c r="U83" s="611"/>
      <c r="V83" s="612"/>
      <c r="W83" s="613" t="s">
        <v>173</v>
      </c>
      <c r="X83" s="614"/>
      <c r="Y83" s="614"/>
      <c r="Z83" s="614"/>
      <c r="AA83" s="614"/>
      <c r="AB83" s="614"/>
      <c r="AC83" s="614"/>
      <c r="AD83" s="614"/>
      <c r="AE83" s="614"/>
      <c r="AF83" s="614"/>
      <c r="AG83" s="614"/>
      <c r="AH83" s="614"/>
      <c r="AI83" s="614"/>
      <c r="AJ83" s="615"/>
      <c r="AK83" s="601"/>
    </row>
    <row r="84" ht="15.75" customHeight="1" spans="1:37" s="586" customFormat="1" x14ac:dyDescent="0.25">
      <c r="A84" s="616"/>
      <c r="B84" s="617"/>
      <c r="C84" s="617"/>
      <c r="D84" s="618"/>
      <c r="E84" s="605"/>
      <c r="F84" s="606"/>
      <c r="G84" s="606"/>
      <c r="H84" s="606"/>
      <c r="I84" s="606"/>
      <c r="J84" s="607"/>
      <c r="K84" s="608">
        <f>K83</f>
        <v>0.8368055555547471</v>
      </c>
      <c r="L84" s="606"/>
      <c r="M84" s="606"/>
      <c r="N84" s="606"/>
      <c r="O84" s="606"/>
      <c r="P84" s="609"/>
      <c r="Q84" s="610">
        <f t="shared" si="17"/>
      </c>
      <c r="R84" s="611"/>
      <c r="S84" s="611"/>
      <c r="T84" s="611"/>
      <c r="U84" s="611"/>
      <c r="V84" s="612"/>
      <c r="W84" s="613" t="s">
        <v>175</v>
      </c>
      <c r="X84" s="614"/>
      <c r="Y84" s="614"/>
      <c r="Z84" s="614"/>
      <c r="AA84" s="614"/>
      <c r="AB84" s="614"/>
      <c r="AC84" s="614"/>
      <c r="AD84" s="614"/>
      <c r="AE84" s="614"/>
      <c r="AF84" s="614"/>
      <c r="AG84" s="614"/>
      <c r="AH84" s="614"/>
      <c r="AI84" s="614"/>
      <c r="AJ84" s="615"/>
      <c r="AK84" s="601"/>
    </row>
    <row r="85" ht="15.75" customHeight="1" hidden="1" spans="1:37" s="586" customFormat="1" x14ac:dyDescent="0.25">
      <c r="A85" s="616"/>
      <c r="B85" s="617"/>
      <c r="C85" s="617"/>
      <c r="D85" s="618"/>
      <c r="E85" s="590"/>
      <c r="F85" s="591"/>
      <c r="G85" s="591"/>
      <c r="H85" s="591"/>
      <c r="I85" s="591"/>
      <c r="J85" s="592"/>
      <c r="K85" s="593"/>
      <c r="L85" s="591"/>
      <c r="M85" s="591"/>
      <c r="N85" s="591"/>
      <c r="O85" s="591"/>
      <c r="P85" s="594"/>
      <c r="Q85" s="610">
        <f t="shared" si="17"/>
      </c>
      <c r="R85" s="611"/>
      <c r="S85" s="611"/>
      <c r="T85" s="611"/>
      <c r="U85" s="611"/>
      <c r="V85" s="612"/>
      <c r="W85" s="598"/>
      <c r="X85" s="599"/>
      <c r="Y85" s="599"/>
      <c r="Z85" s="599"/>
      <c r="AA85" s="599"/>
      <c r="AB85" s="599"/>
      <c r="AC85" s="599"/>
      <c r="AD85" s="599"/>
      <c r="AE85" s="599"/>
      <c r="AF85" s="599"/>
      <c r="AG85" s="599"/>
      <c r="AH85" s="599"/>
      <c r="AI85" s="599"/>
      <c r="AJ85" s="600"/>
      <c r="AK85" s="601"/>
    </row>
    <row r="86" ht="15.75" customHeight="1" hidden="1" spans="1:37" s="586" customFormat="1" x14ac:dyDescent="0.25">
      <c r="A86" s="616"/>
      <c r="B86" s="617"/>
      <c r="C86" s="617"/>
      <c r="D86" s="618"/>
      <c r="E86" s="605"/>
      <c r="F86" s="606"/>
      <c r="G86" s="606"/>
      <c r="H86" s="606"/>
      <c r="I86" s="606"/>
      <c r="J86" s="607"/>
      <c r="K86" s="608"/>
      <c r="L86" s="606"/>
      <c r="M86" s="606"/>
      <c r="N86" s="606"/>
      <c r="O86" s="606"/>
      <c r="P86" s="609"/>
      <c r="Q86" s="610">
        <f t="shared" si="17"/>
      </c>
      <c r="R86" s="611"/>
      <c r="S86" s="611"/>
      <c r="T86" s="611"/>
      <c r="U86" s="611"/>
      <c r="V86" s="612"/>
      <c r="W86" s="613"/>
      <c r="X86" s="614"/>
      <c r="Y86" s="614"/>
      <c r="Z86" s="614"/>
      <c r="AA86" s="614"/>
      <c r="AB86" s="614"/>
      <c r="AC86" s="614"/>
      <c r="AD86" s="614"/>
      <c r="AE86" s="614"/>
      <c r="AF86" s="614"/>
      <c r="AG86" s="614"/>
      <c r="AH86" s="614"/>
      <c r="AI86" s="614"/>
      <c r="AJ86" s="615"/>
      <c r="AK86" s="601"/>
    </row>
    <row r="87" ht="15.75" customHeight="1" hidden="1" spans="1:37" s="586" customFormat="1" x14ac:dyDescent="0.25">
      <c r="A87" s="616"/>
      <c r="B87" s="617"/>
      <c r="C87" s="617"/>
      <c r="D87" s="618"/>
      <c r="E87" s="605"/>
      <c r="F87" s="606"/>
      <c r="G87" s="606"/>
      <c r="H87" s="606"/>
      <c r="I87" s="606"/>
      <c r="J87" s="607"/>
      <c r="K87" s="606"/>
      <c r="L87" s="606"/>
      <c r="M87" s="606"/>
      <c r="N87" s="606"/>
      <c r="O87" s="606"/>
      <c r="P87" s="609"/>
      <c r="Q87" s="610">
        <f t="shared" si="17"/>
      </c>
      <c r="R87" s="611"/>
      <c r="S87" s="611"/>
      <c r="T87" s="611"/>
      <c r="U87" s="611"/>
      <c r="V87" s="612"/>
      <c r="W87" s="613"/>
      <c r="X87" s="614"/>
      <c r="Y87" s="614"/>
      <c r="Z87" s="614"/>
      <c r="AA87" s="614"/>
      <c r="AB87" s="614"/>
      <c r="AC87" s="614"/>
      <c r="AD87" s="614"/>
      <c r="AE87" s="614"/>
      <c r="AF87" s="614"/>
      <c r="AG87" s="614"/>
      <c r="AH87" s="614"/>
      <c r="AI87" s="614"/>
      <c r="AJ87" s="615"/>
      <c r="AK87" s="601"/>
    </row>
    <row r="88" ht="15.75" customHeight="1" spans="1:37" s="586" customFormat="1" x14ac:dyDescent="0.25">
      <c r="A88" s="632"/>
      <c r="B88" s="633"/>
      <c r="C88" s="633"/>
      <c r="D88" s="634"/>
      <c r="E88" s="635"/>
      <c r="F88" s="636"/>
      <c r="G88" s="636"/>
      <c r="H88" s="636"/>
      <c r="I88" s="636"/>
      <c r="J88" s="637"/>
      <c r="K88" s="636"/>
      <c r="L88" s="636"/>
      <c r="M88" s="636"/>
      <c r="N88" s="636"/>
      <c r="O88" s="636"/>
      <c r="P88" s="638"/>
      <c r="Q88" s="639"/>
      <c r="R88" s="640"/>
      <c r="S88" s="640"/>
      <c r="T88" s="640"/>
      <c r="U88" s="640"/>
      <c r="V88" s="641"/>
      <c r="W88" s="642"/>
      <c r="X88" s="643"/>
      <c r="Y88" s="643"/>
      <c r="Z88" s="643"/>
      <c r="AA88" s="643"/>
      <c r="AB88" s="643"/>
      <c r="AC88" s="643"/>
      <c r="AD88" s="643"/>
      <c r="AE88" s="643"/>
      <c r="AF88" s="643"/>
      <c r="AG88" s="643"/>
      <c r="AH88" s="643"/>
      <c r="AI88" s="643"/>
      <c r="AJ88" s="644"/>
      <c r="AK88" s="601"/>
    </row>
    <row r="89" ht="15.75" customHeight="1" spans="1:37" s="586" customFormat="1" x14ac:dyDescent="0.25">
      <c r="A89" s="619"/>
      <c r="B89" s="620"/>
      <c r="C89" s="620"/>
      <c r="D89" s="620"/>
      <c r="E89" s="620"/>
      <c r="F89" s="620"/>
      <c r="G89" s="620"/>
      <c r="H89" s="620"/>
      <c r="I89" s="620"/>
      <c r="J89" s="620"/>
      <c r="K89" s="620"/>
      <c r="L89" s="620"/>
      <c r="M89" s="620"/>
      <c r="N89" s="620"/>
      <c r="O89" s="620"/>
      <c r="P89" s="621"/>
      <c r="Q89" s="622">
        <f>SUM(Q71:V87)</f>
        <v>0.7013888888905058</v>
      </c>
      <c r="R89" s="623"/>
      <c r="S89" s="623"/>
      <c r="T89" s="623"/>
      <c r="U89" s="623"/>
      <c r="V89" s="624"/>
      <c r="W89" s="629"/>
      <c r="X89" s="630"/>
      <c r="Y89" s="630"/>
      <c r="Z89" s="630"/>
      <c r="AA89" s="630"/>
      <c r="AB89" s="630"/>
      <c r="AC89" s="630"/>
      <c r="AD89" s="630"/>
      <c r="AE89" s="630"/>
      <c r="AF89" s="630"/>
      <c r="AG89" s="630"/>
      <c r="AH89" s="630"/>
      <c r="AI89" s="630"/>
      <c r="AJ89" s="631"/>
      <c r="AK89" s="601"/>
    </row>
    <row r="90" ht="15.75" customHeight="1" spans="1:37" s="586" customFormat="1" x14ac:dyDescent="0.25">
      <c r="A90" s="587" t="s">
        <v>179</v>
      </c>
      <c r="B90" s="588"/>
      <c r="C90" s="588"/>
      <c r="D90" s="589"/>
      <c r="E90" s="590">
        <v>0.11111111110949423</v>
      </c>
      <c r="F90" s="591"/>
      <c r="G90" s="591"/>
      <c r="H90" s="591"/>
      <c r="I90" s="591"/>
      <c r="J90" s="592"/>
      <c r="K90" s="593"/>
      <c r="L90" s="591"/>
      <c r="M90" s="591"/>
      <c r="N90" s="591"/>
      <c r="O90" s="591"/>
      <c r="P90" s="594"/>
      <c r="Q90" s="595">
        <f t="shared" ref="Q90:Q102" si="18">IF(AND(NOT(ISBLANK(K90)),NOT(ISBLANK(E90))), IF(K90&gt;E90,K90-E90,24-E90+K90), "")</f>
      </c>
      <c r="R90" s="596"/>
      <c r="S90" s="596"/>
      <c r="T90" s="596"/>
      <c r="U90" s="596"/>
      <c r="V90" s="597"/>
      <c r="W90" s="598" t="s">
        <v>168</v>
      </c>
      <c r="X90" s="599"/>
      <c r="Y90" s="599"/>
      <c r="Z90" s="599"/>
      <c r="AA90" s="599"/>
      <c r="AB90" s="599"/>
      <c r="AC90" s="599"/>
      <c r="AD90" s="599"/>
      <c r="AE90" s="599"/>
      <c r="AF90" s="599"/>
      <c r="AG90" s="599"/>
      <c r="AH90" s="599"/>
      <c r="AI90" s="599"/>
      <c r="AJ90" s="600"/>
      <c r="AK90" s="601"/>
    </row>
    <row r="91" ht="15.75" customHeight="1" spans="1:37" s="586" customFormat="1" x14ac:dyDescent="0.25">
      <c r="A91" s="602" t="s">
        <v>178</v>
      </c>
      <c r="B91" s="603"/>
      <c r="C91" s="603"/>
      <c r="D91" s="604"/>
      <c r="E91" s="605">
        <f>E90</f>
        <v>0.11111111110949423</v>
      </c>
      <c r="F91" s="606"/>
      <c r="G91" s="606"/>
      <c r="H91" s="606"/>
      <c r="I91" s="606"/>
      <c r="J91" s="607"/>
      <c r="K91" s="608">
        <v>0.14583333333212067</v>
      </c>
      <c r="L91" s="606"/>
      <c r="M91" s="606"/>
      <c r="N91" s="606"/>
      <c r="O91" s="606"/>
      <c r="P91" s="609"/>
      <c r="Q91" s="610">
        <f t="shared" si="18"/>
        <v>0.03472222222262644</v>
      </c>
      <c r="R91" s="611"/>
      <c r="S91" s="611"/>
      <c r="T91" s="611"/>
      <c r="U91" s="611"/>
      <c r="V91" s="612"/>
      <c r="W91" s="613" t="s">
        <v>169</v>
      </c>
      <c r="X91" s="614"/>
      <c r="Y91" s="614"/>
      <c r="Z91" s="614"/>
      <c r="AA91" s="614"/>
      <c r="AB91" s="614"/>
      <c r="AC91" s="614"/>
      <c r="AD91" s="614"/>
      <c r="AE91" s="614"/>
      <c r="AF91" s="614"/>
      <c r="AG91" s="614"/>
      <c r="AH91" s="614"/>
      <c r="AI91" s="614"/>
      <c r="AJ91" s="615"/>
      <c r="AK91" s="601"/>
    </row>
    <row r="92" ht="15.75" customHeight="1" spans="1:37" s="586" customFormat="1" x14ac:dyDescent="0.25">
      <c r="A92" s="616"/>
      <c r="B92" s="617"/>
      <c r="C92" s="617"/>
      <c r="D92" s="618"/>
      <c r="E92" s="605">
        <f t="shared" ref="E92:E97" si="19">K91</f>
        <v>0.14583333333212067</v>
      </c>
      <c r="F92" s="606"/>
      <c r="G92" s="606"/>
      <c r="H92" s="606"/>
      <c r="I92" s="606"/>
      <c r="J92" s="607"/>
      <c r="K92" s="608">
        <v>0.16666666666787933</v>
      </c>
      <c r="L92" s="606"/>
      <c r="M92" s="606"/>
      <c r="N92" s="606"/>
      <c r="O92" s="606"/>
      <c r="P92" s="609"/>
      <c r="Q92" s="610">
        <f t="shared" si="18"/>
        <v>0.020833333332120674</v>
      </c>
      <c r="R92" s="611"/>
      <c r="S92" s="611"/>
      <c r="T92" s="611"/>
      <c r="U92" s="611"/>
      <c r="V92" s="612"/>
      <c r="W92" s="613" t="s">
        <v>174</v>
      </c>
      <c r="X92" s="614"/>
      <c r="Y92" s="614"/>
      <c r="Z92" s="614"/>
      <c r="AA92" s="614"/>
      <c r="AB92" s="614"/>
      <c r="AC92" s="614"/>
      <c r="AD92" s="614"/>
      <c r="AE92" s="614"/>
      <c r="AF92" s="614"/>
      <c r="AG92" s="614"/>
      <c r="AH92" s="614"/>
      <c r="AI92" s="614"/>
      <c r="AJ92" s="615"/>
      <c r="AK92" s="601"/>
    </row>
    <row r="93" ht="15.75" customHeight="1" spans="1:37" s="586" customFormat="1" x14ac:dyDescent="0.25">
      <c r="A93" s="616"/>
      <c r="B93" s="617"/>
      <c r="C93" s="617"/>
      <c r="D93" s="618"/>
      <c r="E93" s="605">
        <f t="shared" si="19"/>
        <v>0.16666666666787933</v>
      </c>
      <c r="F93" s="606"/>
      <c r="G93" s="606"/>
      <c r="H93" s="606"/>
      <c r="I93" s="606"/>
      <c r="J93" s="607"/>
      <c r="K93" s="608">
        <v>0.2708333333321207</v>
      </c>
      <c r="L93" s="606"/>
      <c r="M93" s="606"/>
      <c r="N93" s="606"/>
      <c r="O93" s="606"/>
      <c r="P93" s="609"/>
      <c r="Q93" s="610">
        <f t="shared" si="18"/>
        <v>0.10416666666787933</v>
      </c>
      <c r="R93" s="611"/>
      <c r="S93" s="611"/>
      <c r="T93" s="611"/>
      <c r="U93" s="611"/>
      <c r="V93" s="612"/>
      <c r="W93" s="613" t="s">
        <v>169</v>
      </c>
      <c r="X93" s="614"/>
      <c r="Y93" s="614"/>
      <c r="Z93" s="614"/>
      <c r="AA93" s="614"/>
      <c r="AB93" s="614"/>
      <c r="AC93" s="614"/>
      <c r="AD93" s="614"/>
      <c r="AE93" s="614"/>
      <c r="AF93" s="614"/>
      <c r="AG93" s="614"/>
      <c r="AH93" s="614"/>
      <c r="AI93" s="614"/>
      <c r="AJ93" s="615"/>
      <c r="AK93" s="601"/>
    </row>
    <row r="94" ht="15.75" customHeight="1" spans="1:37" s="586" customFormat="1" x14ac:dyDescent="0.25">
      <c r="A94" s="616"/>
      <c r="B94" s="617"/>
      <c r="C94" s="617"/>
      <c r="D94" s="618"/>
      <c r="E94" s="605">
        <f t="shared" si="19"/>
        <v>0.2708333333321207</v>
      </c>
      <c r="F94" s="606"/>
      <c r="G94" s="606"/>
      <c r="H94" s="606"/>
      <c r="I94" s="606"/>
      <c r="J94" s="607"/>
      <c r="K94" s="608">
        <v>0.3333333333321207</v>
      </c>
      <c r="L94" s="606"/>
      <c r="M94" s="606"/>
      <c r="N94" s="606"/>
      <c r="O94" s="606"/>
      <c r="P94" s="609"/>
      <c r="Q94" s="610">
        <f t="shared" si="18"/>
        <v>0.0625</v>
      </c>
      <c r="R94" s="611"/>
      <c r="S94" s="611"/>
      <c r="T94" s="611"/>
      <c r="U94" s="611"/>
      <c r="V94" s="612"/>
      <c r="W94" s="613" t="s">
        <v>170</v>
      </c>
      <c r="X94" s="614"/>
      <c r="Y94" s="614"/>
      <c r="Z94" s="614"/>
      <c r="AA94" s="614"/>
      <c r="AB94" s="614"/>
      <c r="AC94" s="614"/>
      <c r="AD94" s="614"/>
      <c r="AE94" s="614"/>
      <c r="AF94" s="614"/>
      <c r="AG94" s="614"/>
      <c r="AH94" s="614"/>
      <c r="AI94" s="614"/>
      <c r="AJ94" s="615"/>
      <c r="AK94" s="601"/>
    </row>
    <row r="95" ht="15.75" customHeight="1" spans="1:37" s="586" customFormat="1" x14ac:dyDescent="0.25">
      <c r="A95" s="616"/>
      <c r="B95" s="617"/>
      <c r="C95" s="617"/>
      <c r="D95" s="618"/>
      <c r="E95" s="590">
        <f t="shared" si="19"/>
        <v>0.3333333333321207</v>
      </c>
      <c r="F95" s="591"/>
      <c r="G95" s="591"/>
      <c r="H95" s="591"/>
      <c r="I95" s="591"/>
      <c r="J95" s="592"/>
      <c r="K95" s="608">
        <v>0.5</v>
      </c>
      <c r="L95" s="606"/>
      <c r="M95" s="606"/>
      <c r="N95" s="606"/>
      <c r="O95" s="606"/>
      <c r="P95" s="609"/>
      <c r="Q95" s="610">
        <f t="shared" si="18"/>
        <v>0.16666666666787933</v>
      </c>
      <c r="R95" s="611"/>
      <c r="S95" s="611"/>
      <c r="T95" s="611"/>
      <c r="U95" s="611"/>
      <c r="V95" s="612"/>
      <c r="W95" s="613" t="s">
        <v>169</v>
      </c>
      <c r="X95" s="614"/>
      <c r="Y95" s="614"/>
      <c r="Z95" s="614"/>
      <c r="AA95" s="614"/>
      <c r="AB95" s="614"/>
      <c r="AC95" s="614"/>
      <c r="AD95" s="614"/>
      <c r="AE95" s="614"/>
      <c r="AF95" s="614"/>
      <c r="AG95" s="614"/>
      <c r="AH95" s="614"/>
      <c r="AI95" s="614"/>
      <c r="AJ95" s="615"/>
      <c r="AK95" s="601"/>
    </row>
    <row r="96" ht="15.75" customHeight="1" spans="1:37" s="586" customFormat="1" x14ac:dyDescent="0.25">
      <c r="A96" s="616"/>
      <c r="B96" s="617"/>
      <c r="C96" s="617"/>
      <c r="D96" s="618"/>
      <c r="E96" s="605">
        <f t="shared" si="19"/>
        <v>0.5</v>
      </c>
      <c r="F96" s="606"/>
      <c r="G96" s="606"/>
      <c r="H96" s="606"/>
      <c r="I96" s="606"/>
      <c r="J96" s="607"/>
      <c r="K96" s="608">
        <v>0.5416666666678793</v>
      </c>
      <c r="L96" s="606"/>
      <c r="M96" s="606"/>
      <c r="N96" s="606"/>
      <c r="O96" s="606"/>
      <c r="P96" s="609"/>
      <c r="Q96" s="610">
        <f t="shared" ref="Q96" si="20">IF(AND(NOT(ISBLANK(K96)),NOT(ISBLANK(E96))), IF(K96&gt;E96,K96-E96,24-E96+K96), "")</f>
        <v>0.041666666667879326</v>
      </c>
      <c r="R96" s="611"/>
      <c r="S96" s="611"/>
      <c r="T96" s="611"/>
      <c r="U96" s="611"/>
      <c r="V96" s="612"/>
      <c r="W96" s="613" t="s">
        <v>170</v>
      </c>
      <c r="X96" s="614"/>
      <c r="Y96" s="614"/>
      <c r="Z96" s="614"/>
      <c r="AA96" s="614"/>
      <c r="AB96" s="614"/>
      <c r="AC96" s="614"/>
      <c r="AD96" s="614"/>
      <c r="AE96" s="614"/>
      <c r="AF96" s="614"/>
      <c r="AG96" s="614"/>
      <c r="AH96" s="614"/>
      <c r="AI96" s="614"/>
      <c r="AJ96" s="615"/>
      <c r="AK96" s="601"/>
    </row>
    <row r="97" ht="15.75" customHeight="1" spans="1:37" s="586" customFormat="1" x14ac:dyDescent="0.25">
      <c r="A97" s="616"/>
      <c r="B97" s="617"/>
      <c r="C97" s="617"/>
      <c r="D97" s="618"/>
      <c r="E97" s="605">
        <f t="shared" si="19"/>
        <v>0.5416666666678793</v>
      </c>
      <c r="F97" s="606"/>
      <c r="G97" s="606"/>
      <c r="H97" s="606"/>
      <c r="I97" s="606"/>
      <c r="J97" s="607"/>
      <c r="K97" s="608">
        <v>0.5520833333321207</v>
      </c>
      <c r="L97" s="606"/>
      <c r="M97" s="606"/>
      <c r="N97" s="606"/>
      <c r="O97" s="606"/>
      <c r="P97" s="609"/>
      <c r="Q97" s="610">
        <f t="shared" ref="Q97" si="21">IF(AND(NOT(ISBLANK(K97)),NOT(ISBLANK(E97))), IF(K97&gt;E97,K97-E97,24-E97+K97), "")</f>
        <v>0.010416666667879326</v>
      </c>
      <c r="R97" s="611"/>
      <c r="S97" s="611"/>
      <c r="T97" s="611"/>
      <c r="U97" s="611"/>
      <c r="V97" s="612"/>
      <c r="W97" s="613" t="s">
        <v>169</v>
      </c>
      <c r="X97" s="614"/>
      <c r="Y97" s="614"/>
      <c r="Z97" s="614"/>
      <c r="AA97" s="614"/>
      <c r="AB97" s="614"/>
      <c r="AC97" s="614"/>
      <c r="AD97" s="614"/>
      <c r="AE97" s="614"/>
      <c r="AF97" s="614"/>
      <c r="AG97" s="614"/>
      <c r="AH97" s="614"/>
      <c r="AI97" s="614"/>
      <c r="AJ97" s="615"/>
      <c r="AK97" s="601"/>
    </row>
    <row r="98" ht="15.75" customHeight="1" spans="1:37" s="586" customFormat="1" x14ac:dyDescent="0.25">
      <c r="A98" s="616"/>
      <c r="B98" s="617"/>
      <c r="C98" s="617"/>
      <c r="D98" s="618"/>
      <c r="E98" s="605"/>
      <c r="F98" s="606"/>
      <c r="G98" s="606"/>
      <c r="H98" s="606"/>
      <c r="I98" s="606"/>
      <c r="J98" s="607"/>
      <c r="K98" s="608">
        <f>K97</f>
        <v>0.5520833333321207</v>
      </c>
      <c r="L98" s="606"/>
      <c r="M98" s="606"/>
      <c r="N98" s="606"/>
      <c r="O98" s="606"/>
      <c r="P98" s="609"/>
      <c r="Q98" s="610">
        <f t="shared" si="18"/>
      </c>
      <c r="R98" s="611"/>
      <c r="S98" s="611"/>
      <c r="T98" s="611"/>
      <c r="U98" s="611"/>
      <c r="V98" s="612"/>
      <c r="W98" s="613" t="s">
        <v>171</v>
      </c>
      <c r="X98" s="614"/>
      <c r="Y98" s="614"/>
      <c r="Z98" s="614"/>
      <c r="AA98" s="614"/>
      <c r="AB98" s="614"/>
      <c r="AC98" s="614"/>
      <c r="AD98" s="614"/>
      <c r="AE98" s="614"/>
      <c r="AF98" s="614"/>
      <c r="AG98" s="614"/>
      <c r="AH98" s="614"/>
      <c r="AI98" s="614"/>
      <c r="AJ98" s="615"/>
      <c r="AK98" s="601"/>
    </row>
    <row r="99" ht="15.75" customHeight="1" spans="1:37" s="586" customFormat="1" x14ac:dyDescent="0.25">
      <c r="A99" s="616"/>
      <c r="B99" s="617"/>
      <c r="C99" s="617"/>
      <c r="D99" s="618"/>
      <c r="E99" s="605">
        <v>0.5625</v>
      </c>
      <c r="F99" s="606"/>
      <c r="G99" s="606"/>
      <c r="H99" s="606"/>
      <c r="I99" s="606"/>
      <c r="J99" s="607"/>
      <c r="K99" s="606"/>
      <c r="L99" s="606"/>
      <c r="M99" s="606"/>
      <c r="N99" s="606"/>
      <c r="O99" s="606"/>
      <c r="P99" s="609"/>
      <c r="Q99" s="610">
        <f t="shared" si="18"/>
      </c>
      <c r="R99" s="611"/>
      <c r="S99" s="611"/>
      <c r="T99" s="611"/>
      <c r="U99" s="611"/>
      <c r="V99" s="612"/>
      <c r="W99" s="598" t="s">
        <v>172</v>
      </c>
      <c r="X99" s="599"/>
      <c r="Y99" s="599"/>
      <c r="Z99" s="599"/>
      <c r="AA99" s="599"/>
      <c r="AB99" s="599"/>
      <c r="AC99" s="599"/>
      <c r="AD99" s="599"/>
      <c r="AE99" s="599"/>
      <c r="AF99" s="599"/>
      <c r="AG99" s="599"/>
      <c r="AH99" s="599"/>
      <c r="AI99" s="599"/>
      <c r="AJ99" s="600"/>
      <c r="AK99" s="601"/>
    </row>
    <row r="100" ht="15.75" customHeight="1" spans="1:37" s="586" customFormat="1" x14ac:dyDescent="0.25">
      <c r="A100" s="616"/>
      <c r="B100" s="617"/>
      <c r="C100" s="617"/>
      <c r="D100" s="618"/>
      <c r="E100" s="605">
        <f>E99</f>
        <v>0.5625</v>
      </c>
      <c r="F100" s="606"/>
      <c r="G100" s="606"/>
      <c r="H100" s="606"/>
      <c r="I100" s="606"/>
      <c r="J100" s="607"/>
      <c r="K100" s="608">
        <v>0.7291666666678793</v>
      </c>
      <c r="L100" s="606"/>
      <c r="M100" s="606"/>
      <c r="N100" s="606"/>
      <c r="O100" s="606"/>
      <c r="P100" s="609"/>
      <c r="Q100" s="610">
        <f t="shared" si="18"/>
        <v>0.16666666666787933</v>
      </c>
      <c r="R100" s="611"/>
      <c r="S100" s="611"/>
      <c r="T100" s="611"/>
      <c r="U100" s="611"/>
      <c r="V100" s="612"/>
      <c r="W100" s="613" t="s">
        <v>173</v>
      </c>
      <c r="X100" s="614"/>
      <c r="Y100" s="614"/>
      <c r="Z100" s="614"/>
      <c r="AA100" s="614"/>
      <c r="AB100" s="614"/>
      <c r="AC100" s="614"/>
      <c r="AD100" s="614"/>
      <c r="AE100" s="614"/>
      <c r="AF100" s="614"/>
      <c r="AG100" s="614"/>
      <c r="AH100" s="614"/>
      <c r="AI100" s="614"/>
      <c r="AJ100" s="615"/>
      <c r="AK100" s="601"/>
    </row>
    <row r="101" ht="15.75" customHeight="1" spans="1:37" s="586" customFormat="1" x14ac:dyDescent="0.25">
      <c r="A101" s="616"/>
      <c r="B101" s="617"/>
      <c r="C101" s="617"/>
      <c r="D101" s="618"/>
      <c r="E101" s="605">
        <f>K100</f>
        <v>0.7291666666678793</v>
      </c>
      <c r="F101" s="606"/>
      <c r="G101" s="606"/>
      <c r="H101" s="606"/>
      <c r="I101" s="606"/>
      <c r="J101" s="607"/>
      <c r="K101" s="608">
        <v>0.7916666666678793</v>
      </c>
      <c r="L101" s="606"/>
      <c r="M101" s="606"/>
      <c r="N101" s="606"/>
      <c r="O101" s="606"/>
      <c r="P101" s="609"/>
      <c r="Q101" s="610">
        <f t="shared" si="18"/>
        <v>0.0625</v>
      </c>
      <c r="R101" s="611"/>
      <c r="S101" s="611"/>
      <c r="T101" s="611"/>
      <c r="U101" s="611"/>
      <c r="V101" s="612"/>
      <c r="W101" s="613" t="s">
        <v>170</v>
      </c>
      <c r="X101" s="614"/>
      <c r="Y101" s="614"/>
      <c r="Z101" s="614"/>
      <c r="AA101" s="614"/>
      <c r="AB101" s="614"/>
      <c r="AC101" s="614"/>
      <c r="AD101" s="614"/>
      <c r="AE101" s="614"/>
      <c r="AF101" s="614"/>
      <c r="AG101" s="614"/>
      <c r="AH101" s="614"/>
      <c r="AI101" s="614"/>
      <c r="AJ101" s="615"/>
      <c r="AK101" s="601"/>
    </row>
    <row r="102" ht="15.75" customHeight="1" spans="1:37" s="586" customFormat="1" x14ac:dyDescent="0.25">
      <c r="A102" s="616"/>
      <c r="B102" s="617"/>
      <c r="C102" s="617"/>
      <c r="D102" s="618"/>
      <c r="E102" s="605">
        <f>K101</f>
        <v>0.7916666666678793</v>
      </c>
      <c r="F102" s="606"/>
      <c r="G102" s="606"/>
      <c r="H102" s="606"/>
      <c r="I102" s="606"/>
      <c r="J102" s="607"/>
      <c r="K102" s="608">
        <v>0.8472222222226264</v>
      </c>
      <c r="L102" s="606"/>
      <c r="M102" s="606"/>
      <c r="N102" s="606"/>
      <c r="O102" s="606"/>
      <c r="P102" s="609"/>
      <c r="Q102" s="610">
        <f t="shared" si="18"/>
        <v>0.055555555554747116</v>
      </c>
      <c r="R102" s="611"/>
      <c r="S102" s="611"/>
      <c r="T102" s="611"/>
      <c r="U102" s="611"/>
      <c r="V102" s="612"/>
      <c r="W102" s="613" t="s">
        <v>173</v>
      </c>
      <c r="X102" s="614"/>
      <c r="Y102" s="614"/>
      <c r="Z102" s="614"/>
      <c r="AA102" s="614"/>
      <c r="AB102" s="614"/>
      <c r="AC102" s="614"/>
      <c r="AD102" s="614"/>
      <c r="AE102" s="614"/>
      <c r="AF102" s="614"/>
      <c r="AG102" s="614"/>
      <c r="AH102" s="614"/>
      <c r="AI102" s="614"/>
      <c r="AJ102" s="615"/>
      <c r="AK102" s="601"/>
    </row>
    <row r="103" ht="15.75" customHeight="1" spans="1:37" s="586" customFormat="1" x14ac:dyDescent="0.25">
      <c r="A103" s="616"/>
      <c r="B103" s="617"/>
      <c r="C103" s="617"/>
      <c r="D103" s="618"/>
      <c r="E103" s="605"/>
      <c r="F103" s="606"/>
      <c r="G103" s="606"/>
      <c r="H103" s="606"/>
      <c r="I103" s="606"/>
      <c r="J103" s="607"/>
      <c r="K103" s="608">
        <f>K102</f>
        <v>0.8472222222226264</v>
      </c>
      <c r="L103" s="606"/>
      <c r="M103" s="606"/>
      <c r="N103" s="606"/>
      <c r="O103" s="606"/>
      <c r="P103" s="609"/>
      <c r="Q103" s="610">
        <f t="shared" ref="Q103" si="22">IF(AND(NOT(ISBLANK(K103)),NOT(ISBLANK(E103))), IF(K103&gt;E103,K103-E103,24-E103+K103), "")</f>
      </c>
      <c r="R103" s="611"/>
      <c r="S103" s="611"/>
      <c r="T103" s="611"/>
      <c r="U103" s="611"/>
      <c r="V103" s="612"/>
      <c r="W103" s="613" t="s">
        <v>175</v>
      </c>
      <c r="X103" s="614"/>
      <c r="Y103" s="614"/>
      <c r="Z103" s="614"/>
      <c r="AA103" s="614"/>
      <c r="AB103" s="614"/>
      <c r="AC103" s="614"/>
      <c r="AD103" s="614"/>
      <c r="AE103" s="614"/>
      <c r="AF103" s="614"/>
      <c r="AG103" s="614"/>
      <c r="AH103" s="614"/>
      <c r="AI103" s="614"/>
      <c r="AJ103" s="615"/>
      <c r="AK103" s="601"/>
    </row>
    <row r="104" ht="15.75" customHeight="1" hidden="1" spans="1:37" s="586" customFormat="1" x14ac:dyDescent="0.25">
      <c r="A104" s="616"/>
      <c r="B104" s="617"/>
      <c r="C104" s="617"/>
      <c r="D104" s="618"/>
      <c r="E104" s="605"/>
      <c r="F104" s="606"/>
      <c r="G104" s="606"/>
      <c r="H104" s="606"/>
      <c r="I104" s="606"/>
      <c r="J104" s="607"/>
      <c r="K104" s="608"/>
      <c r="L104" s="606"/>
      <c r="M104" s="606"/>
      <c r="N104" s="606"/>
      <c r="O104" s="606"/>
      <c r="P104" s="609"/>
      <c r="Q104" s="610"/>
      <c r="R104" s="611"/>
      <c r="S104" s="611"/>
      <c r="T104" s="611"/>
      <c r="U104" s="611"/>
      <c r="V104" s="612"/>
      <c r="W104" s="613"/>
      <c r="X104" s="614"/>
      <c r="Y104" s="614"/>
      <c r="Z104" s="614"/>
      <c r="AA104" s="614"/>
      <c r="AB104" s="614"/>
      <c r="AC104" s="614"/>
      <c r="AD104" s="614"/>
      <c r="AE104" s="614"/>
      <c r="AF104" s="614"/>
      <c r="AG104" s="614"/>
      <c r="AH104" s="614"/>
      <c r="AI104" s="614"/>
      <c r="AJ104" s="615"/>
      <c r="AK104" s="601"/>
    </row>
    <row r="105" ht="15.75" customHeight="1" hidden="1" spans="1:37" s="586" customFormat="1" x14ac:dyDescent="0.25">
      <c r="A105" s="616"/>
      <c r="B105" s="617"/>
      <c r="C105" s="617"/>
      <c r="D105" s="618"/>
      <c r="E105" s="605"/>
      <c r="F105" s="606"/>
      <c r="G105" s="606"/>
      <c r="H105" s="606"/>
      <c r="I105" s="606"/>
      <c r="J105" s="607"/>
      <c r="K105" s="608"/>
      <c r="L105" s="606"/>
      <c r="M105" s="606"/>
      <c r="N105" s="606"/>
      <c r="O105" s="606"/>
      <c r="P105" s="609"/>
      <c r="Q105" s="610"/>
      <c r="R105" s="611"/>
      <c r="S105" s="611"/>
      <c r="T105" s="611"/>
      <c r="U105" s="611"/>
      <c r="V105" s="612"/>
      <c r="W105" s="613"/>
      <c r="X105" s="614"/>
      <c r="Y105" s="614"/>
      <c r="Z105" s="614"/>
      <c r="AA105" s="614"/>
      <c r="AB105" s="614"/>
      <c r="AC105" s="614"/>
      <c r="AD105" s="614"/>
      <c r="AE105" s="614"/>
      <c r="AF105" s="614"/>
      <c r="AG105" s="614"/>
      <c r="AH105" s="614"/>
      <c r="AI105" s="614"/>
      <c r="AJ105" s="615"/>
      <c r="AK105" s="601"/>
    </row>
    <row r="106" ht="15.75" customHeight="1" hidden="1" spans="1:37" s="586" customFormat="1" x14ac:dyDescent="0.25">
      <c r="A106" s="616"/>
      <c r="B106" s="617"/>
      <c r="C106" s="617"/>
      <c r="D106" s="618"/>
      <c r="E106" s="605"/>
      <c r="F106" s="606"/>
      <c r="G106" s="606"/>
      <c r="H106" s="606"/>
      <c r="I106" s="606"/>
      <c r="J106" s="607"/>
      <c r="K106" s="606"/>
      <c r="L106" s="606"/>
      <c r="M106" s="606"/>
      <c r="N106" s="606"/>
      <c r="O106" s="606"/>
      <c r="P106" s="609"/>
      <c r="Q106" s="610">
        <f t="shared" ref="Q106:Q111" si="23">IF(AND(NOT(ISBLANK(K106)),NOT(ISBLANK(E106))), IF(K106&gt;E106,K106-E106,24-E106+K106), "")</f>
      </c>
      <c r="R106" s="611"/>
      <c r="S106" s="611"/>
      <c r="T106" s="611"/>
      <c r="U106" s="611"/>
      <c r="V106" s="612"/>
      <c r="W106" s="613"/>
      <c r="X106" s="614"/>
      <c r="Y106" s="614"/>
      <c r="Z106" s="614"/>
      <c r="AA106" s="614"/>
      <c r="AB106" s="614"/>
      <c r="AC106" s="614"/>
      <c r="AD106" s="614"/>
      <c r="AE106" s="614"/>
      <c r="AF106" s="614"/>
      <c r="AG106" s="614"/>
      <c r="AH106" s="614"/>
      <c r="AI106" s="614"/>
      <c r="AJ106" s="615"/>
      <c r="AK106" s="601"/>
    </row>
    <row r="107" ht="15.75" customHeight="1" hidden="1" spans="1:37" s="586" customFormat="1" x14ac:dyDescent="0.25">
      <c r="A107" s="616"/>
      <c r="B107" s="617"/>
      <c r="C107" s="617"/>
      <c r="D107" s="618"/>
      <c r="E107" s="605"/>
      <c r="F107" s="606"/>
      <c r="G107" s="606"/>
      <c r="H107" s="606"/>
      <c r="I107" s="606"/>
      <c r="J107" s="607"/>
      <c r="K107" s="606"/>
      <c r="L107" s="606"/>
      <c r="M107" s="606"/>
      <c r="N107" s="606"/>
      <c r="O107" s="606"/>
      <c r="P107" s="609"/>
      <c r="Q107" s="610">
        <f t="shared" si="23"/>
      </c>
      <c r="R107" s="611"/>
      <c r="S107" s="611"/>
      <c r="T107" s="611"/>
      <c r="U107" s="611"/>
      <c r="V107" s="612"/>
      <c r="W107" s="613"/>
      <c r="X107" s="614"/>
      <c r="Y107" s="614"/>
      <c r="Z107" s="614"/>
      <c r="AA107" s="614"/>
      <c r="AB107" s="614"/>
      <c r="AC107" s="614"/>
      <c r="AD107" s="614"/>
      <c r="AE107" s="614"/>
      <c r="AF107" s="614"/>
      <c r="AG107" s="614"/>
      <c r="AH107" s="614"/>
      <c r="AI107" s="614"/>
      <c r="AJ107" s="615"/>
      <c r="AK107" s="601"/>
    </row>
    <row r="108" ht="15.75" customHeight="1" hidden="1" spans="1:37" s="586" customFormat="1" x14ac:dyDescent="0.25">
      <c r="A108" s="616"/>
      <c r="B108" s="617"/>
      <c r="C108" s="617"/>
      <c r="D108" s="618"/>
      <c r="E108" s="605"/>
      <c r="F108" s="606"/>
      <c r="G108" s="606"/>
      <c r="H108" s="606"/>
      <c r="I108" s="606"/>
      <c r="J108" s="607"/>
      <c r="K108" s="608"/>
      <c r="L108" s="606"/>
      <c r="M108" s="606"/>
      <c r="N108" s="606"/>
      <c r="O108" s="606"/>
      <c r="P108" s="609"/>
      <c r="Q108" s="610">
        <f t="shared" si="23"/>
      </c>
      <c r="R108" s="611"/>
      <c r="S108" s="611"/>
      <c r="T108" s="611"/>
      <c r="U108" s="611"/>
      <c r="V108" s="612"/>
      <c r="W108" s="613"/>
      <c r="X108" s="614"/>
      <c r="Y108" s="614"/>
      <c r="Z108" s="614"/>
      <c r="AA108" s="614"/>
      <c r="AB108" s="614"/>
      <c r="AC108" s="614"/>
      <c r="AD108" s="614"/>
      <c r="AE108" s="614"/>
      <c r="AF108" s="614"/>
      <c r="AG108" s="614"/>
      <c r="AH108" s="614"/>
      <c r="AI108" s="614"/>
      <c r="AJ108" s="615"/>
      <c r="AK108" s="601"/>
    </row>
    <row r="109" ht="15.75" customHeight="1" hidden="1" spans="1:37" s="586" customFormat="1" x14ac:dyDescent="0.25">
      <c r="A109" s="616"/>
      <c r="B109" s="617"/>
      <c r="C109" s="617"/>
      <c r="D109" s="618"/>
      <c r="E109" s="605"/>
      <c r="F109" s="606"/>
      <c r="G109" s="606"/>
      <c r="H109" s="606"/>
      <c r="I109" s="606"/>
      <c r="J109" s="607"/>
      <c r="K109" s="606"/>
      <c r="L109" s="606"/>
      <c r="M109" s="606"/>
      <c r="N109" s="606"/>
      <c r="O109" s="606"/>
      <c r="P109" s="609"/>
      <c r="Q109" s="610">
        <f t="shared" si="23"/>
      </c>
      <c r="R109" s="611"/>
      <c r="S109" s="611"/>
      <c r="T109" s="611"/>
      <c r="U109" s="611"/>
      <c r="V109" s="612"/>
      <c r="W109" s="613"/>
      <c r="X109" s="614"/>
      <c r="Y109" s="614"/>
      <c r="Z109" s="614"/>
      <c r="AA109" s="614"/>
      <c r="AB109" s="614"/>
      <c r="AC109" s="614"/>
      <c r="AD109" s="614"/>
      <c r="AE109" s="614"/>
      <c r="AF109" s="614"/>
      <c r="AG109" s="614"/>
      <c r="AH109" s="614"/>
      <c r="AI109" s="614"/>
      <c r="AJ109" s="615"/>
      <c r="AK109" s="601"/>
    </row>
    <row r="110" ht="15.75" customHeight="1" hidden="1" spans="1:36" s="586" customFormat="1" x14ac:dyDescent="0.25">
      <c r="A110" s="616"/>
      <c r="B110" s="617"/>
      <c r="C110" s="617"/>
      <c r="D110" s="618"/>
      <c r="E110" s="605"/>
      <c r="F110" s="606"/>
      <c r="G110" s="606"/>
      <c r="H110" s="606"/>
      <c r="I110" s="606"/>
      <c r="J110" s="607"/>
      <c r="K110" s="606"/>
      <c r="L110" s="606"/>
      <c r="M110" s="606"/>
      <c r="N110" s="606"/>
      <c r="O110" s="606"/>
      <c r="P110" s="609"/>
      <c r="Q110" s="610">
        <f t="shared" si="23"/>
      </c>
      <c r="R110" s="611"/>
      <c r="S110" s="611"/>
      <c r="T110" s="611"/>
      <c r="U110" s="611"/>
      <c r="V110" s="612"/>
      <c r="W110" s="613"/>
      <c r="X110" s="614"/>
      <c r="Y110" s="614"/>
      <c r="Z110" s="614"/>
      <c r="AA110" s="614"/>
      <c r="AB110" s="614"/>
      <c r="AC110" s="614"/>
      <c r="AD110" s="614"/>
      <c r="AE110" s="614"/>
      <c r="AF110" s="614"/>
      <c r="AG110" s="614"/>
      <c r="AH110" s="614"/>
      <c r="AI110" s="614"/>
      <c r="AJ110" s="615"/>
    </row>
    <row r="111" ht="15.75" customHeight="1" spans="1:37" s="586" customFormat="1" x14ac:dyDescent="0.25">
      <c r="A111" s="616"/>
      <c r="B111" s="617"/>
      <c r="C111" s="617"/>
      <c r="D111" s="618"/>
      <c r="E111" s="605"/>
      <c r="F111" s="606"/>
      <c r="G111" s="606"/>
      <c r="H111" s="606"/>
      <c r="I111" s="606"/>
      <c r="J111" s="607"/>
      <c r="K111" s="606"/>
      <c r="L111" s="606"/>
      <c r="M111" s="606"/>
      <c r="N111" s="606"/>
      <c r="O111" s="606"/>
      <c r="P111" s="609"/>
      <c r="Q111" s="610">
        <f t="shared" si="23"/>
      </c>
      <c r="R111" s="611"/>
      <c r="S111" s="611"/>
      <c r="T111" s="611"/>
      <c r="U111" s="611"/>
      <c r="V111" s="612"/>
      <c r="W111" s="613"/>
      <c r="X111" s="614"/>
      <c r="Y111" s="614"/>
      <c r="Z111" s="614"/>
      <c r="AA111" s="614"/>
      <c r="AB111" s="614"/>
      <c r="AC111" s="614"/>
      <c r="AD111" s="614"/>
      <c r="AE111" s="614"/>
      <c r="AF111" s="614"/>
      <c r="AG111" s="614"/>
      <c r="AH111" s="614"/>
      <c r="AI111" s="614"/>
      <c r="AJ111" s="615"/>
      <c r="AK111" s="601"/>
    </row>
    <row r="112" ht="15.75" customHeight="1" spans="1:37" s="193" customFormat="1" x14ac:dyDescent="0.25">
      <c r="A112" s="619"/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1"/>
      <c r="Q112" s="622">
        <f>SUM(Q90:V110)</f>
        <v>0.7256944444452529</v>
      </c>
      <c r="R112" s="623"/>
      <c r="S112" s="623"/>
      <c r="T112" s="623"/>
      <c r="U112" s="623"/>
      <c r="V112" s="624"/>
      <c r="W112" s="625"/>
      <c r="X112" s="626"/>
      <c r="Y112" s="626"/>
      <c r="Z112" s="626"/>
      <c r="AA112" s="626"/>
      <c r="AB112" s="626"/>
      <c r="AC112" s="626"/>
      <c r="AD112" s="626"/>
      <c r="AE112" s="626"/>
      <c r="AF112" s="626"/>
      <c r="AG112" s="626"/>
      <c r="AH112" s="626"/>
      <c r="AI112" s="626"/>
      <c r="AJ112" s="627"/>
      <c r="AK112" s="628"/>
    </row>
    <row r="113" spans="1:2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</sheetData>
  <mergeCells count="502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D94"/>
    <mergeCell ref="E94:J94"/>
    <mergeCell ref="K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D104"/>
    <mergeCell ref="E104:J104"/>
    <mergeCell ref="K104:P104"/>
    <mergeCell ref="Q104:V104"/>
    <mergeCell ref="W104:AJ104"/>
    <mergeCell ref="A105:D105"/>
    <mergeCell ref="E105:J105"/>
    <mergeCell ref="K105:P105"/>
    <mergeCell ref="Q105:V105"/>
    <mergeCell ref="W105:AJ105"/>
    <mergeCell ref="A106:D106"/>
    <mergeCell ref="E106:J106"/>
    <mergeCell ref="K106:P106"/>
    <mergeCell ref="Q106:V106"/>
    <mergeCell ref="W106:AJ106"/>
    <mergeCell ref="A107:D107"/>
    <mergeCell ref="E107:J107"/>
    <mergeCell ref="K107:P107"/>
    <mergeCell ref="Q107:V107"/>
    <mergeCell ref="W107:AJ107"/>
    <mergeCell ref="A108:D108"/>
    <mergeCell ref="E108:J108"/>
    <mergeCell ref="K108:P108"/>
    <mergeCell ref="Q108:V108"/>
    <mergeCell ref="W108:AJ108"/>
    <mergeCell ref="A109:D109"/>
    <mergeCell ref="E109:J109"/>
    <mergeCell ref="K109:P109"/>
    <mergeCell ref="Q109:V109"/>
    <mergeCell ref="W109:AJ109"/>
    <mergeCell ref="A110:D110"/>
    <mergeCell ref="E110:J110"/>
    <mergeCell ref="K110:P110"/>
    <mergeCell ref="Q110:V110"/>
    <mergeCell ref="W110:AJ110"/>
    <mergeCell ref="A111:D111"/>
    <mergeCell ref="E111:J111"/>
    <mergeCell ref="K111:P111"/>
    <mergeCell ref="Q111:V111"/>
    <mergeCell ref="W111:AJ111"/>
    <mergeCell ref="A112:P112"/>
    <mergeCell ref="Q112:V112"/>
    <mergeCell ref="W112:AJ112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90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45" customWidth="1"/>
    <col min="2" max="3" width="6.625" style="145" customWidth="1"/>
    <col min="4" max="6" width="9.125" style="145" customWidth="1"/>
    <col min="7" max="7" width="10.125" style="145" customWidth="1"/>
    <col min="8" max="9" width="7.625" style="145" customWidth="1"/>
    <col min="10" max="10" width="14.625" style="145" customWidth="1"/>
    <col min="11" max="12" width="9.625" style="145" customWidth="1"/>
    <col min="13" max="13" width="19.125" style="145" customWidth="1"/>
    <col min="14" max="256" width="9" style="145" customWidth="1"/>
    <col min="257" max="257" width="9.25" style="145" customWidth="1"/>
    <col min="258" max="258" width="7" style="145" customWidth="1"/>
    <col min="259" max="259" width="7.625" style="145" customWidth="1"/>
    <col min="260" max="262" width="9.125" style="145" customWidth="1"/>
    <col min="263" max="263" width="10.125" style="145" customWidth="1"/>
    <col min="264" max="265" width="7.875" style="145" customWidth="1"/>
    <col min="266" max="266" width="15" style="145" customWidth="1"/>
    <col min="267" max="268" width="9.875" style="145" customWidth="1"/>
    <col min="269" max="269" width="18.75" style="145" customWidth="1"/>
    <col min="270" max="512" width="9" style="145" customWidth="1"/>
    <col min="513" max="513" width="9.25" style="145" customWidth="1"/>
    <col min="514" max="514" width="7" style="145" customWidth="1"/>
    <col min="515" max="515" width="7.625" style="145" customWidth="1"/>
    <col min="516" max="518" width="9.125" style="145" customWidth="1"/>
    <col min="519" max="519" width="10.125" style="145" customWidth="1"/>
    <col min="520" max="521" width="7.875" style="145" customWidth="1"/>
    <col min="522" max="522" width="15" style="145" customWidth="1"/>
    <col min="523" max="524" width="9.875" style="145" customWidth="1"/>
    <col min="525" max="525" width="18.75" style="145" customWidth="1"/>
    <col min="526" max="768" width="9" style="145" customWidth="1"/>
    <col min="769" max="769" width="9.25" style="145" customWidth="1"/>
    <col min="770" max="770" width="7" style="145" customWidth="1"/>
    <col min="771" max="771" width="7.625" style="145" customWidth="1"/>
    <col min="772" max="774" width="9.125" style="145" customWidth="1"/>
    <col min="775" max="775" width="10.125" style="145" customWidth="1"/>
    <col min="776" max="777" width="7.875" style="145" customWidth="1"/>
    <col min="778" max="778" width="15" style="145" customWidth="1"/>
    <col min="779" max="780" width="9.875" style="145" customWidth="1"/>
    <col min="781" max="781" width="18.75" style="145" customWidth="1"/>
    <col min="782" max="1024" width="9" style="145" customWidth="1"/>
    <col min="1025" max="1025" width="9.25" style="145" customWidth="1"/>
    <col min="1026" max="1026" width="7" style="145" customWidth="1"/>
    <col min="1027" max="1027" width="7.625" style="145" customWidth="1"/>
    <col min="1028" max="1030" width="9.125" style="145" customWidth="1"/>
    <col min="1031" max="1031" width="10.125" style="145" customWidth="1"/>
    <col min="1032" max="1033" width="7.875" style="145" customWidth="1"/>
    <col min="1034" max="1034" width="15" style="145" customWidth="1"/>
    <col min="1035" max="1036" width="9.875" style="145" customWidth="1"/>
    <col min="1037" max="1037" width="18.75" style="145" customWidth="1"/>
    <col min="1038" max="1280" width="9" style="145" customWidth="1"/>
    <col min="1281" max="1281" width="9.25" style="145" customWidth="1"/>
    <col min="1282" max="1282" width="7" style="145" customWidth="1"/>
    <col min="1283" max="1283" width="7.625" style="145" customWidth="1"/>
    <col min="1284" max="1286" width="9.125" style="145" customWidth="1"/>
    <col min="1287" max="1287" width="10.125" style="145" customWidth="1"/>
    <col min="1288" max="1289" width="7.875" style="145" customWidth="1"/>
    <col min="1290" max="1290" width="15" style="145" customWidth="1"/>
    <col min="1291" max="1292" width="9.875" style="145" customWidth="1"/>
    <col min="1293" max="1293" width="18.75" style="145" customWidth="1"/>
    <col min="1294" max="1536" width="9" style="145" customWidth="1"/>
    <col min="1537" max="1537" width="9.25" style="145" customWidth="1"/>
    <col min="1538" max="1538" width="7" style="145" customWidth="1"/>
    <col min="1539" max="1539" width="7.625" style="145" customWidth="1"/>
    <col min="1540" max="1542" width="9.125" style="145" customWidth="1"/>
    <col min="1543" max="1543" width="10.125" style="145" customWidth="1"/>
    <col min="1544" max="1545" width="7.875" style="145" customWidth="1"/>
    <col min="1546" max="1546" width="15" style="145" customWidth="1"/>
    <col min="1547" max="1548" width="9.875" style="145" customWidth="1"/>
    <col min="1549" max="1549" width="18.75" style="145" customWidth="1"/>
    <col min="1550" max="1792" width="9" style="145" customWidth="1"/>
    <col min="1793" max="1793" width="9.25" style="145" customWidth="1"/>
    <col min="1794" max="1794" width="7" style="145" customWidth="1"/>
    <col min="1795" max="1795" width="7.625" style="145" customWidth="1"/>
    <col min="1796" max="1798" width="9.125" style="145" customWidth="1"/>
    <col min="1799" max="1799" width="10.125" style="145" customWidth="1"/>
    <col min="1800" max="1801" width="7.875" style="145" customWidth="1"/>
    <col min="1802" max="1802" width="15" style="145" customWidth="1"/>
    <col min="1803" max="1804" width="9.875" style="145" customWidth="1"/>
    <col min="1805" max="1805" width="18.75" style="145" customWidth="1"/>
    <col min="1806" max="2048" width="9" style="145" customWidth="1"/>
    <col min="2049" max="2049" width="9.25" style="145" customWidth="1"/>
    <col min="2050" max="2050" width="7" style="145" customWidth="1"/>
    <col min="2051" max="2051" width="7.625" style="145" customWidth="1"/>
    <col min="2052" max="2054" width="9.125" style="145" customWidth="1"/>
    <col min="2055" max="2055" width="10.125" style="145" customWidth="1"/>
    <col min="2056" max="2057" width="7.875" style="145" customWidth="1"/>
    <col min="2058" max="2058" width="15" style="145" customWidth="1"/>
    <col min="2059" max="2060" width="9.875" style="145" customWidth="1"/>
    <col min="2061" max="2061" width="18.75" style="145" customWidth="1"/>
    <col min="2062" max="2304" width="9" style="145" customWidth="1"/>
    <col min="2305" max="2305" width="9.25" style="145" customWidth="1"/>
    <col min="2306" max="2306" width="7" style="145" customWidth="1"/>
    <col min="2307" max="2307" width="7.625" style="145" customWidth="1"/>
    <col min="2308" max="2310" width="9.125" style="145" customWidth="1"/>
    <col min="2311" max="2311" width="10.125" style="145" customWidth="1"/>
    <col min="2312" max="2313" width="7.875" style="145" customWidth="1"/>
    <col min="2314" max="2314" width="15" style="145" customWidth="1"/>
    <col min="2315" max="2316" width="9.875" style="145" customWidth="1"/>
    <col min="2317" max="2317" width="18.75" style="145" customWidth="1"/>
    <col min="2318" max="2560" width="9" style="145" customWidth="1"/>
    <col min="2561" max="2561" width="9.25" style="145" customWidth="1"/>
    <col min="2562" max="2562" width="7" style="145" customWidth="1"/>
    <col min="2563" max="2563" width="7.625" style="145" customWidth="1"/>
    <col min="2564" max="2566" width="9.125" style="145" customWidth="1"/>
    <col min="2567" max="2567" width="10.125" style="145" customWidth="1"/>
    <col min="2568" max="2569" width="7.875" style="145" customWidth="1"/>
    <col min="2570" max="2570" width="15" style="145" customWidth="1"/>
    <col min="2571" max="2572" width="9.875" style="145" customWidth="1"/>
    <col min="2573" max="2573" width="18.75" style="145" customWidth="1"/>
    <col min="2574" max="2816" width="9" style="145" customWidth="1"/>
    <col min="2817" max="2817" width="9.25" style="145" customWidth="1"/>
    <col min="2818" max="2818" width="7" style="145" customWidth="1"/>
    <col min="2819" max="2819" width="7.625" style="145" customWidth="1"/>
    <col min="2820" max="2822" width="9.125" style="145" customWidth="1"/>
    <col min="2823" max="2823" width="10.125" style="145" customWidth="1"/>
    <col min="2824" max="2825" width="7.875" style="145" customWidth="1"/>
    <col min="2826" max="2826" width="15" style="145" customWidth="1"/>
    <col min="2827" max="2828" width="9.875" style="145" customWidth="1"/>
    <col min="2829" max="2829" width="18.75" style="145" customWidth="1"/>
    <col min="2830" max="3072" width="9" style="145" customWidth="1"/>
    <col min="3073" max="3073" width="9.25" style="145" customWidth="1"/>
    <col min="3074" max="3074" width="7" style="145" customWidth="1"/>
    <col min="3075" max="3075" width="7.625" style="145" customWidth="1"/>
    <col min="3076" max="3078" width="9.125" style="145" customWidth="1"/>
    <col min="3079" max="3079" width="10.125" style="145" customWidth="1"/>
    <col min="3080" max="3081" width="7.875" style="145" customWidth="1"/>
    <col min="3082" max="3082" width="15" style="145" customWidth="1"/>
    <col min="3083" max="3084" width="9.875" style="145" customWidth="1"/>
    <col min="3085" max="3085" width="18.75" style="145" customWidth="1"/>
    <col min="3086" max="3328" width="9" style="145" customWidth="1"/>
    <col min="3329" max="3329" width="9.25" style="145" customWidth="1"/>
    <col min="3330" max="3330" width="7" style="145" customWidth="1"/>
    <col min="3331" max="3331" width="7.625" style="145" customWidth="1"/>
    <col min="3332" max="3334" width="9.125" style="145" customWidth="1"/>
    <col min="3335" max="3335" width="10.125" style="145" customWidth="1"/>
    <col min="3336" max="3337" width="7.875" style="145" customWidth="1"/>
    <col min="3338" max="3338" width="15" style="145" customWidth="1"/>
    <col min="3339" max="3340" width="9.875" style="145" customWidth="1"/>
    <col min="3341" max="3341" width="18.75" style="145" customWidth="1"/>
    <col min="3342" max="3584" width="9" style="145" customWidth="1"/>
    <col min="3585" max="3585" width="9.25" style="145" customWidth="1"/>
    <col min="3586" max="3586" width="7" style="145" customWidth="1"/>
    <col min="3587" max="3587" width="7.625" style="145" customWidth="1"/>
    <col min="3588" max="3590" width="9.125" style="145" customWidth="1"/>
    <col min="3591" max="3591" width="10.125" style="145" customWidth="1"/>
    <col min="3592" max="3593" width="7.875" style="145" customWidth="1"/>
    <col min="3594" max="3594" width="15" style="145" customWidth="1"/>
    <col min="3595" max="3596" width="9.875" style="145" customWidth="1"/>
    <col min="3597" max="3597" width="18.75" style="145" customWidth="1"/>
    <col min="3598" max="3840" width="9" style="145" customWidth="1"/>
    <col min="3841" max="3841" width="9.25" style="145" customWidth="1"/>
    <col min="3842" max="3842" width="7" style="145" customWidth="1"/>
    <col min="3843" max="3843" width="7.625" style="145" customWidth="1"/>
    <col min="3844" max="3846" width="9.125" style="145" customWidth="1"/>
    <col min="3847" max="3847" width="10.125" style="145" customWidth="1"/>
    <col min="3848" max="3849" width="7.875" style="145" customWidth="1"/>
    <col min="3850" max="3850" width="15" style="145" customWidth="1"/>
    <col min="3851" max="3852" width="9.875" style="145" customWidth="1"/>
    <col min="3853" max="3853" width="18.75" style="145" customWidth="1"/>
    <col min="3854" max="4096" width="9" style="145" customWidth="1"/>
    <col min="4097" max="4097" width="9.25" style="145" customWidth="1"/>
    <col min="4098" max="4098" width="7" style="145" customWidth="1"/>
    <col min="4099" max="4099" width="7.625" style="145" customWidth="1"/>
    <col min="4100" max="4102" width="9.125" style="145" customWidth="1"/>
    <col min="4103" max="4103" width="10.125" style="145" customWidth="1"/>
    <col min="4104" max="4105" width="7.875" style="145" customWidth="1"/>
    <col min="4106" max="4106" width="15" style="145" customWidth="1"/>
    <col min="4107" max="4108" width="9.875" style="145" customWidth="1"/>
    <col min="4109" max="4109" width="18.75" style="145" customWidth="1"/>
    <col min="4110" max="4352" width="9" style="145" customWidth="1"/>
    <col min="4353" max="4353" width="9.25" style="145" customWidth="1"/>
    <col min="4354" max="4354" width="7" style="145" customWidth="1"/>
    <col min="4355" max="4355" width="7.625" style="145" customWidth="1"/>
    <col min="4356" max="4358" width="9.125" style="145" customWidth="1"/>
    <col min="4359" max="4359" width="10.125" style="145" customWidth="1"/>
    <col min="4360" max="4361" width="7.875" style="145" customWidth="1"/>
    <col min="4362" max="4362" width="15" style="145" customWidth="1"/>
    <col min="4363" max="4364" width="9.875" style="145" customWidth="1"/>
    <col min="4365" max="4365" width="18.75" style="145" customWidth="1"/>
    <col min="4366" max="4608" width="9" style="145" customWidth="1"/>
    <col min="4609" max="4609" width="9.25" style="145" customWidth="1"/>
    <col min="4610" max="4610" width="7" style="145" customWidth="1"/>
    <col min="4611" max="4611" width="7.625" style="145" customWidth="1"/>
    <col min="4612" max="4614" width="9.125" style="145" customWidth="1"/>
    <col min="4615" max="4615" width="10.125" style="145" customWidth="1"/>
    <col min="4616" max="4617" width="7.875" style="145" customWidth="1"/>
    <col min="4618" max="4618" width="15" style="145" customWidth="1"/>
    <col min="4619" max="4620" width="9.875" style="145" customWidth="1"/>
    <col min="4621" max="4621" width="18.75" style="145" customWidth="1"/>
    <col min="4622" max="4864" width="9" style="145" customWidth="1"/>
    <col min="4865" max="4865" width="9.25" style="145" customWidth="1"/>
    <col min="4866" max="4866" width="7" style="145" customWidth="1"/>
    <col min="4867" max="4867" width="7.625" style="145" customWidth="1"/>
    <col min="4868" max="4870" width="9.125" style="145" customWidth="1"/>
    <col min="4871" max="4871" width="10.125" style="145" customWidth="1"/>
    <col min="4872" max="4873" width="7.875" style="145" customWidth="1"/>
    <col min="4874" max="4874" width="15" style="145" customWidth="1"/>
    <col min="4875" max="4876" width="9.875" style="145" customWidth="1"/>
    <col min="4877" max="4877" width="18.75" style="145" customWidth="1"/>
    <col min="4878" max="5120" width="9" style="145" customWidth="1"/>
    <col min="5121" max="5121" width="9.25" style="145" customWidth="1"/>
    <col min="5122" max="5122" width="7" style="145" customWidth="1"/>
    <col min="5123" max="5123" width="7.625" style="145" customWidth="1"/>
    <col min="5124" max="5126" width="9.125" style="145" customWidth="1"/>
    <col min="5127" max="5127" width="10.125" style="145" customWidth="1"/>
    <col min="5128" max="5129" width="7.875" style="145" customWidth="1"/>
    <col min="5130" max="5130" width="15" style="145" customWidth="1"/>
    <col min="5131" max="5132" width="9.875" style="145" customWidth="1"/>
    <col min="5133" max="5133" width="18.75" style="145" customWidth="1"/>
    <col min="5134" max="5376" width="9" style="145" customWidth="1"/>
    <col min="5377" max="5377" width="9.25" style="145" customWidth="1"/>
    <col min="5378" max="5378" width="7" style="145" customWidth="1"/>
    <col min="5379" max="5379" width="7.625" style="145" customWidth="1"/>
    <col min="5380" max="5382" width="9.125" style="145" customWidth="1"/>
    <col min="5383" max="5383" width="10.125" style="145" customWidth="1"/>
    <col min="5384" max="5385" width="7.875" style="145" customWidth="1"/>
    <col min="5386" max="5386" width="15" style="145" customWidth="1"/>
    <col min="5387" max="5388" width="9.875" style="145" customWidth="1"/>
    <col min="5389" max="5389" width="18.75" style="145" customWidth="1"/>
    <col min="5390" max="5632" width="9" style="145" customWidth="1"/>
    <col min="5633" max="5633" width="9.25" style="145" customWidth="1"/>
    <col min="5634" max="5634" width="7" style="145" customWidth="1"/>
    <col min="5635" max="5635" width="7.625" style="145" customWidth="1"/>
    <col min="5636" max="5638" width="9.125" style="145" customWidth="1"/>
    <col min="5639" max="5639" width="10.125" style="145" customWidth="1"/>
    <col min="5640" max="5641" width="7.875" style="145" customWidth="1"/>
    <col min="5642" max="5642" width="15" style="145" customWidth="1"/>
    <col min="5643" max="5644" width="9.875" style="145" customWidth="1"/>
    <col min="5645" max="5645" width="18.75" style="145" customWidth="1"/>
    <col min="5646" max="5888" width="9" style="145" customWidth="1"/>
    <col min="5889" max="5889" width="9.25" style="145" customWidth="1"/>
    <col min="5890" max="5890" width="7" style="145" customWidth="1"/>
    <col min="5891" max="5891" width="7.625" style="145" customWidth="1"/>
    <col min="5892" max="5894" width="9.125" style="145" customWidth="1"/>
    <col min="5895" max="5895" width="10.125" style="145" customWidth="1"/>
    <col min="5896" max="5897" width="7.875" style="145" customWidth="1"/>
    <col min="5898" max="5898" width="15" style="145" customWidth="1"/>
    <col min="5899" max="5900" width="9.875" style="145" customWidth="1"/>
    <col min="5901" max="5901" width="18.75" style="145" customWidth="1"/>
    <col min="5902" max="6144" width="9" style="145" customWidth="1"/>
    <col min="6145" max="6145" width="9.25" style="145" customWidth="1"/>
    <col min="6146" max="6146" width="7" style="145" customWidth="1"/>
    <col min="6147" max="6147" width="7.625" style="145" customWidth="1"/>
    <col min="6148" max="6150" width="9.125" style="145" customWidth="1"/>
    <col min="6151" max="6151" width="10.125" style="145" customWidth="1"/>
    <col min="6152" max="6153" width="7.875" style="145" customWidth="1"/>
    <col min="6154" max="6154" width="15" style="145" customWidth="1"/>
    <col min="6155" max="6156" width="9.875" style="145" customWidth="1"/>
    <col min="6157" max="6157" width="18.75" style="145" customWidth="1"/>
    <col min="6158" max="6400" width="9" style="145" customWidth="1"/>
    <col min="6401" max="6401" width="9.25" style="145" customWidth="1"/>
    <col min="6402" max="6402" width="7" style="145" customWidth="1"/>
    <col min="6403" max="6403" width="7.625" style="145" customWidth="1"/>
    <col min="6404" max="6406" width="9.125" style="145" customWidth="1"/>
    <col min="6407" max="6407" width="10.125" style="145" customWidth="1"/>
    <col min="6408" max="6409" width="7.875" style="145" customWidth="1"/>
    <col min="6410" max="6410" width="15" style="145" customWidth="1"/>
    <col min="6411" max="6412" width="9.875" style="145" customWidth="1"/>
    <col min="6413" max="6413" width="18.75" style="145" customWidth="1"/>
    <col min="6414" max="6656" width="9" style="145" customWidth="1"/>
    <col min="6657" max="6657" width="9.25" style="145" customWidth="1"/>
    <col min="6658" max="6658" width="7" style="145" customWidth="1"/>
    <col min="6659" max="6659" width="7.625" style="145" customWidth="1"/>
    <col min="6660" max="6662" width="9.125" style="145" customWidth="1"/>
    <col min="6663" max="6663" width="10.125" style="145" customWidth="1"/>
    <col min="6664" max="6665" width="7.875" style="145" customWidth="1"/>
    <col min="6666" max="6666" width="15" style="145" customWidth="1"/>
    <col min="6667" max="6668" width="9.875" style="145" customWidth="1"/>
    <col min="6669" max="6669" width="18.75" style="145" customWidth="1"/>
    <col min="6670" max="6912" width="9" style="145" customWidth="1"/>
    <col min="6913" max="6913" width="9.25" style="145" customWidth="1"/>
    <col min="6914" max="6914" width="7" style="145" customWidth="1"/>
    <col min="6915" max="6915" width="7.625" style="145" customWidth="1"/>
    <col min="6916" max="6918" width="9.125" style="145" customWidth="1"/>
    <col min="6919" max="6919" width="10.125" style="145" customWidth="1"/>
    <col min="6920" max="6921" width="7.875" style="145" customWidth="1"/>
    <col min="6922" max="6922" width="15" style="145" customWidth="1"/>
    <col min="6923" max="6924" width="9.875" style="145" customWidth="1"/>
    <col min="6925" max="6925" width="18.75" style="145" customWidth="1"/>
    <col min="6926" max="7168" width="9" style="145" customWidth="1"/>
    <col min="7169" max="7169" width="9.25" style="145" customWidth="1"/>
    <col min="7170" max="7170" width="7" style="145" customWidth="1"/>
    <col min="7171" max="7171" width="7.625" style="145" customWidth="1"/>
    <col min="7172" max="7174" width="9.125" style="145" customWidth="1"/>
    <col min="7175" max="7175" width="10.125" style="145" customWidth="1"/>
    <col min="7176" max="7177" width="7.875" style="145" customWidth="1"/>
    <col min="7178" max="7178" width="15" style="145" customWidth="1"/>
    <col min="7179" max="7180" width="9.875" style="145" customWidth="1"/>
    <col min="7181" max="7181" width="18.75" style="145" customWidth="1"/>
    <col min="7182" max="7424" width="9" style="145" customWidth="1"/>
    <col min="7425" max="7425" width="9.25" style="145" customWidth="1"/>
    <col min="7426" max="7426" width="7" style="145" customWidth="1"/>
    <col min="7427" max="7427" width="7.625" style="145" customWidth="1"/>
    <col min="7428" max="7430" width="9.125" style="145" customWidth="1"/>
    <col min="7431" max="7431" width="10.125" style="145" customWidth="1"/>
    <col min="7432" max="7433" width="7.875" style="145" customWidth="1"/>
    <col min="7434" max="7434" width="15" style="145" customWidth="1"/>
    <col min="7435" max="7436" width="9.875" style="145" customWidth="1"/>
    <col min="7437" max="7437" width="18.75" style="145" customWidth="1"/>
    <col min="7438" max="7680" width="9" style="145" customWidth="1"/>
    <col min="7681" max="7681" width="9.25" style="145" customWidth="1"/>
    <col min="7682" max="7682" width="7" style="145" customWidth="1"/>
    <col min="7683" max="7683" width="7.625" style="145" customWidth="1"/>
    <col min="7684" max="7686" width="9.125" style="145" customWidth="1"/>
    <col min="7687" max="7687" width="10.125" style="145" customWidth="1"/>
    <col min="7688" max="7689" width="7.875" style="145" customWidth="1"/>
    <col min="7690" max="7690" width="15" style="145" customWidth="1"/>
    <col min="7691" max="7692" width="9.875" style="145" customWidth="1"/>
    <col min="7693" max="7693" width="18.75" style="145" customWidth="1"/>
    <col min="7694" max="7936" width="9" style="145" customWidth="1"/>
    <col min="7937" max="7937" width="9.25" style="145" customWidth="1"/>
    <col min="7938" max="7938" width="7" style="145" customWidth="1"/>
    <col min="7939" max="7939" width="7.625" style="145" customWidth="1"/>
    <col min="7940" max="7942" width="9.125" style="145" customWidth="1"/>
    <col min="7943" max="7943" width="10.125" style="145" customWidth="1"/>
    <col min="7944" max="7945" width="7.875" style="145" customWidth="1"/>
    <col min="7946" max="7946" width="15" style="145" customWidth="1"/>
    <col min="7947" max="7948" width="9.875" style="145" customWidth="1"/>
    <col min="7949" max="7949" width="18.75" style="145" customWidth="1"/>
    <col min="7950" max="8192" width="9" style="145" customWidth="1"/>
    <col min="8193" max="8193" width="9.25" style="145" customWidth="1"/>
    <col min="8194" max="8194" width="7" style="145" customWidth="1"/>
    <col min="8195" max="8195" width="7.625" style="145" customWidth="1"/>
    <col min="8196" max="8198" width="9.125" style="145" customWidth="1"/>
    <col min="8199" max="8199" width="10.125" style="145" customWidth="1"/>
    <col min="8200" max="8201" width="7.875" style="145" customWidth="1"/>
    <col min="8202" max="8202" width="15" style="145" customWidth="1"/>
    <col min="8203" max="8204" width="9.875" style="145" customWidth="1"/>
    <col min="8205" max="8205" width="18.75" style="145" customWidth="1"/>
    <col min="8206" max="8448" width="9" style="145" customWidth="1"/>
    <col min="8449" max="8449" width="9.25" style="145" customWidth="1"/>
    <col min="8450" max="8450" width="7" style="145" customWidth="1"/>
    <col min="8451" max="8451" width="7.625" style="145" customWidth="1"/>
    <col min="8452" max="8454" width="9.125" style="145" customWidth="1"/>
    <col min="8455" max="8455" width="10.125" style="145" customWidth="1"/>
    <col min="8456" max="8457" width="7.875" style="145" customWidth="1"/>
    <col min="8458" max="8458" width="15" style="145" customWidth="1"/>
    <col min="8459" max="8460" width="9.875" style="145" customWidth="1"/>
    <col min="8461" max="8461" width="18.75" style="145" customWidth="1"/>
    <col min="8462" max="8704" width="9" style="145" customWidth="1"/>
    <col min="8705" max="8705" width="9.25" style="145" customWidth="1"/>
    <col min="8706" max="8706" width="7" style="145" customWidth="1"/>
    <col min="8707" max="8707" width="7.625" style="145" customWidth="1"/>
    <col min="8708" max="8710" width="9.125" style="145" customWidth="1"/>
    <col min="8711" max="8711" width="10.125" style="145" customWidth="1"/>
    <col min="8712" max="8713" width="7.875" style="145" customWidth="1"/>
    <col min="8714" max="8714" width="15" style="145" customWidth="1"/>
    <col min="8715" max="8716" width="9.875" style="145" customWidth="1"/>
    <col min="8717" max="8717" width="18.75" style="145" customWidth="1"/>
    <col min="8718" max="8960" width="9" style="145" customWidth="1"/>
    <col min="8961" max="8961" width="9.25" style="145" customWidth="1"/>
    <col min="8962" max="8962" width="7" style="145" customWidth="1"/>
    <col min="8963" max="8963" width="7.625" style="145" customWidth="1"/>
    <col min="8964" max="8966" width="9.125" style="145" customWidth="1"/>
    <col min="8967" max="8967" width="10.125" style="145" customWidth="1"/>
    <col min="8968" max="8969" width="7.875" style="145" customWidth="1"/>
    <col min="8970" max="8970" width="15" style="145" customWidth="1"/>
    <col min="8971" max="8972" width="9.875" style="145" customWidth="1"/>
    <col min="8973" max="8973" width="18.75" style="145" customWidth="1"/>
    <col min="8974" max="9216" width="9" style="145" customWidth="1"/>
    <col min="9217" max="9217" width="9.25" style="145" customWidth="1"/>
    <col min="9218" max="9218" width="7" style="145" customWidth="1"/>
    <col min="9219" max="9219" width="7.625" style="145" customWidth="1"/>
    <col min="9220" max="9222" width="9.125" style="145" customWidth="1"/>
    <col min="9223" max="9223" width="10.125" style="145" customWidth="1"/>
    <col min="9224" max="9225" width="7.875" style="145" customWidth="1"/>
    <col min="9226" max="9226" width="15" style="145" customWidth="1"/>
    <col min="9227" max="9228" width="9.875" style="145" customWidth="1"/>
    <col min="9229" max="9229" width="18.75" style="145" customWidth="1"/>
    <col min="9230" max="9472" width="9" style="145" customWidth="1"/>
    <col min="9473" max="9473" width="9.25" style="145" customWidth="1"/>
    <col min="9474" max="9474" width="7" style="145" customWidth="1"/>
    <col min="9475" max="9475" width="7.625" style="145" customWidth="1"/>
    <col min="9476" max="9478" width="9.125" style="145" customWidth="1"/>
    <col min="9479" max="9479" width="10.125" style="145" customWidth="1"/>
    <col min="9480" max="9481" width="7.875" style="145" customWidth="1"/>
    <col min="9482" max="9482" width="15" style="145" customWidth="1"/>
    <col min="9483" max="9484" width="9.875" style="145" customWidth="1"/>
    <col min="9485" max="9485" width="18.75" style="145" customWidth="1"/>
    <col min="9486" max="9728" width="9" style="145" customWidth="1"/>
    <col min="9729" max="9729" width="9.25" style="145" customWidth="1"/>
    <col min="9730" max="9730" width="7" style="145" customWidth="1"/>
    <col min="9731" max="9731" width="7.625" style="145" customWidth="1"/>
    <col min="9732" max="9734" width="9.125" style="145" customWidth="1"/>
    <col min="9735" max="9735" width="10.125" style="145" customWidth="1"/>
    <col min="9736" max="9737" width="7.875" style="145" customWidth="1"/>
    <col min="9738" max="9738" width="15" style="145" customWidth="1"/>
    <col min="9739" max="9740" width="9.875" style="145" customWidth="1"/>
    <col min="9741" max="9741" width="18.75" style="145" customWidth="1"/>
    <col min="9742" max="9984" width="9" style="145" customWidth="1"/>
    <col min="9985" max="9985" width="9.25" style="145" customWidth="1"/>
    <col min="9986" max="9986" width="7" style="145" customWidth="1"/>
    <col min="9987" max="9987" width="7.625" style="145" customWidth="1"/>
    <col min="9988" max="9990" width="9.125" style="145" customWidth="1"/>
    <col min="9991" max="9991" width="10.125" style="145" customWidth="1"/>
    <col min="9992" max="9993" width="7.875" style="145" customWidth="1"/>
    <col min="9994" max="9994" width="15" style="145" customWidth="1"/>
    <col min="9995" max="9996" width="9.875" style="145" customWidth="1"/>
    <col min="9997" max="9997" width="18.75" style="145" customWidth="1"/>
    <col min="9998" max="10240" width="9" style="145" customWidth="1"/>
    <col min="10241" max="10241" width="9.25" style="145" customWidth="1"/>
    <col min="10242" max="10242" width="7" style="145" customWidth="1"/>
    <col min="10243" max="10243" width="7.625" style="145" customWidth="1"/>
    <col min="10244" max="10246" width="9.125" style="145" customWidth="1"/>
    <col min="10247" max="10247" width="10.125" style="145" customWidth="1"/>
    <col min="10248" max="10249" width="7.875" style="145" customWidth="1"/>
    <col min="10250" max="10250" width="15" style="145" customWidth="1"/>
    <col min="10251" max="10252" width="9.875" style="145" customWidth="1"/>
    <col min="10253" max="10253" width="18.75" style="145" customWidth="1"/>
    <col min="10254" max="10496" width="9" style="145" customWidth="1"/>
    <col min="10497" max="10497" width="9.25" style="145" customWidth="1"/>
    <col min="10498" max="10498" width="7" style="145" customWidth="1"/>
    <col min="10499" max="10499" width="7.625" style="145" customWidth="1"/>
    <col min="10500" max="10502" width="9.125" style="145" customWidth="1"/>
    <col min="10503" max="10503" width="10.125" style="145" customWidth="1"/>
    <col min="10504" max="10505" width="7.875" style="145" customWidth="1"/>
    <col min="10506" max="10506" width="15" style="145" customWidth="1"/>
    <col min="10507" max="10508" width="9.875" style="145" customWidth="1"/>
    <col min="10509" max="10509" width="18.75" style="145" customWidth="1"/>
    <col min="10510" max="10752" width="9" style="145" customWidth="1"/>
    <col min="10753" max="10753" width="9.25" style="145" customWidth="1"/>
    <col min="10754" max="10754" width="7" style="145" customWidth="1"/>
    <col min="10755" max="10755" width="7.625" style="145" customWidth="1"/>
    <col min="10756" max="10758" width="9.125" style="145" customWidth="1"/>
    <col min="10759" max="10759" width="10.125" style="145" customWidth="1"/>
    <col min="10760" max="10761" width="7.875" style="145" customWidth="1"/>
    <col min="10762" max="10762" width="15" style="145" customWidth="1"/>
    <col min="10763" max="10764" width="9.875" style="145" customWidth="1"/>
    <col min="10765" max="10765" width="18.75" style="145" customWidth="1"/>
    <col min="10766" max="11008" width="9" style="145" customWidth="1"/>
    <col min="11009" max="11009" width="9.25" style="145" customWidth="1"/>
    <col min="11010" max="11010" width="7" style="145" customWidth="1"/>
    <col min="11011" max="11011" width="7.625" style="145" customWidth="1"/>
    <col min="11012" max="11014" width="9.125" style="145" customWidth="1"/>
    <col min="11015" max="11015" width="10.125" style="145" customWidth="1"/>
    <col min="11016" max="11017" width="7.875" style="145" customWidth="1"/>
    <col min="11018" max="11018" width="15" style="145" customWidth="1"/>
    <col min="11019" max="11020" width="9.875" style="145" customWidth="1"/>
    <col min="11021" max="11021" width="18.75" style="145" customWidth="1"/>
    <col min="11022" max="11264" width="9" style="145" customWidth="1"/>
    <col min="11265" max="11265" width="9.25" style="145" customWidth="1"/>
    <col min="11266" max="11266" width="7" style="145" customWidth="1"/>
    <col min="11267" max="11267" width="7.625" style="145" customWidth="1"/>
    <col min="11268" max="11270" width="9.125" style="145" customWidth="1"/>
    <col min="11271" max="11271" width="10.125" style="145" customWidth="1"/>
    <col min="11272" max="11273" width="7.875" style="145" customWidth="1"/>
    <col min="11274" max="11274" width="15" style="145" customWidth="1"/>
    <col min="11275" max="11276" width="9.875" style="145" customWidth="1"/>
    <col min="11277" max="11277" width="18.75" style="145" customWidth="1"/>
    <col min="11278" max="11520" width="9" style="145" customWidth="1"/>
    <col min="11521" max="11521" width="9.25" style="145" customWidth="1"/>
    <col min="11522" max="11522" width="7" style="145" customWidth="1"/>
    <col min="11523" max="11523" width="7.625" style="145" customWidth="1"/>
    <col min="11524" max="11526" width="9.125" style="145" customWidth="1"/>
    <col min="11527" max="11527" width="10.125" style="145" customWidth="1"/>
    <col min="11528" max="11529" width="7.875" style="145" customWidth="1"/>
    <col min="11530" max="11530" width="15" style="145" customWidth="1"/>
    <col min="11531" max="11532" width="9.875" style="145" customWidth="1"/>
    <col min="11533" max="11533" width="18.75" style="145" customWidth="1"/>
    <col min="11534" max="11776" width="9" style="145" customWidth="1"/>
    <col min="11777" max="11777" width="9.25" style="145" customWidth="1"/>
    <col min="11778" max="11778" width="7" style="145" customWidth="1"/>
    <col min="11779" max="11779" width="7.625" style="145" customWidth="1"/>
    <col min="11780" max="11782" width="9.125" style="145" customWidth="1"/>
    <col min="11783" max="11783" width="10.125" style="145" customWidth="1"/>
    <col min="11784" max="11785" width="7.875" style="145" customWidth="1"/>
    <col min="11786" max="11786" width="15" style="145" customWidth="1"/>
    <col min="11787" max="11788" width="9.875" style="145" customWidth="1"/>
    <col min="11789" max="11789" width="18.75" style="145" customWidth="1"/>
    <col min="11790" max="12032" width="9" style="145" customWidth="1"/>
    <col min="12033" max="12033" width="9.25" style="145" customWidth="1"/>
    <col min="12034" max="12034" width="7" style="145" customWidth="1"/>
    <col min="12035" max="12035" width="7.625" style="145" customWidth="1"/>
    <col min="12036" max="12038" width="9.125" style="145" customWidth="1"/>
    <col min="12039" max="12039" width="10.125" style="145" customWidth="1"/>
    <col min="12040" max="12041" width="7.875" style="145" customWidth="1"/>
    <col min="12042" max="12042" width="15" style="145" customWidth="1"/>
    <col min="12043" max="12044" width="9.875" style="145" customWidth="1"/>
    <col min="12045" max="12045" width="18.75" style="145" customWidth="1"/>
    <col min="12046" max="12288" width="9" style="145" customWidth="1"/>
    <col min="12289" max="12289" width="9.25" style="145" customWidth="1"/>
    <col min="12290" max="12290" width="7" style="145" customWidth="1"/>
    <col min="12291" max="12291" width="7.625" style="145" customWidth="1"/>
    <col min="12292" max="12294" width="9.125" style="145" customWidth="1"/>
    <col min="12295" max="12295" width="10.125" style="145" customWidth="1"/>
    <col min="12296" max="12297" width="7.875" style="145" customWidth="1"/>
    <col min="12298" max="12298" width="15" style="145" customWidth="1"/>
    <col min="12299" max="12300" width="9.875" style="145" customWidth="1"/>
    <col min="12301" max="12301" width="18.75" style="145" customWidth="1"/>
    <col min="12302" max="12544" width="9" style="145" customWidth="1"/>
    <col min="12545" max="12545" width="9.25" style="145" customWidth="1"/>
    <col min="12546" max="12546" width="7" style="145" customWidth="1"/>
    <col min="12547" max="12547" width="7.625" style="145" customWidth="1"/>
    <col min="12548" max="12550" width="9.125" style="145" customWidth="1"/>
    <col min="12551" max="12551" width="10.125" style="145" customWidth="1"/>
    <col min="12552" max="12553" width="7.875" style="145" customWidth="1"/>
    <col min="12554" max="12554" width="15" style="145" customWidth="1"/>
    <col min="12555" max="12556" width="9.875" style="145" customWidth="1"/>
    <col min="12557" max="12557" width="18.75" style="145" customWidth="1"/>
    <col min="12558" max="12800" width="9" style="145" customWidth="1"/>
    <col min="12801" max="12801" width="9.25" style="145" customWidth="1"/>
    <col min="12802" max="12802" width="7" style="145" customWidth="1"/>
    <col min="12803" max="12803" width="7.625" style="145" customWidth="1"/>
    <col min="12804" max="12806" width="9.125" style="145" customWidth="1"/>
    <col min="12807" max="12807" width="10.125" style="145" customWidth="1"/>
    <col min="12808" max="12809" width="7.875" style="145" customWidth="1"/>
    <col min="12810" max="12810" width="15" style="145" customWidth="1"/>
    <col min="12811" max="12812" width="9.875" style="145" customWidth="1"/>
    <col min="12813" max="12813" width="18.75" style="145" customWidth="1"/>
    <col min="12814" max="13056" width="9" style="145" customWidth="1"/>
    <col min="13057" max="13057" width="9.25" style="145" customWidth="1"/>
    <col min="13058" max="13058" width="7" style="145" customWidth="1"/>
    <col min="13059" max="13059" width="7.625" style="145" customWidth="1"/>
    <col min="13060" max="13062" width="9.125" style="145" customWidth="1"/>
    <col min="13063" max="13063" width="10.125" style="145" customWidth="1"/>
    <col min="13064" max="13065" width="7.875" style="145" customWidth="1"/>
    <col min="13066" max="13066" width="15" style="145" customWidth="1"/>
    <col min="13067" max="13068" width="9.875" style="145" customWidth="1"/>
    <col min="13069" max="13069" width="18.75" style="145" customWidth="1"/>
    <col min="13070" max="13312" width="9" style="145" customWidth="1"/>
    <col min="13313" max="13313" width="9.25" style="145" customWidth="1"/>
    <col min="13314" max="13314" width="7" style="145" customWidth="1"/>
    <col min="13315" max="13315" width="7.625" style="145" customWidth="1"/>
    <col min="13316" max="13318" width="9.125" style="145" customWidth="1"/>
    <col min="13319" max="13319" width="10.125" style="145" customWidth="1"/>
    <col min="13320" max="13321" width="7.875" style="145" customWidth="1"/>
    <col min="13322" max="13322" width="15" style="145" customWidth="1"/>
    <col min="13323" max="13324" width="9.875" style="145" customWidth="1"/>
    <col min="13325" max="13325" width="18.75" style="145" customWidth="1"/>
    <col min="13326" max="13568" width="9" style="145" customWidth="1"/>
    <col min="13569" max="13569" width="9.25" style="145" customWidth="1"/>
    <col min="13570" max="13570" width="7" style="145" customWidth="1"/>
    <col min="13571" max="13571" width="7.625" style="145" customWidth="1"/>
    <col min="13572" max="13574" width="9.125" style="145" customWidth="1"/>
    <col min="13575" max="13575" width="10.125" style="145" customWidth="1"/>
    <col min="13576" max="13577" width="7.875" style="145" customWidth="1"/>
    <col min="13578" max="13578" width="15" style="145" customWidth="1"/>
    <col min="13579" max="13580" width="9.875" style="145" customWidth="1"/>
    <col min="13581" max="13581" width="18.75" style="145" customWidth="1"/>
    <col min="13582" max="13824" width="9" style="145" customWidth="1"/>
    <col min="13825" max="13825" width="9.25" style="145" customWidth="1"/>
    <col min="13826" max="13826" width="7" style="145" customWidth="1"/>
    <col min="13827" max="13827" width="7.625" style="145" customWidth="1"/>
    <col min="13828" max="13830" width="9.125" style="145" customWidth="1"/>
    <col min="13831" max="13831" width="10.125" style="145" customWidth="1"/>
    <col min="13832" max="13833" width="7.875" style="145" customWidth="1"/>
    <col min="13834" max="13834" width="15" style="145" customWidth="1"/>
    <col min="13835" max="13836" width="9.875" style="145" customWidth="1"/>
    <col min="13837" max="13837" width="18.75" style="145" customWidth="1"/>
    <col min="13838" max="14080" width="9" style="145" customWidth="1"/>
    <col min="14081" max="14081" width="9.25" style="145" customWidth="1"/>
    <col min="14082" max="14082" width="7" style="145" customWidth="1"/>
    <col min="14083" max="14083" width="7.625" style="145" customWidth="1"/>
    <col min="14084" max="14086" width="9.125" style="145" customWidth="1"/>
    <col min="14087" max="14087" width="10.125" style="145" customWidth="1"/>
    <col min="14088" max="14089" width="7.875" style="145" customWidth="1"/>
    <col min="14090" max="14090" width="15" style="145" customWidth="1"/>
    <col min="14091" max="14092" width="9.875" style="145" customWidth="1"/>
    <col min="14093" max="14093" width="18.75" style="145" customWidth="1"/>
    <col min="14094" max="14336" width="9" style="145" customWidth="1"/>
    <col min="14337" max="14337" width="9.25" style="145" customWidth="1"/>
    <col min="14338" max="14338" width="7" style="145" customWidth="1"/>
    <col min="14339" max="14339" width="7.625" style="145" customWidth="1"/>
    <col min="14340" max="14342" width="9.125" style="145" customWidth="1"/>
    <col min="14343" max="14343" width="10.125" style="145" customWidth="1"/>
    <col min="14344" max="14345" width="7.875" style="145" customWidth="1"/>
    <col min="14346" max="14346" width="15" style="145" customWidth="1"/>
    <col min="14347" max="14348" width="9.875" style="145" customWidth="1"/>
    <col min="14349" max="14349" width="18.75" style="145" customWidth="1"/>
    <col min="14350" max="14592" width="9" style="145" customWidth="1"/>
    <col min="14593" max="14593" width="9.25" style="145" customWidth="1"/>
    <col min="14594" max="14594" width="7" style="145" customWidth="1"/>
    <col min="14595" max="14595" width="7.625" style="145" customWidth="1"/>
    <col min="14596" max="14598" width="9.125" style="145" customWidth="1"/>
    <col min="14599" max="14599" width="10.125" style="145" customWidth="1"/>
    <col min="14600" max="14601" width="7.875" style="145" customWidth="1"/>
    <col min="14602" max="14602" width="15" style="145" customWidth="1"/>
    <col min="14603" max="14604" width="9.875" style="145" customWidth="1"/>
    <col min="14605" max="14605" width="18.75" style="145" customWidth="1"/>
    <col min="14606" max="14848" width="9" style="145" customWidth="1"/>
    <col min="14849" max="14849" width="9.25" style="145" customWidth="1"/>
    <col min="14850" max="14850" width="7" style="145" customWidth="1"/>
    <col min="14851" max="14851" width="7.625" style="145" customWidth="1"/>
    <col min="14852" max="14854" width="9.125" style="145" customWidth="1"/>
    <col min="14855" max="14855" width="10.125" style="145" customWidth="1"/>
    <col min="14856" max="14857" width="7.875" style="145" customWidth="1"/>
    <col min="14858" max="14858" width="15" style="145" customWidth="1"/>
    <col min="14859" max="14860" width="9.875" style="145" customWidth="1"/>
    <col min="14861" max="14861" width="18.75" style="145" customWidth="1"/>
    <col min="14862" max="15104" width="9" style="145" customWidth="1"/>
    <col min="15105" max="15105" width="9.25" style="145" customWidth="1"/>
    <col min="15106" max="15106" width="7" style="145" customWidth="1"/>
    <col min="15107" max="15107" width="7.625" style="145" customWidth="1"/>
    <col min="15108" max="15110" width="9.125" style="145" customWidth="1"/>
    <col min="15111" max="15111" width="10.125" style="145" customWidth="1"/>
    <col min="15112" max="15113" width="7.875" style="145" customWidth="1"/>
    <col min="15114" max="15114" width="15" style="145" customWidth="1"/>
    <col min="15115" max="15116" width="9.875" style="145" customWidth="1"/>
    <col min="15117" max="15117" width="18.75" style="145" customWidth="1"/>
    <col min="15118" max="15360" width="9" style="145" customWidth="1"/>
    <col min="15361" max="15361" width="9.25" style="145" customWidth="1"/>
    <col min="15362" max="15362" width="7" style="145" customWidth="1"/>
    <col min="15363" max="15363" width="7.625" style="145" customWidth="1"/>
    <col min="15364" max="15366" width="9.125" style="145" customWidth="1"/>
    <col min="15367" max="15367" width="10.125" style="145" customWidth="1"/>
    <col min="15368" max="15369" width="7.875" style="145" customWidth="1"/>
    <col min="15370" max="15370" width="15" style="145" customWidth="1"/>
    <col min="15371" max="15372" width="9.875" style="145" customWidth="1"/>
    <col min="15373" max="15373" width="18.75" style="145" customWidth="1"/>
    <col min="15374" max="15616" width="9" style="145" customWidth="1"/>
    <col min="15617" max="15617" width="9.25" style="145" customWidth="1"/>
    <col min="15618" max="15618" width="7" style="145" customWidth="1"/>
    <col min="15619" max="15619" width="7.625" style="145" customWidth="1"/>
    <col min="15620" max="15622" width="9.125" style="145" customWidth="1"/>
    <col min="15623" max="15623" width="10.125" style="145" customWidth="1"/>
    <col min="15624" max="15625" width="7.875" style="145" customWidth="1"/>
    <col min="15626" max="15626" width="15" style="145" customWidth="1"/>
    <col min="15627" max="15628" width="9.875" style="145" customWidth="1"/>
    <col min="15629" max="15629" width="18.75" style="145" customWidth="1"/>
    <col min="15630" max="15872" width="9" style="145" customWidth="1"/>
    <col min="15873" max="15873" width="9.25" style="145" customWidth="1"/>
    <col min="15874" max="15874" width="7" style="145" customWidth="1"/>
    <col min="15875" max="15875" width="7.625" style="145" customWidth="1"/>
    <col min="15876" max="15878" width="9.125" style="145" customWidth="1"/>
    <col min="15879" max="15879" width="10.125" style="145" customWidth="1"/>
    <col min="15880" max="15881" width="7.875" style="145" customWidth="1"/>
    <col min="15882" max="15882" width="15" style="145" customWidth="1"/>
    <col min="15883" max="15884" width="9.875" style="145" customWidth="1"/>
    <col min="15885" max="15885" width="18.75" style="145" customWidth="1"/>
    <col min="15886" max="16128" width="9" style="145" customWidth="1"/>
    <col min="16129" max="16129" width="9.25" style="145" customWidth="1"/>
    <col min="16130" max="16130" width="7" style="145" customWidth="1"/>
    <col min="16131" max="16131" width="7.625" style="145" customWidth="1"/>
    <col min="16132" max="16134" width="9.125" style="145" customWidth="1"/>
    <col min="16135" max="16135" width="10.125" style="145" customWidth="1"/>
    <col min="16136" max="16137" width="7.875" style="145" customWidth="1"/>
    <col min="16138" max="16138" width="15" style="145" customWidth="1"/>
    <col min="16139" max="16140" width="9.875" style="145" customWidth="1"/>
    <col min="16141" max="16141" width="18.75" style="145" customWidth="1"/>
    <col min="16142" max="16384" width="9" style="145" customWidth="1"/>
  </cols>
  <sheetData>
    <row r="1" ht="27.95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2" customHeight="1" spans="1:25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9.75" customHeight="1" spans="1:25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0.25" customHeight="1" spans="1:25" x14ac:dyDescent="0.25">
      <c r="A4" s="199" t="s">
        <v>34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ht="10.5" customHeight="1" spans="1:25" x14ac:dyDescent="0.25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spans="1:25" x14ac:dyDescent="0.25">
      <c r="A6" s="145" t="s">
        <v>35</v>
      </c>
      <c r="B6" s="200" t="str">
        <f>'Final Work'!B4</f>
        <v>SAWASDEE RIGEL</v>
      </c>
      <c r="C6" s="145"/>
      <c r="D6" s="145"/>
      <c r="E6" s="145"/>
      <c r="F6" s="145"/>
      <c r="G6" s="145" t="s">
        <v>36</v>
      </c>
      <c r="H6" s="197"/>
      <c r="I6" s="197"/>
      <c r="J6" s="145"/>
      <c r="K6" s="145" t="s">
        <v>37</v>
      </c>
      <c r="L6" s="201"/>
      <c r="M6" s="197"/>
      <c r="N6" s="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ht="5.25" customHeight="1" spans="1:25" x14ac:dyDescent="0.25">
      <c r="A7" s="145"/>
      <c r="B7" s="145"/>
      <c r="C7" s="145"/>
      <c r="D7" s="145"/>
      <c r="E7" s="145"/>
      <c r="F7" s="145"/>
      <c r="G7" s="145"/>
      <c r="H7" s="202"/>
      <c r="I7" s="202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spans="1:25" x14ac:dyDescent="0.25">
      <c r="A8" s="200" t="s">
        <v>38</v>
      </c>
      <c r="B8" s="145" t="s">
        <v>25</v>
      </c>
      <c r="C8" s="145"/>
      <c r="D8" s="145"/>
      <c r="E8" s="145"/>
      <c r="F8" s="145"/>
      <c r="G8" s="145" t="s">
        <v>39</v>
      </c>
      <c r="H8" s="197"/>
      <c r="I8" s="197"/>
      <c r="J8" s="145"/>
      <c r="K8" s="200" t="s">
        <v>40</v>
      </c>
      <c r="L8" s="197"/>
      <c r="M8" s="197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ht="8.25" customHeight="1" spans="1:25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4.45" customHeight="1" spans="1:25" x14ac:dyDescent="0.25">
      <c r="A10" s="203" t="s">
        <v>41</v>
      </c>
      <c r="B10" s="204" t="s">
        <v>42</v>
      </c>
      <c r="C10" s="205"/>
      <c r="D10" s="203" t="s">
        <v>43</v>
      </c>
      <c r="E10" s="203"/>
      <c r="F10" s="203"/>
      <c r="G10" s="206" t="s">
        <v>44</v>
      </c>
      <c r="H10" s="203" t="s">
        <v>45</v>
      </c>
      <c r="I10" s="203"/>
      <c r="J10" s="206" t="s">
        <v>46</v>
      </c>
      <c r="K10" s="203" t="s">
        <v>47</v>
      </c>
      <c r="L10" s="203" t="s">
        <v>48</v>
      </c>
      <c r="M10" s="203" t="s">
        <v>49</v>
      </c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ht="14.45" customHeight="1" spans="1:25" x14ac:dyDescent="0.25">
      <c r="A11" s="207"/>
      <c r="B11" s="208"/>
      <c r="C11" s="209"/>
      <c r="D11" s="207"/>
      <c r="E11" s="207"/>
      <c r="F11" s="207"/>
      <c r="G11" s="210" t="s">
        <v>50</v>
      </c>
      <c r="H11" s="207"/>
      <c r="I11" s="207"/>
      <c r="J11" s="210"/>
      <c r="K11" s="207"/>
      <c r="L11" s="207"/>
      <c r="M11" s="207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ht="26.1" customHeight="1" spans="1:25" x14ac:dyDescent="0.25">
      <c r="A12" s="211"/>
      <c r="B12" s="212"/>
      <c r="C12" s="213"/>
      <c r="D12" s="214"/>
      <c r="E12" s="215"/>
      <c r="F12" s="216"/>
      <c r="G12" s="217"/>
      <c r="H12" s="218"/>
      <c r="I12" s="219"/>
      <c r="J12" s="220"/>
      <c r="K12" s="221"/>
      <c r="L12" s="221"/>
      <c r="M12" s="222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ht="26.1" customHeight="1" spans="1:25" x14ac:dyDescent="0.25">
      <c r="A13" s="223"/>
      <c r="B13" s="212"/>
      <c r="C13" s="213"/>
      <c r="D13" s="212"/>
      <c r="E13" s="224"/>
      <c r="F13" s="225"/>
      <c r="G13" s="223"/>
      <c r="H13" s="226"/>
      <c r="I13" s="227"/>
      <c r="J13" s="228"/>
      <c r="K13" s="223"/>
      <c r="L13" s="223"/>
      <c r="M13" s="229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</row>
    <row r="14" ht="26.1" customHeight="1" spans="1:25" x14ac:dyDescent="0.25">
      <c r="A14" s="223"/>
      <c r="B14" s="212"/>
      <c r="C14" s="213"/>
      <c r="D14" s="230"/>
      <c r="E14" s="231"/>
      <c r="F14" s="232"/>
      <c r="G14" s="221"/>
      <c r="H14" s="226"/>
      <c r="I14" s="227"/>
      <c r="J14" s="228"/>
      <c r="K14" s="223"/>
      <c r="L14" s="223"/>
      <c r="M14" s="229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26.1" customHeight="1" spans="1:25" x14ac:dyDescent="0.25">
      <c r="A15" s="223"/>
      <c r="B15" s="212"/>
      <c r="C15" s="213"/>
      <c r="D15" s="212"/>
      <c r="E15" s="224"/>
      <c r="F15" s="225"/>
      <c r="G15" s="223"/>
      <c r="H15" s="226"/>
      <c r="I15" s="227"/>
      <c r="J15" s="228"/>
      <c r="K15" s="223"/>
      <c r="L15" s="223"/>
      <c r="M15" s="229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26.1" customHeight="1" spans="1:25" x14ac:dyDescent="0.25">
      <c r="A16" s="223"/>
      <c r="B16" s="212"/>
      <c r="C16" s="213"/>
      <c r="D16" s="230"/>
      <c r="E16" s="231"/>
      <c r="F16" s="232"/>
      <c r="G16" s="221"/>
      <c r="H16" s="226"/>
      <c r="I16" s="227"/>
      <c r="J16" s="228"/>
      <c r="K16" s="223"/>
      <c r="L16" s="223"/>
      <c r="M16" s="229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ht="26.1" customHeight="1" spans="1:25" x14ac:dyDescent="0.25">
      <c r="A17" s="223"/>
      <c r="B17" s="212"/>
      <c r="C17" s="213"/>
      <c r="D17" s="233"/>
      <c r="E17" s="16"/>
      <c r="F17" s="234"/>
      <c r="G17" s="235"/>
      <c r="H17" s="226"/>
      <c r="I17" s="227"/>
      <c r="J17" s="228"/>
      <c r="K17" s="223"/>
      <c r="L17" s="223"/>
      <c r="M17" s="229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ht="26.1" customHeight="1" hidden="1" spans="1:25" x14ac:dyDescent="0.25">
      <c r="A18" s="223"/>
      <c r="B18" s="212"/>
      <c r="C18" s="213"/>
      <c r="D18" s="212"/>
      <c r="E18" s="224"/>
      <c r="F18" s="225"/>
      <c r="G18" s="223"/>
      <c r="H18" s="226"/>
      <c r="I18" s="227"/>
      <c r="J18" s="228"/>
      <c r="K18" s="223"/>
      <c r="L18" s="223"/>
      <c r="M18" s="229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ht="26.1" customHeight="1" hidden="1" spans="1:25" x14ac:dyDescent="0.25">
      <c r="A19" s="223"/>
      <c r="B19" s="212"/>
      <c r="C19" s="213"/>
      <c r="D19" s="212"/>
      <c r="E19" s="224"/>
      <c r="F19" s="225"/>
      <c r="G19" s="223"/>
      <c r="H19" s="226"/>
      <c r="I19" s="227"/>
      <c r="J19" s="228"/>
      <c r="K19" s="223"/>
      <c r="L19" s="223"/>
      <c r="M19" s="229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26.1" customHeight="1" hidden="1" spans="1:25" x14ac:dyDescent="0.25">
      <c r="A20" s="236"/>
      <c r="B20" s="237"/>
      <c r="C20" s="238"/>
      <c r="D20" s="237"/>
      <c r="E20" s="196"/>
      <c r="F20" s="239"/>
      <c r="G20" s="236"/>
      <c r="H20" s="240"/>
      <c r="I20" s="241"/>
      <c r="J20" s="242"/>
      <c r="K20" s="236"/>
      <c r="L20" s="236"/>
      <c r="M20" s="243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26.1" customHeight="1" hidden="1" spans="1:25" x14ac:dyDescent="0.25">
      <c r="A21" s="223"/>
      <c r="B21" s="212"/>
      <c r="C21" s="213"/>
      <c r="D21" s="212"/>
      <c r="E21" s="224"/>
      <c r="F21" s="225"/>
      <c r="G21" s="223"/>
      <c r="H21" s="226"/>
      <c r="I21" s="227"/>
      <c r="J21" s="228"/>
      <c r="K21" s="223"/>
      <c r="L21" s="223"/>
      <c r="M21" s="229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ht="26.1" customHeight="1" hidden="1" spans="1:25" x14ac:dyDescent="0.25">
      <c r="A22" s="223"/>
      <c r="B22" s="212"/>
      <c r="C22" s="213"/>
      <c r="D22" s="212"/>
      <c r="E22" s="224"/>
      <c r="F22" s="225"/>
      <c r="G22" s="223"/>
      <c r="H22" s="226"/>
      <c r="I22" s="227"/>
      <c r="J22" s="228"/>
      <c r="K22" s="223"/>
      <c r="L22" s="223"/>
      <c r="M22" s="229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26.1" customHeight="1" spans="1:25" x14ac:dyDescent="0.25">
      <c r="A23" s="244"/>
      <c r="B23" s="245"/>
      <c r="C23" s="246"/>
      <c r="D23" s="247" t="s">
        <v>51</v>
      </c>
      <c r="E23" s="248"/>
      <c r="F23" s="249"/>
      <c r="G23" s="250" t="s">
        <v>52</v>
      </c>
      <c r="H23" s="251">
        <f>SUM(H9:I22)</f>
        <v>340</v>
      </c>
      <c r="I23" s="252"/>
      <c r="J23" s="253">
        <f>SUM(J9:J22)</f>
        <v>340</v>
      </c>
      <c r="K23" s="250" t="s">
        <v>53</v>
      </c>
      <c r="L23" s="250" t="s">
        <v>53</v>
      </c>
      <c r="M23" s="254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26.1" customHeight="1" hidden="1" spans="1:25" x14ac:dyDescent="0.25">
      <c r="A24" s="236"/>
      <c r="B24" s="237"/>
      <c r="C24" s="238"/>
      <c r="D24" s="237"/>
      <c r="E24" s="196"/>
      <c r="F24" s="239"/>
      <c r="G24" s="236"/>
      <c r="H24" s="240"/>
      <c r="I24" s="255"/>
      <c r="J24" s="242"/>
      <c r="K24" s="236"/>
      <c r="L24" s="236"/>
      <c r="M24" s="243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26.1" customHeight="1" hidden="1" spans="1:25" x14ac:dyDescent="0.25">
      <c r="A25" s="223"/>
      <c r="B25" s="212"/>
      <c r="C25" s="213"/>
      <c r="D25" s="212"/>
      <c r="E25" s="224"/>
      <c r="F25" s="225"/>
      <c r="G25" s="223"/>
      <c r="H25" s="226"/>
      <c r="I25" s="256"/>
      <c r="J25" s="228"/>
      <c r="K25" s="223"/>
      <c r="L25" s="223"/>
      <c r="M25" s="229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26.1" customHeight="1" spans="1:25" x14ac:dyDescent="0.25">
      <c r="A26" s="257"/>
      <c r="B26" s="233"/>
      <c r="C26" s="258"/>
      <c r="D26" s="259"/>
      <c r="E26" s="260"/>
      <c r="F26" s="261"/>
      <c r="G26" s="262"/>
      <c r="H26" s="263"/>
      <c r="I26" s="264"/>
      <c r="J26" s="265"/>
      <c r="K26" s="262"/>
      <c r="L26" s="262"/>
      <c r="M26" s="266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26.1" customHeight="1" spans="1:25" x14ac:dyDescent="0.25">
      <c r="A27" s="267"/>
      <c r="B27" s="268"/>
      <c r="C27" s="269"/>
      <c r="D27" s="268"/>
      <c r="E27" s="270"/>
      <c r="F27" s="269"/>
      <c r="G27" s="271"/>
      <c r="H27" s="272"/>
      <c r="I27" s="273"/>
      <c r="J27" s="274"/>
      <c r="K27" s="271"/>
      <c r="L27" s="271"/>
      <c r="M27" s="27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26.1" customHeight="1" spans="1:25" x14ac:dyDescent="0.25">
      <c r="A28" s="267"/>
      <c r="B28" s="268"/>
      <c r="C28" s="269"/>
      <c r="D28" s="268"/>
      <c r="E28" s="270"/>
      <c r="F28" s="269"/>
      <c r="G28" s="271"/>
      <c r="H28" s="272"/>
      <c r="I28" s="273"/>
      <c r="J28" s="274"/>
      <c r="K28" s="271"/>
      <c r="L28" s="271"/>
      <c r="M28" s="27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14.25" customHeight="1" spans="1:25" x14ac:dyDescent="0.25">
      <c r="A29" s="193"/>
      <c r="B29" s="276"/>
      <c r="C29" s="276"/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14.25" customHeight="1" spans="1:25" x14ac:dyDescent="0.25">
      <c r="A30" s="193"/>
      <c r="B30" s="276"/>
      <c r="C30" s="276"/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14.25" customHeight="1" spans="1:25" x14ac:dyDescent="0.25">
      <c r="A31" s="193"/>
      <c r="B31" s="276"/>
      <c r="C31" s="276"/>
      <c r="D31" s="276"/>
      <c r="E31" s="276"/>
      <c r="F31" s="276"/>
      <c r="G31" s="276"/>
      <c r="H31" s="276"/>
      <c r="I31" s="276"/>
      <c r="J31" s="276"/>
      <c r="K31" s="276"/>
      <c r="L31" s="276"/>
      <c r="M31" s="276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4.25" customHeight="1" spans="1:25" x14ac:dyDescent="0.25">
      <c r="A32" s="193"/>
      <c r="B32" s="276"/>
      <c r="C32" s="276"/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spans="1:25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15" customHeight="1" spans="1:25" x14ac:dyDescent="0.25">
      <c r="A34" s="194"/>
      <c r="B34" s="194"/>
      <c r="C34" s="194"/>
      <c r="D34" s="145"/>
      <c r="E34" s="145"/>
      <c r="F34" s="145"/>
      <c r="G34" s="194"/>
      <c r="H34" s="194"/>
      <c r="I34" s="194"/>
      <c r="J34" s="145"/>
      <c r="K34" s="145"/>
      <c r="L34" s="194"/>
      <c r="M34" s="194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x14ac:dyDescent="0.25">
      <c r="A35" s="195" t="s">
        <v>22</v>
      </c>
      <c r="B35" s="195"/>
      <c r="C35" s="195"/>
      <c r="D35" s="145"/>
      <c r="E35" s="145"/>
      <c r="F35" s="145"/>
      <c r="G35" s="195" t="s">
        <v>54</v>
      </c>
      <c r="H35" s="195"/>
      <c r="I35" s="195"/>
      <c r="J35" s="145"/>
      <c r="K35" s="145"/>
      <c r="L35" s="195" t="s">
        <v>23</v>
      </c>
      <c r="M35" s="19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spans="1:25" x14ac:dyDescent="0.25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spans="1:25" x14ac:dyDescent="0.25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spans="1:1" x14ac:dyDescent="0.25">
      <c r="A41" s="145"/>
    </row>
    <row r="42" spans="1:1" x14ac:dyDescent="0.25">
      <c r="A42" s="145"/>
    </row>
    <row r="43" spans="1:1" x14ac:dyDescent="0.25">
      <c r="A43" s="145"/>
    </row>
    <row r="44" spans="1:1" x14ac:dyDescent="0.25">
      <c r="A44" s="145"/>
    </row>
    <row r="45" spans="1:1" x14ac:dyDescent="0.25">
      <c r="A45" s="145"/>
    </row>
    <row r="46" spans="1:1" x14ac:dyDescent="0.25">
      <c r="A46" s="145"/>
    </row>
    <row r="47" spans="1:1" x14ac:dyDescent="0.25">
      <c r="A47" s="145"/>
    </row>
    <row r="48" spans="1:1" x14ac:dyDescent="0.25">
      <c r="A48" s="145"/>
    </row>
    <row r="49" spans="1:1" x14ac:dyDescent="0.25">
      <c r="A49" s="145"/>
    </row>
    <row r="50" spans="1:1" x14ac:dyDescent="0.25">
      <c r="A50" s="145"/>
    </row>
    <row r="51" spans="1:1" x14ac:dyDescent="0.25">
      <c r="A51" s="145"/>
    </row>
    <row r="52" spans="1:1" x14ac:dyDescent="0.25">
      <c r="A52" s="145"/>
    </row>
    <row r="53" spans="1:1" x14ac:dyDescent="0.25">
      <c r="A53" s="145"/>
    </row>
    <row r="54" spans="1:1" x14ac:dyDescent="0.25">
      <c r="A54" s="145"/>
    </row>
    <row r="55" spans="1:1" x14ac:dyDescent="0.25">
      <c r="A55" s="145"/>
    </row>
    <row r="56" spans="1:1" x14ac:dyDescent="0.25">
      <c r="A56" s="145"/>
    </row>
    <row r="57" spans="1:1" x14ac:dyDescent="0.25">
      <c r="A57" s="145"/>
    </row>
    <row r="58" spans="1:1" x14ac:dyDescent="0.25">
      <c r="A58" s="145"/>
    </row>
    <row r="59" spans="1:1" x14ac:dyDescent="0.25">
      <c r="A59" s="145"/>
    </row>
    <row r="60" spans="1:1" x14ac:dyDescent="0.25">
      <c r="A60" s="145"/>
    </row>
    <row r="61" spans="1:1" x14ac:dyDescent="0.25">
      <c r="A61" s="145"/>
    </row>
    <row r="62" spans="1:1" x14ac:dyDescent="0.25">
      <c r="A62" s="145"/>
    </row>
    <row r="63" spans="1:1" x14ac:dyDescent="0.25">
      <c r="A63" s="145"/>
    </row>
    <row r="64" spans="1:1" x14ac:dyDescent="0.25">
      <c r="A64" s="145"/>
    </row>
    <row r="65" spans="1:1" x14ac:dyDescent="0.25">
      <c r="A65" s="145"/>
    </row>
    <row r="66" spans="1:1" x14ac:dyDescent="0.25">
      <c r="A66" s="145"/>
    </row>
    <row r="67" spans="1:1" x14ac:dyDescent="0.25">
      <c r="A67" s="145"/>
    </row>
    <row r="68" spans="1:1" x14ac:dyDescent="0.25">
      <c r="A68" s="145"/>
    </row>
    <row r="69" spans="1:1" x14ac:dyDescent="0.25">
      <c r="A69" s="145"/>
    </row>
    <row r="70" spans="1:1" x14ac:dyDescent="0.25">
      <c r="A70" s="145"/>
    </row>
    <row r="71" spans="1:1" x14ac:dyDescent="0.25">
      <c r="A71" s="145"/>
    </row>
    <row r="72" spans="1:1" x14ac:dyDescent="0.25">
      <c r="A72" s="145"/>
    </row>
    <row r="73" spans="1:1" x14ac:dyDescent="0.25">
      <c r="A73" s="145"/>
    </row>
    <row r="74" spans="1:1" x14ac:dyDescent="0.25">
      <c r="A74" s="145"/>
    </row>
    <row r="75" spans="1:1" x14ac:dyDescent="0.25">
      <c r="A75" s="145"/>
    </row>
    <row r="76" spans="1:1" x14ac:dyDescent="0.25">
      <c r="A76" s="145"/>
    </row>
    <row r="77" spans="1:1" x14ac:dyDescent="0.25">
      <c r="A77" s="145"/>
    </row>
    <row r="78" spans="1:1" x14ac:dyDescent="0.25">
      <c r="A78" s="145"/>
    </row>
    <row r="79" spans="1:1" x14ac:dyDescent="0.25">
      <c r="A79" s="145"/>
    </row>
    <row r="80" spans="1:1" x14ac:dyDescent="0.25">
      <c r="A80" s="145"/>
    </row>
    <row r="81" spans="1:1" x14ac:dyDescent="0.25">
      <c r="A81" s="145"/>
    </row>
    <row r="82" spans="1:1" x14ac:dyDescent="0.25">
      <c r="A82" s="145"/>
    </row>
    <row r="83" spans="1:1" x14ac:dyDescent="0.25">
      <c r="A83" s="145"/>
    </row>
    <row r="84" spans="1:1" x14ac:dyDescent="0.25">
      <c r="A84" s="145"/>
    </row>
    <row r="85" spans="1:1" x14ac:dyDescent="0.25">
      <c r="A85" s="145"/>
    </row>
    <row r="86" spans="1:1" x14ac:dyDescent="0.25">
      <c r="A86" s="145"/>
    </row>
    <row r="87" spans="1:1" x14ac:dyDescent="0.25">
      <c r="A87" s="145"/>
    </row>
    <row r="88" spans="1:1" x14ac:dyDescent="0.25">
      <c r="A88" s="145"/>
    </row>
    <row r="89" spans="1:1" x14ac:dyDescent="0.25">
      <c r="A89" s="145"/>
    </row>
    <row r="90" spans="1:1" x14ac:dyDescent="0.25">
      <c r="A90" s="145"/>
    </row>
  </sheetData>
  <mergeCells count="34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H24:I24"/>
    <mergeCell ref="B25:C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A35:C35"/>
    <mergeCell ref="G35:I35"/>
    <mergeCell ref="L35:M35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38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7.5" style="145" customWidth="1"/>
    <col min="2" max="2" width="9.5" style="145" customWidth="1"/>
    <col min="3" max="5" width="5.625" style="145" customWidth="1"/>
    <col min="6" max="9" width="6" style="145" customWidth="1"/>
    <col min="10" max="10" width="9" style="145" customWidth="1"/>
    <col min="11" max="14" width="7.625" style="145" customWidth="1"/>
    <col min="15" max="15" width="7.875" style="145" customWidth="1"/>
    <col min="16" max="18" width="7.625" style="145" customWidth="1"/>
    <col min="19" max="19" width="6.75" style="145" hidden="1" customWidth="1"/>
    <col min="20" max="256" width="9" style="145" customWidth="1"/>
    <col min="257" max="257" width="7.5" style="145" customWidth="1"/>
    <col min="258" max="258" width="9.5" style="145" customWidth="1"/>
    <col min="259" max="261" width="5.625" style="145" customWidth="1"/>
    <col min="262" max="265" width="6" style="145" customWidth="1"/>
    <col min="266" max="266" width="9" style="145" customWidth="1"/>
    <col min="267" max="267" width="7.625" style="145" customWidth="1"/>
    <col min="268" max="274" width="8" style="145" customWidth="1"/>
    <col min="275" max="275" width="9" style="145" hidden="1" customWidth="1"/>
    <col min="276" max="512" width="9" style="145" customWidth="1"/>
    <col min="513" max="513" width="7.5" style="145" customWidth="1"/>
    <col min="514" max="514" width="9.5" style="145" customWidth="1"/>
    <col min="515" max="517" width="5.625" style="145" customWidth="1"/>
    <col min="518" max="521" width="6" style="145" customWidth="1"/>
    <col min="522" max="522" width="9" style="145" customWidth="1"/>
    <col min="523" max="523" width="7.625" style="145" customWidth="1"/>
    <col min="524" max="530" width="8" style="145" customWidth="1"/>
    <col min="531" max="531" width="9" style="145" hidden="1" customWidth="1"/>
    <col min="532" max="768" width="9" style="145" customWidth="1"/>
    <col min="769" max="769" width="7.5" style="145" customWidth="1"/>
    <col min="770" max="770" width="9.5" style="145" customWidth="1"/>
    <col min="771" max="773" width="5.625" style="145" customWidth="1"/>
    <col min="774" max="777" width="6" style="145" customWidth="1"/>
    <col min="778" max="778" width="9" style="145" customWidth="1"/>
    <col min="779" max="779" width="7.625" style="145" customWidth="1"/>
    <col min="780" max="786" width="8" style="145" customWidth="1"/>
    <col min="787" max="787" width="9" style="145" hidden="1" customWidth="1"/>
    <col min="788" max="1024" width="9" style="145" customWidth="1"/>
    <col min="1025" max="1025" width="7.5" style="145" customWidth="1"/>
    <col min="1026" max="1026" width="9.5" style="145" customWidth="1"/>
    <col min="1027" max="1029" width="5.625" style="145" customWidth="1"/>
    <col min="1030" max="1033" width="6" style="145" customWidth="1"/>
    <col min="1034" max="1034" width="9" style="145" customWidth="1"/>
    <col min="1035" max="1035" width="7.625" style="145" customWidth="1"/>
    <col min="1036" max="1042" width="8" style="145" customWidth="1"/>
    <col min="1043" max="1043" width="9" style="145" hidden="1" customWidth="1"/>
    <col min="1044" max="1280" width="9" style="145" customWidth="1"/>
    <col min="1281" max="1281" width="7.5" style="145" customWidth="1"/>
    <col min="1282" max="1282" width="9.5" style="145" customWidth="1"/>
    <col min="1283" max="1285" width="5.625" style="145" customWidth="1"/>
    <col min="1286" max="1289" width="6" style="145" customWidth="1"/>
    <col min="1290" max="1290" width="9" style="145" customWidth="1"/>
    <col min="1291" max="1291" width="7.625" style="145" customWidth="1"/>
    <col min="1292" max="1298" width="8" style="145" customWidth="1"/>
    <col min="1299" max="1299" width="9" style="145" hidden="1" customWidth="1"/>
    <col min="1300" max="1536" width="9" style="145" customWidth="1"/>
    <col min="1537" max="1537" width="7.5" style="145" customWidth="1"/>
    <col min="1538" max="1538" width="9.5" style="145" customWidth="1"/>
    <col min="1539" max="1541" width="5.625" style="145" customWidth="1"/>
    <col min="1542" max="1545" width="6" style="145" customWidth="1"/>
    <col min="1546" max="1546" width="9" style="145" customWidth="1"/>
    <col min="1547" max="1547" width="7.625" style="145" customWidth="1"/>
    <col min="1548" max="1554" width="8" style="145" customWidth="1"/>
    <col min="1555" max="1555" width="9" style="145" hidden="1" customWidth="1"/>
    <col min="1556" max="1792" width="9" style="145" customWidth="1"/>
    <col min="1793" max="1793" width="7.5" style="145" customWidth="1"/>
    <col min="1794" max="1794" width="9.5" style="145" customWidth="1"/>
    <col min="1795" max="1797" width="5.625" style="145" customWidth="1"/>
    <col min="1798" max="1801" width="6" style="145" customWidth="1"/>
    <col min="1802" max="1802" width="9" style="145" customWidth="1"/>
    <col min="1803" max="1803" width="7.625" style="145" customWidth="1"/>
    <col min="1804" max="1810" width="8" style="145" customWidth="1"/>
    <col min="1811" max="1811" width="9" style="145" hidden="1" customWidth="1"/>
    <col min="1812" max="2048" width="9" style="145" customWidth="1"/>
    <col min="2049" max="2049" width="7.5" style="145" customWidth="1"/>
    <col min="2050" max="2050" width="9.5" style="145" customWidth="1"/>
    <col min="2051" max="2053" width="5.625" style="145" customWidth="1"/>
    <col min="2054" max="2057" width="6" style="145" customWidth="1"/>
    <col min="2058" max="2058" width="9" style="145" customWidth="1"/>
    <col min="2059" max="2059" width="7.625" style="145" customWidth="1"/>
    <col min="2060" max="2066" width="8" style="145" customWidth="1"/>
    <col min="2067" max="2067" width="9" style="145" hidden="1" customWidth="1"/>
    <col min="2068" max="2304" width="9" style="145" customWidth="1"/>
    <col min="2305" max="2305" width="7.5" style="145" customWidth="1"/>
    <col min="2306" max="2306" width="9.5" style="145" customWidth="1"/>
    <col min="2307" max="2309" width="5.625" style="145" customWidth="1"/>
    <col min="2310" max="2313" width="6" style="145" customWidth="1"/>
    <col min="2314" max="2314" width="9" style="145" customWidth="1"/>
    <col min="2315" max="2315" width="7.625" style="145" customWidth="1"/>
    <col min="2316" max="2322" width="8" style="145" customWidth="1"/>
    <col min="2323" max="2323" width="9" style="145" hidden="1" customWidth="1"/>
    <col min="2324" max="2560" width="9" style="145" customWidth="1"/>
    <col min="2561" max="2561" width="7.5" style="145" customWidth="1"/>
    <col min="2562" max="2562" width="9.5" style="145" customWidth="1"/>
    <col min="2563" max="2565" width="5.625" style="145" customWidth="1"/>
    <col min="2566" max="2569" width="6" style="145" customWidth="1"/>
    <col min="2570" max="2570" width="9" style="145" customWidth="1"/>
    <col min="2571" max="2571" width="7.625" style="145" customWidth="1"/>
    <col min="2572" max="2578" width="8" style="145" customWidth="1"/>
    <col min="2579" max="2579" width="9" style="145" hidden="1" customWidth="1"/>
    <col min="2580" max="2816" width="9" style="145" customWidth="1"/>
    <col min="2817" max="2817" width="7.5" style="145" customWidth="1"/>
    <col min="2818" max="2818" width="9.5" style="145" customWidth="1"/>
    <col min="2819" max="2821" width="5.625" style="145" customWidth="1"/>
    <col min="2822" max="2825" width="6" style="145" customWidth="1"/>
    <col min="2826" max="2826" width="9" style="145" customWidth="1"/>
    <col min="2827" max="2827" width="7.625" style="145" customWidth="1"/>
    <col min="2828" max="2834" width="8" style="145" customWidth="1"/>
    <col min="2835" max="2835" width="9" style="145" hidden="1" customWidth="1"/>
    <col min="2836" max="3072" width="9" style="145" customWidth="1"/>
    <col min="3073" max="3073" width="7.5" style="145" customWidth="1"/>
    <col min="3074" max="3074" width="9.5" style="145" customWidth="1"/>
    <col min="3075" max="3077" width="5.625" style="145" customWidth="1"/>
    <col min="3078" max="3081" width="6" style="145" customWidth="1"/>
    <col min="3082" max="3082" width="9" style="145" customWidth="1"/>
    <col min="3083" max="3083" width="7.625" style="145" customWidth="1"/>
    <col min="3084" max="3090" width="8" style="145" customWidth="1"/>
    <col min="3091" max="3091" width="9" style="145" hidden="1" customWidth="1"/>
    <col min="3092" max="3328" width="9" style="145" customWidth="1"/>
    <col min="3329" max="3329" width="7.5" style="145" customWidth="1"/>
    <col min="3330" max="3330" width="9.5" style="145" customWidth="1"/>
    <col min="3331" max="3333" width="5.625" style="145" customWidth="1"/>
    <col min="3334" max="3337" width="6" style="145" customWidth="1"/>
    <col min="3338" max="3338" width="9" style="145" customWidth="1"/>
    <col min="3339" max="3339" width="7.625" style="145" customWidth="1"/>
    <col min="3340" max="3346" width="8" style="145" customWidth="1"/>
    <col min="3347" max="3347" width="9" style="145" hidden="1" customWidth="1"/>
    <col min="3348" max="3584" width="9" style="145" customWidth="1"/>
    <col min="3585" max="3585" width="7.5" style="145" customWidth="1"/>
    <col min="3586" max="3586" width="9.5" style="145" customWidth="1"/>
    <col min="3587" max="3589" width="5.625" style="145" customWidth="1"/>
    <col min="3590" max="3593" width="6" style="145" customWidth="1"/>
    <col min="3594" max="3594" width="9" style="145" customWidth="1"/>
    <col min="3595" max="3595" width="7.625" style="145" customWidth="1"/>
    <col min="3596" max="3602" width="8" style="145" customWidth="1"/>
    <col min="3603" max="3603" width="9" style="145" hidden="1" customWidth="1"/>
    <col min="3604" max="3840" width="9" style="145" customWidth="1"/>
    <col min="3841" max="3841" width="7.5" style="145" customWidth="1"/>
    <col min="3842" max="3842" width="9.5" style="145" customWidth="1"/>
    <col min="3843" max="3845" width="5.625" style="145" customWidth="1"/>
    <col min="3846" max="3849" width="6" style="145" customWidth="1"/>
    <col min="3850" max="3850" width="9" style="145" customWidth="1"/>
    <col min="3851" max="3851" width="7.625" style="145" customWidth="1"/>
    <col min="3852" max="3858" width="8" style="145" customWidth="1"/>
    <col min="3859" max="3859" width="9" style="145" hidden="1" customWidth="1"/>
    <col min="3860" max="4096" width="9" style="145" customWidth="1"/>
    <col min="4097" max="4097" width="7.5" style="145" customWidth="1"/>
    <col min="4098" max="4098" width="9.5" style="145" customWidth="1"/>
    <col min="4099" max="4101" width="5.625" style="145" customWidth="1"/>
    <col min="4102" max="4105" width="6" style="145" customWidth="1"/>
    <col min="4106" max="4106" width="9" style="145" customWidth="1"/>
    <col min="4107" max="4107" width="7.625" style="145" customWidth="1"/>
    <col min="4108" max="4114" width="8" style="145" customWidth="1"/>
    <col min="4115" max="4115" width="9" style="145" hidden="1" customWidth="1"/>
    <col min="4116" max="4352" width="9" style="145" customWidth="1"/>
    <col min="4353" max="4353" width="7.5" style="145" customWidth="1"/>
    <col min="4354" max="4354" width="9.5" style="145" customWidth="1"/>
    <col min="4355" max="4357" width="5.625" style="145" customWidth="1"/>
    <col min="4358" max="4361" width="6" style="145" customWidth="1"/>
    <col min="4362" max="4362" width="9" style="145" customWidth="1"/>
    <col min="4363" max="4363" width="7.625" style="145" customWidth="1"/>
    <col min="4364" max="4370" width="8" style="145" customWidth="1"/>
    <col min="4371" max="4371" width="9" style="145" hidden="1" customWidth="1"/>
    <col min="4372" max="4608" width="9" style="145" customWidth="1"/>
    <col min="4609" max="4609" width="7.5" style="145" customWidth="1"/>
    <col min="4610" max="4610" width="9.5" style="145" customWidth="1"/>
    <col min="4611" max="4613" width="5.625" style="145" customWidth="1"/>
    <col min="4614" max="4617" width="6" style="145" customWidth="1"/>
    <col min="4618" max="4618" width="9" style="145" customWidth="1"/>
    <col min="4619" max="4619" width="7.625" style="145" customWidth="1"/>
    <col min="4620" max="4626" width="8" style="145" customWidth="1"/>
    <col min="4627" max="4627" width="9" style="145" hidden="1" customWidth="1"/>
    <col min="4628" max="4864" width="9" style="145" customWidth="1"/>
    <col min="4865" max="4865" width="7.5" style="145" customWidth="1"/>
    <col min="4866" max="4866" width="9.5" style="145" customWidth="1"/>
    <col min="4867" max="4869" width="5.625" style="145" customWidth="1"/>
    <col min="4870" max="4873" width="6" style="145" customWidth="1"/>
    <col min="4874" max="4874" width="9" style="145" customWidth="1"/>
    <col min="4875" max="4875" width="7.625" style="145" customWidth="1"/>
    <col min="4876" max="4882" width="8" style="145" customWidth="1"/>
    <col min="4883" max="4883" width="9" style="145" hidden="1" customWidth="1"/>
    <col min="4884" max="5120" width="9" style="145" customWidth="1"/>
    <col min="5121" max="5121" width="7.5" style="145" customWidth="1"/>
    <col min="5122" max="5122" width="9.5" style="145" customWidth="1"/>
    <col min="5123" max="5125" width="5.625" style="145" customWidth="1"/>
    <col min="5126" max="5129" width="6" style="145" customWidth="1"/>
    <col min="5130" max="5130" width="9" style="145" customWidth="1"/>
    <col min="5131" max="5131" width="7.625" style="145" customWidth="1"/>
    <col min="5132" max="5138" width="8" style="145" customWidth="1"/>
    <col min="5139" max="5139" width="9" style="145" hidden="1" customWidth="1"/>
    <col min="5140" max="5376" width="9" style="145" customWidth="1"/>
    <col min="5377" max="5377" width="7.5" style="145" customWidth="1"/>
    <col min="5378" max="5378" width="9.5" style="145" customWidth="1"/>
    <col min="5379" max="5381" width="5.625" style="145" customWidth="1"/>
    <col min="5382" max="5385" width="6" style="145" customWidth="1"/>
    <col min="5386" max="5386" width="9" style="145" customWidth="1"/>
    <col min="5387" max="5387" width="7.625" style="145" customWidth="1"/>
    <col min="5388" max="5394" width="8" style="145" customWidth="1"/>
    <col min="5395" max="5395" width="9" style="145" hidden="1" customWidth="1"/>
    <col min="5396" max="5632" width="9" style="145" customWidth="1"/>
    <col min="5633" max="5633" width="7.5" style="145" customWidth="1"/>
    <col min="5634" max="5634" width="9.5" style="145" customWidth="1"/>
    <col min="5635" max="5637" width="5.625" style="145" customWidth="1"/>
    <col min="5638" max="5641" width="6" style="145" customWidth="1"/>
    <col min="5642" max="5642" width="9" style="145" customWidth="1"/>
    <col min="5643" max="5643" width="7.625" style="145" customWidth="1"/>
    <col min="5644" max="5650" width="8" style="145" customWidth="1"/>
    <col min="5651" max="5651" width="9" style="145" hidden="1" customWidth="1"/>
    <col min="5652" max="5888" width="9" style="145" customWidth="1"/>
    <col min="5889" max="5889" width="7.5" style="145" customWidth="1"/>
    <col min="5890" max="5890" width="9.5" style="145" customWidth="1"/>
    <col min="5891" max="5893" width="5.625" style="145" customWidth="1"/>
    <col min="5894" max="5897" width="6" style="145" customWidth="1"/>
    <col min="5898" max="5898" width="9" style="145" customWidth="1"/>
    <col min="5899" max="5899" width="7.625" style="145" customWidth="1"/>
    <col min="5900" max="5906" width="8" style="145" customWidth="1"/>
    <col min="5907" max="5907" width="9" style="145" hidden="1" customWidth="1"/>
    <col min="5908" max="6144" width="9" style="145" customWidth="1"/>
    <col min="6145" max="6145" width="7.5" style="145" customWidth="1"/>
    <col min="6146" max="6146" width="9.5" style="145" customWidth="1"/>
    <col min="6147" max="6149" width="5.625" style="145" customWidth="1"/>
    <col min="6150" max="6153" width="6" style="145" customWidth="1"/>
    <col min="6154" max="6154" width="9" style="145" customWidth="1"/>
    <col min="6155" max="6155" width="7.625" style="145" customWidth="1"/>
    <col min="6156" max="6162" width="8" style="145" customWidth="1"/>
    <col min="6163" max="6163" width="9" style="145" hidden="1" customWidth="1"/>
    <col min="6164" max="6400" width="9" style="145" customWidth="1"/>
    <col min="6401" max="6401" width="7.5" style="145" customWidth="1"/>
    <col min="6402" max="6402" width="9.5" style="145" customWidth="1"/>
    <col min="6403" max="6405" width="5.625" style="145" customWidth="1"/>
    <col min="6406" max="6409" width="6" style="145" customWidth="1"/>
    <col min="6410" max="6410" width="9" style="145" customWidth="1"/>
    <col min="6411" max="6411" width="7.625" style="145" customWidth="1"/>
    <col min="6412" max="6418" width="8" style="145" customWidth="1"/>
    <col min="6419" max="6419" width="9" style="145" hidden="1" customWidth="1"/>
    <col min="6420" max="6656" width="9" style="145" customWidth="1"/>
    <col min="6657" max="6657" width="7.5" style="145" customWidth="1"/>
    <col min="6658" max="6658" width="9.5" style="145" customWidth="1"/>
    <col min="6659" max="6661" width="5.625" style="145" customWidth="1"/>
    <col min="6662" max="6665" width="6" style="145" customWidth="1"/>
    <col min="6666" max="6666" width="9" style="145" customWidth="1"/>
    <col min="6667" max="6667" width="7.625" style="145" customWidth="1"/>
    <col min="6668" max="6674" width="8" style="145" customWidth="1"/>
    <col min="6675" max="6675" width="9" style="145" hidden="1" customWidth="1"/>
    <col min="6676" max="6912" width="9" style="145" customWidth="1"/>
    <col min="6913" max="6913" width="7.5" style="145" customWidth="1"/>
    <col min="6914" max="6914" width="9.5" style="145" customWidth="1"/>
    <col min="6915" max="6917" width="5.625" style="145" customWidth="1"/>
    <col min="6918" max="6921" width="6" style="145" customWidth="1"/>
    <col min="6922" max="6922" width="9" style="145" customWidth="1"/>
    <col min="6923" max="6923" width="7.625" style="145" customWidth="1"/>
    <col min="6924" max="6930" width="8" style="145" customWidth="1"/>
    <col min="6931" max="6931" width="9" style="145" hidden="1" customWidth="1"/>
    <col min="6932" max="7168" width="9" style="145" customWidth="1"/>
    <col min="7169" max="7169" width="7.5" style="145" customWidth="1"/>
    <col min="7170" max="7170" width="9.5" style="145" customWidth="1"/>
    <col min="7171" max="7173" width="5.625" style="145" customWidth="1"/>
    <col min="7174" max="7177" width="6" style="145" customWidth="1"/>
    <col min="7178" max="7178" width="9" style="145" customWidth="1"/>
    <col min="7179" max="7179" width="7.625" style="145" customWidth="1"/>
    <col min="7180" max="7186" width="8" style="145" customWidth="1"/>
    <col min="7187" max="7187" width="9" style="145" hidden="1" customWidth="1"/>
    <col min="7188" max="7424" width="9" style="145" customWidth="1"/>
    <col min="7425" max="7425" width="7.5" style="145" customWidth="1"/>
    <col min="7426" max="7426" width="9.5" style="145" customWidth="1"/>
    <col min="7427" max="7429" width="5.625" style="145" customWidth="1"/>
    <col min="7430" max="7433" width="6" style="145" customWidth="1"/>
    <col min="7434" max="7434" width="9" style="145" customWidth="1"/>
    <col min="7435" max="7435" width="7.625" style="145" customWidth="1"/>
    <col min="7436" max="7442" width="8" style="145" customWidth="1"/>
    <col min="7443" max="7443" width="9" style="145" hidden="1" customWidth="1"/>
    <col min="7444" max="7680" width="9" style="145" customWidth="1"/>
    <col min="7681" max="7681" width="7.5" style="145" customWidth="1"/>
    <col min="7682" max="7682" width="9.5" style="145" customWidth="1"/>
    <col min="7683" max="7685" width="5.625" style="145" customWidth="1"/>
    <col min="7686" max="7689" width="6" style="145" customWidth="1"/>
    <col min="7690" max="7690" width="9" style="145" customWidth="1"/>
    <col min="7691" max="7691" width="7.625" style="145" customWidth="1"/>
    <col min="7692" max="7698" width="8" style="145" customWidth="1"/>
    <col min="7699" max="7699" width="9" style="145" hidden="1" customWidth="1"/>
    <col min="7700" max="7936" width="9" style="145" customWidth="1"/>
    <col min="7937" max="7937" width="7.5" style="145" customWidth="1"/>
    <col min="7938" max="7938" width="9.5" style="145" customWidth="1"/>
    <col min="7939" max="7941" width="5.625" style="145" customWidth="1"/>
    <col min="7942" max="7945" width="6" style="145" customWidth="1"/>
    <col min="7946" max="7946" width="9" style="145" customWidth="1"/>
    <col min="7947" max="7947" width="7.625" style="145" customWidth="1"/>
    <col min="7948" max="7954" width="8" style="145" customWidth="1"/>
    <col min="7955" max="7955" width="9" style="145" hidden="1" customWidth="1"/>
    <col min="7956" max="8192" width="9" style="145" customWidth="1"/>
    <col min="8193" max="8193" width="7.5" style="145" customWidth="1"/>
    <col min="8194" max="8194" width="9.5" style="145" customWidth="1"/>
    <col min="8195" max="8197" width="5.625" style="145" customWidth="1"/>
    <col min="8198" max="8201" width="6" style="145" customWidth="1"/>
    <col min="8202" max="8202" width="9" style="145" customWidth="1"/>
    <col min="8203" max="8203" width="7.625" style="145" customWidth="1"/>
    <col min="8204" max="8210" width="8" style="145" customWidth="1"/>
    <col min="8211" max="8211" width="9" style="145" hidden="1" customWidth="1"/>
    <col min="8212" max="8448" width="9" style="145" customWidth="1"/>
    <col min="8449" max="8449" width="7.5" style="145" customWidth="1"/>
    <col min="8450" max="8450" width="9.5" style="145" customWidth="1"/>
    <col min="8451" max="8453" width="5.625" style="145" customWidth="1"/>
    <col min="8454" max="8457" width="6" style="145" customWidth="1"/>
    <col min="8458" max="8458" width="9" style="145" customWidth="1"/>
    <col min="8459" max="8459" width="7.625" style="145" customWidth="1"/>
    <col min="8460" max="8466" width="8" style="145" customWidth="1"/>
    <col min="8467" max="8467" width="9" style="145" hidden="1" customWidth="1"/>
    <col min="8468" max="8704" width="9" style="145" customWidth="1"/>
    <col min="8705" max="8705" width="7.5" style="145" customWidth="1"/>
    <col min="8706" max="8706" width="9.5" style="145" customWidth="1"/>
    <col min="8707" max="8709" width="5.625" style="145" customWidth="1"/>
    <col min="8710" max="8713" width="6" style="145" customWidth="1"/>
    <col min="8714" max="8714" width="9" style="145" customWidth="1"/>
    <col min="8715" max="8715" width="7.625" style="145" customWidth="1"/>
    <col min="8716" max="8722" width="8" style="145" customWidth="1"/>
    <col min="8723" max="8723" width="9" style="145" hidden="1" customWidth="1"/>
    <col min="8724" max="8960" width="9" style="145" customWidth="1"/>
    <col min="8961" max="8961" width="7.5" style="145" customWidth="1"/>
    <col min="8962" max="8962" width="9.5" style="145" customWidth="1"/>
    <col min="8963" max="8965" width="5.625" style="145" customWidth="1"/>
    <col min="8966" max="8969" width="6" style="145" customWidth="1"/>
    <col min="8970" max="8970" width="9" style="145" customWidth="1"/>
    <col min="8971" max="8971" width="7.625" style="145" customWidth="1"/>
    <col min="8972" max="8978" width="8" style="145" customWidth="1"/>
    <col min="8979" max="8979" width="9" style="145" hidden="1" customWidth="1"/>
    <col min="8980" max="9216" width="9" style="145" customWidth="1"/>
    <col min="9217" max="9217" width="7.5" style="145" customWidth="1"/>
    <col min="9218" max="9218" width="9.5" style="145" customWidth="1"/>
    <col min="9219" max="9221" width="5.625" style="145" customWidth="1"/>
    <col min="9222" max="9225" width="6" style="145" customWidth="1"/>
    <col min="9226" max="9226" width="9" style="145" customWidth="1"/>
    <col min="9227" max="9227" width="7.625" style="145" customWidth="1"/>
    <col min="9228" max="9234" width="8" style="145" customWidth="1"/>
    <col min="9235" max="9235" width="9" style="145" hidden="1" customWidth="1"/>
    <col min="9236" max="9472" width="9" style="145" customWidth="1"/>
    <col min="9473" max="9473" width="7.5" style="145" customWidth="1"/>
    <col min="9474" max="9474" width="9.5" style="145" customWidth="1"/>
    <col min="9475" max="9477" width="5.625" style="145" customWidth="1"/>
    <col min="9478" max="9481" width="6" style="145" customWidth="1"/>
    <col min="9482" max="9482" width="9" style="145" customWidth="1"/>
    <col min="9483" max="9483" width="7.625" style="145" customWidth="1"/>
    <col min="9484" max="9490" width="8" style="145" customWidth="1"/>
    <col min="9491" max="9491" width="9" style="145" hidden="1" customWidth="1"/>
    <col min="9492" max="9728" width="9" style="145" customWidth="1"/>
    <col min="9729" max="9729" width="7.5" style="145" customWidth="1"/>
    <col min="9730" max="9730" width="9.5" style="145" customWidth="1"/>
    <col min="9731" max="9733" width="5.625" style="145" customWidth="1"/>
    <col min="9734" max="9737" width="6" style="145" customWidth="1"/>
    <col min="9738" max="9738" width="9" style="145" customWidth="1"/>
    <col min="9739" max="9739" width="7.625" style="145" customWidth="1"/>
    <col min="9740" max="9746" width="8" style="145" customWidth="1"/>
    <col min="9747" max="9747" width="9" style="145" hidden="1" customWidth="1"/>
    <col min="9748" max="9984" width="9" style="145" customWidth="1"/>
    <col min="9985" max="9985" width="7.5" style="145" customWidth="1"/>
    <col min="9986" max="9986" width="9.5" style="145" customWidth="1"/>
    <col min="9987" max="9989" width="5.625" style="145" customWidth="1"/>
    <col min="9990" max="9993" width="6" style="145" customWidth="1"/>
    <col min="9994" max="9994" width="9" style="145" customWidth="1"/>
    <col min="9995" max="9995" width="7.625" style="145" customWidth="1"/>
    <col min="9996" max="10002" width="8" style="145" customWidth="1"/>
    <col min="10003" max="10003" width="9" style="145" hidden="1" customWidth="1"/>
    <col min="10004" max="10240" width="9" style="145" customWidth="1"/>
    <col min="10241" max="10241" width="7.5" style="145" customWidth="1"/>
    <col min="10242" max="10242" width="9.5" style="145" customWidth="1"/>
    <col min="10243" max="10245" width="5.625" style="145" customWidth="1"/>
    <col min="10246" max="10249" width="6" style="145" customWidth="1"/>
    <col min="10250" max="10250" width="9" style="145" customWidth="1"/>
    <col min="10251" max="10251" width="7.625" style="145" customWidth="1"/>
    <col min="10252" max="10258" width="8" style="145" customWidth="1"/>
    <col min="10259" max="10259" width="9" style="145" hidden="1" customWidth="1"/>
    <col min="10260" max="10496" width="9" style="145" customWidth="1"/>
    <col min="10497" max="10497" width="7.5" style="145" customWidth="1"/>
    <col min="10498" max="10498" width="9.5" style="145" customWidth="1"/>
    <col min="10499" max="10501" width="5.625" style="145" customWidth="1"/>
    <col min="10502" max="10505" width="6" style="145" customWidth="1"/>
    <col min="10506" max="10506" width="9" style="145" customWidth="1"/>
    <col min="10507" max="10507" width="7.625" style="145" customWidth="1"/>
    <col min="10508" max="10514" width="8" style="145" customWidth="1"/>
    <col min="10515" max="10515" width="9" style="145" hidden="1" customWidth="1"/>
    <col min="10516" max="10752" width="9" style="145" customWidth="1"/>
    <col min="10753" max="10753" width="7.5" style="145" customWidth="1"/>
    <col min="10754" max="10754" width="9.5" style="145" customWidth="1"/>
    <col min="10755" max="10757" width="5.625" style="145" customWidth="1"/>
    <col min="10758" max="10761" width="6" style="145" customWidth="1"/>
    <col min="10762" max="10762" width="9" style="145" customWidth="1"/>
    <col min="10763" max="10763" width="7.625" style="145" customWidth="1"/>
    <col min="10764" max="10770" width="8" style="145" customWidth="1"/>
    <col min="10771" max="10771" width="9" style="145" hidden="1" customWidth="1"/>
    <col min="10772" max="11008" width="9" style="145" customWidth="1"/>
    <col min="11009" max="11009" width="7.5" style="145" customWidth="1"/>
    <col min="11010" max="11010" width="9.5" style="145" customWidth="1"/>
    <col min="11011" max="11013" width="5.625" style="145" customWidth="1"/>
    <col min="11014" max="11017" width="6" style="145" customWidth="1"/>
    <col min="11018" max="11018" width="9" style="145" customWidth="1"/>
    <col min="11019" max="11019" width="7.625" style="145" customWidth="1"/>
    <col min="11020" max="11026" width="8" style="145" customWidth="1"/>
    <col min="11027" max="11027" width="9" style="145" hidden="1" customWidth="1"/>
    <col min="11028" max="11264" width="9" style="145" customWidth="1"/>
    <col min="11265" max="11265" width="7.5" style="145" customWidth="1"/>
    <col min="11266" max="11266" width="9.5" style="145" customWidth="1"/>
    <col min="11267" max="11269" width="5.625" style="145" customWidth="1"/>
    <col min="11270" max="11273" width="6" style="145" customWidth="1"/>
    <col min="11274" max="11274" width="9" style="145" customWidth="1"/>
    <col min="11275" max="11275" width="7.625" style="145" customWidth="1"/>
    <col min="11276" max="11282" width="8" style="145" customWidth="1"/>
    <col min="11283" max="11283" width="9" style="145" hidden="1" customWidth="1"/>
    <col min="11284" max="11520" width="9" style="145" customWidth="1"/>
    <col min="11521" max="11521" width="7.5" style="145" customWidth="1"/>
    <col min="11522" max="11522" width="9.5" style="145" customWidth="1"/>
    <col min="11523" max="11525" width="5.625" style="145" customWidth="1"/>
    <col min="11526" max="11529" width="6" style="145" customWidth="1"/>
    <col min="11530" max="11530" width="9" style="145" customWidth="1"/>
    <col min="11531" max="11531" width="7.625" style="145" customWidth="1"/>
    <col min="11532" max="11538" width="8" style="145" customWidth="1"/>
    <col min="11539" max="11539" width="9" style="145" hidden="1" customWidth="1"/>
    <col min="11540" max="11776" width="9" style="145" customWidth="1"/>
    <col min="11777" max="11777" width="7.5" style="145" customWidth="1"/>
    <col min="11778" max="11778" width="9.5" style="145" customWidth="1"/>
    <col min="11779" max="11781" width="5.625" style="145" customWidth="1"/>
    <col min="11782" max="11785" width="6" style="145" customWidth="1"/>
    <col min="11786" max="11786" width="9" style="145" customWidth="1"/>
    <col min="11787" max="11787" width="7.625" style="145" customWidth="1"/>
    <col min="11788" max="11794" width="8" style="145" customWidth="1"/>
    <col min="11795" max="11795" width="9" style="145" hidden="1" customWidth="1"/>
    <col min="11796" max="12032" width="9" style="145" customWidth="1"/>
    <col min="12033" max="12033" width="7.5" style="145" customWidth="1"/>
    <col min="12034" max="12034" width="9.5" style="145" customWidth="1"/>
    <col min="12035" max="12037" width="5.625" style="145" customWidth="1"/>
    <col min="12038" max="12041" width="6" style="145" customWidth="1"/>
    <col min="12042" max="12042" width="9" style="145" customWidth="1"/>
    <col min="12043" max="12043" width="7.625" style="145" customWidth="1"/>
    <col min="12044" max="12050" width="8" style="145" customWidth="1"/>
    <col min="12051" max="12051" width="9" style="145" hidden="1" customWidth="1"/>
    <col min="12052" max="12288" width="9" style="145" customWidth="1"/>
    <col min="12289" max="12289" width="7.5" style="145" customWidth="1"/>
    <col min="12290" max="12290" width="9.5" style="145" customWidth="1"/>
    <col min="12291" max="12293" width="5.625" style="145" customWidth="1"/>
    <col min="12294" max="12297" width="6" style="145" customWidth="1"/>
    <col min="12298" max="12298" width="9" style="145" customWidth="1"/>
    <col min="12299" max="12299" width="7.625" style="145" customWidth="1"/>
    <col min="12300" max="12306" width="8" style="145" customWidth="1"/>
    <col min="12307" max="12307" width="9" style="145" hidden="1" customWidth="1"/>
    <col min="12308" max="12544" width="9" style="145" customWidth="1"/>
    <col min="12545" max="12545" width="7.5" style="145" customWidth="1"/>
    <col min="12546" max="12546" width="9.5" style="145" customWidth="1"/>
    <col min="12547" max="12549" width="5.625" style="145" customWidth="1"/>
    <col min="12550" max="12553" width="6" style="145" customWidth="1"/>
    <col min="12554" max="12554" width="9" style="145" customWidth="1"/>
    <col min="12555" max="12555" width="7.625" style="145" customWidth="1"/>
    <col min="12556" max="12562" width="8" style="145" customWidth="1"/>
    <col min="12563" max="12563" width="9" style="145" hidden="1" customWidth="1"/>
    <col min="12564" max="12800" width="9" style="145" customWidth="1"/>
    <col min="12801" max="12801" width="7.5" style="145" customWidth="1"/>
    <col min="12802" max="12802" width="9.5" style="145" customWidth="1"/>
    <col min="12803" max="12805" width="5.625" style="145" customWidth="1"/>
    <col min="12806" max="12809" width="6" style="145" customWidth="1"/>
    <col min="12810" max="12810" width="9" style="145" customWidth="1"/>
    <col min="12811" max="12811" width="7.625" style="145" customWidth="1"/>
    <col min="12812" max="12818" width="8" style="145" customWidth="1"/>
    <col min="12819" max="12819" width="9" style="145" hidden="1" customWidth="1"/>
    <col min="12820" max="13056" width="9" style="145" customWidth="1"/>
    <col min="13057" max="13057" width="7.5" style="145" customWidth="1"/>
    <col min="13058" max="13058" width="9.5" style="145" customWidth="1"/>
    <col min="13059" max="13061" width="5.625" style="145" customWidth="1"/>
    <col min="13062" max="13065" width="6" style="145" customWidth="1"/>
    <col min="13066" max="13066" width="9" style="145" customWidth="1"/>
    <col min="13067" max="13067" width="7.625" style="145" customWidth="1"/>
    <col min="13068" max="13074" width="8" style="145" customWidth="1"/>
    <col min="13075" max="13075" width="9" style="145" hidden="1" customWidth="1"/>
    <col min="13076" max="13312" width="9" style="145" customWidth="1"/>
    <col min="13313" max="13313" width="7.5" style="145" customWidth="1"/>
    <col min="13314" max="13314" width="9.5" style="145" customWidth="1"/>
    <col min="13315" max="13317" width="5.625" style="145" customWidth="1"/>
    <col min="13318" max="13321" width="6" style="145" customWidth="1"/>
    <col min="13322" max="13322" width="9" style="145" customWidth="1"/>
    <col min="13323" max="13323" width="7.625" style="145" customWidth="1"/>
    <col min="13324" max="13330" width="8" style="145" customWidth="1"/>
    <col min="13331" max="13331" width="9" style="145" hidden="1" customWidth="1"/>
    <col min="13332" max="13568" width="9" style="145" customWidth="1"/>
    <col min="13569" max="13569" width="7.5" style="145" customWidth="1"/>
    <col min="13570" max="13570" width="9.5" style="145" customWidth="1"/>
    <col min="13571" max="13573" width="5.625" style="145" customWidth="1"/>
    <col min="13574" max="13577" width="6" style="145" customWidth="1"/>
    <col min="13578" max="13578" width="9" style="145" customWidth="1"/>
    <col min="13579" max="13579" width="7.625" style="145" customWidth="1"/>
    <col min="13580" max="13586" width="8" style="145" customWidth="1"/>
    <col min="13587" max="13587" width="9" style="145" hidden="1" customWidth="1"/>
    <col min="13588" max="13824" width="9" style="145" customWidth="1"/>
    <col min="13825" max="13825" width="7.5" style="145" customWidth="1"/>
    <col min="13826" max="13826" width="9.5" style="145" customWidth="1"/>
    <col min="13827" max="13829" width="5.625" style="145" customWidth="1"/>
    <col min="13830" max="13833" width="6" style="145" customWidth="1"/>
    <col min="13834" max="13834" width="9" style="145" customWidth="1"/>
    <col min="13835" max="13835" width="7.625" style="145" customWidth="1"/>
    <col min="13836" max="13842" width="8" style="145" customWidth="1"/>
    <col min="13843" max="13843" width="9" style="145" hidden="1" customWidth="1"/>
    <col min="13844" max="14080" width="9" style="145" customWidth="1"/>
    <col min="14081" max="14081" width="7.5" style="145" customWidth="1"/>
    <col min="14082" max="14082" width="9.5" style="145" customWidth="1"/>
    <col min="14083" max="14085" width="5.625" style="145" customWidth="1"/>
    <col min="14086" max="14089" width="6" style="145" customWidth="1"/>
    <col min="14090" max="14090" width="9" style="145" customWidth="1"/>
    <col min="14091" max="14091" width="7.625" style="145" customWidth="1"/>
    <col min="14092" max="14098" width="8" style="145" customWidth="1"/>
    <col min="14099" max="14099" width="9" style="145" hidden="1" customWidth="1"/>
    <col min="14100" max="14336" width="9" style="145" customWidth="1"/>
    <col min="14337" max="14337" width="7.5" style="145" customWidth="1"/>
    <col min="14338" max="14338" width="9.5" style="145" customWidth="1"/>
    <col min="14339" max="14341" width="5.625" style="145" customWidth="1"/>
    <col min="14342" max="14345" width="6" style="145" customWidth="1"/>
    <col min="14346" max="14346" width="9" style="145" customWidth="1"/>
    <col min="14347" max="14347" width="7.625" style="145" customWidth="1"/>
    <col min="14348" max="14354" width="8" style="145" customWidth="1"/>
    <col min="14355" max="14355" width="9" style="145" hidden="1" customWidth="1"/>
    <col min="14356" max="14592" width="9" style="145" customWidth="1"/>
    <col min="14593" max="14593" width="7.5" style="145" customWidth="1"/>
    <col min="14594" max="14594" width="9.5" style="145" customWidth="1"/>
    <col min="14595" max="14597" width="5.625" style="145" customWidth="1"/>
    <col min="14598" max="14601" width="6" style="145" customWidth="1"/>
    <col min="14602" max="14602" width="9" style="145" customWidth="1"/>
    <col min="14603" max="14603" width="7.625" style="145" customWidth="1"/>
    <col min="14604" max="14610" width="8" style="145" customWidth="1"/>
    <col min="14611" max="14611" width="9" style="145" hidden="1" customWidth="1"/>
    <col min="14612" max="14848" width="9" style="145" customWidth="1"/>
    <col min="14849" max="14849" width="7.5" style="145" customWidth="1"/>
    <col min="14850" max="14850" width="9.5" style="145" customWidth="1"/>
    <col min="14851" max="14853" width="5.625" style="145" customWidth="1"/>
    <col min="14854" max="14857" width="6" style="145" customWidth="1"/>
    <col min="14858" max="14858" width="9" style="145" customWidth="1"/>
    <col min="14859" max="14859" width="7.625" style="145" customWidth="1"/>
    <col min="14860" max="14866" width="8" style="145" customWidth="1"/>
    <col min="14867" max="14867" width="9" style="145" hidden="1" customWidth="1"/>
    <col min="14868" max="15104" width="9" style="145" customWidth="1"/>
    <col min="15105" max="15105" width="7.5" style="145" customWidth="1"/>
    <col min="15106" max="15106" width="9.5" style="145" customWidth="1"/>
    <col min="15107" max="15109" width="5.625" style="145" customWidth="1"/>
    <col min="15110" max="15113" width="6" style="145" customWidth="1"/>
    <col min="15114" max="15114" width="9" style="145" customWidth="1"/>
    <col min="15115" max="15115" width="7.625" style="145" customWidth="1"/>
    <col min="15116" max="15122" width="8" style="145" customWidth="1"/>
    <col min="15123" max="15123" width="9" style="145" hidden="1" customWidth="1"/>
    <col min="15124" max="15360" width="9" style="145" customWidth="1"/>
    <col min="15361" max="15361" width="7.5" style="145" customWidth="1"/>
    <col min="15362" max="15362" width="9.5" style="145" customWidth="1"/>
    <col min="15363" max="15365" width="5.625" style="145" customWidth="1"/>
    <col min="15366" max="15369" width="6" style="145" customWidth="1"/>
    <col min="15370" max="15370" width="9" style="145" customWidth="1"/>
    <col min="15371" max="15371" width="7.625" style="145" customWidth="1"/>
    <col min="15372" max="15378" width="8" style="145" customWidth="1"/>
    <col min="15379" max="15379" width="9" style="145" hidden="1" customWidth="1"/>
    <col min="15380" max="15616" width="9" style="145" customWidth="1"/>
    <col min="15617" max="15617" width="7.5" style="145" customWidth="1"/>
    <col min="15618" max="15618" width="9.5" style="145" customWidth="1"/>
    <col min="15619" max="15621" width="5.625" style="145" customWidth="1"/>
    <col min="15622" max="15625" width="6" style="145" customWidth="1"/>
    <col min="15626" max="15626" width="9" style="145" customWidth="1"/>
    <col min="15627" max="15627" width="7.625" style="145" customWidth="1"/>
    <col min="15628" max="15634" width="8" style="145" customWidth="1"/>
    <col min="15635" max="15635" width="9" style="145" hidden="1" customWidth="1"/>
    <col min="15636" max="15872" width="9" style="145" customWidth="1"/>
    <col min="15873" max="15873" width="7.5" style="145" customWidth="1"/>
    <col min="15874" max="15874" width="9.5" style="145" customWidth="1"/>
    <col min="15875" max="15877" width="5.625" style="145" customWidth="1"/>
    <col min="15878" max="15881" width="6" style="145" customWidth="1"/>
    <col min="15882" max="15882" width="9" style="145" customWidth="1"/>
    <col min="15883" max="15883" width="7.625" style="145" customWidth="1"/>
    <col min="15884" max="15890" width="8" style="145" customWidth="1"/>
    <col min="15891" max="15891" width="9" style="145" hidden="1" customWidth="1"/>
    <col min="15892" max="16128" width="9" style="145" customWidth="1"/>
    <col min="16129" max="16129" width="7.5" style="145" customWidth="1"/>
    <col min="16130" max="16130" width="9.5" style="145" customWidth="1"/>
    <col min="16131" max="16133" width="5.625" style="145" customWidth="1"/>
    <col min="16134" max="16137" width="6" style="145" customWidth="1"/>
    <col min="16138" max="16138" width="9" style="145" customWidth="1"/>
    <col min="16139" max="16139" width="7.625" style="145" customWidth="1"/>
    <col min="16140" max="16146" width="8" style="145" customWidth="1"/>
    <col min="16147" max="16147" width="9" style="145" hidden="1" customWidth="1"/>
    <col min="16148" max="16384" width="9" style="145" customWidth="1"/>
  </cols>
  <sheetData>
    <row r="1" ht="27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45"/>
      <c r="T1" s="145"/>
      <c r="U1" s="145"/>
      <c r="V1" s="145"/>
      <c r="W1" s="145"/>
      <c r="X1" s="145"/>
      <c r="Y1" s="145"/>
    </row>
    <row r="2" ht="12" customHeight="1" spans="1:25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45"/>
      <c r="T2" s="145"/>
      <c r="U2" s="145"/>
      <c r="V2" s="145"/>
      <c r="W2" s="145"/>
      <c r="X2" s="145"/>
      <c r="Y2" s="145"/>
    </row>
    <row r="3" ht="5.25" customHeight="1" spans="1:25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0.25" customHeight="1" spans="1:25" x14ac:dyDescent="0.25">
      <c r="A4" s="199" t="s">
        <v>55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45"/>
      <c r="T4" s="145"/>
      <c r="U4" s="145"/>
      <c r="V4" s="145"/>
      <c r="W4" s="145"/>
      <c r="X4" s="145"/>
      <c r="Y4" s="145"/>
    </row>
    <row r="5" ht="4.5" customHeight="1" spans="1:25" x14ac:dyDescent="0.25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17.45" customHeight="1" spans="1:25" x14ac:dyDescent="0.25">
      <c r="A6" s="200" t="s">
        <v>56</v>
      </c>
      <c r="B6" s="200" t="str">
        <f>'Final Work'!B4</f>
        <v>SAWASDEE RIGEL</v>
      </c>
      <c r="C6" s="145"/>
      <c r="D6" s="145"/>
      <c r="E6" s="145"/>
      <c r="F6" s="145"/>
      <c r="G6" s="145"/>
      <c r="H6" s="197" t="s">
        <v>57</v>
      </c>
      <c r="I6" s="197"/>
      <c r="J6" s="197" t="str">
        <f>'OS-IN'!H6</f>
        <v>2606N</v>
      </c>
      <c r="K6" s="197"/>
      <c r="L6" s="145"/>
      <c r="M6" s="145"/>
      <c r="N6" s="145"/>
      <c r="O6" s="200" t="s">
        <v>58</v>
      </c>
      <c r="P6" s="201">
        <f>'OS-IN'!L6</f>
        <v>46214</v>
      </c>
      <c r="Q6" s="197"/>
      <c r="R6" s="197"/>
      <c r="S6" s="145"/>
      <c r="T6" s="145"/>
      <c r="U6" s="145"/>
      <c r="V6" s="145"/>
      <c r="W6" s="145"/>
      <c r="X6" s="145"/>
      <c r="Y6" s="145"/>
    </row>
    <row r="7" ht="11.25" customHeight="1" spans="1:25" x14ac:dyDescent="0.25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17.45" customHeight="1" spans="1:25" x14ac:dyDescent="0.25">
      <c r="A8" s="200" t="s">
        <v>59</v>
      </c>
      <c r="B8" s="200" t="s">
        <v>25</v>
      </c>
      <c r="C8" s="200"/>
      <c r="D8" s="200"/>
      <c r="E8" s="200"/>
      <c r="F8" s="145"/>
      <c r="G8" s="145"/>
      <c r="H8" s="197" t="s">
        <v>60</v>
      </c>
      <c r="I8" s="197"/>
      <c r="J8" s="197" t="s">
        <v>61</v>
      </c>
      <c r="K8" s="197"/>
      <c r="L8" s="145"/>
      <c r="M8" s="145"/>
      <c r="N8" s="145"/>
      <c r="O8" s="200" t="s">
        <v>62</v>
      </c>
      <c r="P8" s="197">
        <f>'OS-IN'!L8</f>
        <v>6</v>
      </c>
      <c r="Q8" s="197"/>
      <c r="R8" s="197"/>
      <c r="S8" s="145"/>
      <c r="T8" s="145"/>
      <c r="U8" s="145"/>
      <c r="V8" s="145"/>
      <c r="W8" s="145"/>
      <c r="X8" s="145"/>
      <c r="Y8" s="145"/>
    </row>
    <row r="9" ht="6.75" customHeight="1" spans="1:25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2" customHeight="1" spans="1:25" x14ac:dyDescent="0.25">
      <c r="A10" s="203" t="s">
        <v>11</v>
      </c>
      <c r="B10" s="203" t="s">
        <v>41</v>
      </c>
      <c r="C10" s="277" t="s">
        <v>63</v>
      </c>
      <c r="D10" s="195"/>
      <c r="E10" s="278"/>
      <c r="F10" s="203" t="s">
        <v>64</v>
      </c>
      <c r="G10" s="203"/>
      <c r="H10" s="203"/>
      <c r="I10" s="203"/>
      <c r="J10" s="206" t="s">
        <v>65</v>
      </c>
      <c r="K10" s="203" t="s">
        <v>66</v>
      </c>
      <c r="L10" s="203" t="s">
        <v>67</v>
      </c>
      <c r="M10" s="203"/>
      <c r="N10" s="203"/>
      <c r="O10" s="203"/>
      <c r="P10" s="203"/>
      <c r="Q10" s="203"/>
      <c r="R10" s="203"/>
      <c r="S10" s="145"/>
      <c r="T10" s="145"/>
      <c r="U10" s="145"/>
      <c r="V10" s="145"/>
      <c r="W10" s="145"/>
      <c r="X10" s="145"/>
      <c r="Y10" s="145"/>
    </row>
    <row r="11" ht="12" customHeight="1" spans="1:25" x14ac:dyDescent="0.25">
      <c r="A11" s="207"/>
      <c r="B11" s="207"/>
      <c r="C11" s="279"/>
      <c r="D11" s="280"/>
      <c r="E11" s="281"/>
      <c r="F11" s="207"/>
      <c r="G11" s="207"/>
      <c r="H11" s="207"/>
      <c r="I11" s="207"/>
      <c r="J11" s="210" t="s">
        <v>50</v>
      </c>
      <c r="K11" s="207"/>
      <c r="L11" s="207"/>
      <c r="M11" s="207"/>
      <c r="N11" s="207"/>
      <c r="O11" s="207"/>
      <c r="P11" s="207"/>
      <c r="Q11" s="207"/>
      <c r="R11" s="207"/>
      <c r="S11" s="145"/>
      <c r="T11" s="145"/>
      <c r="U11" s="145"/>
      <c r="V11" s="145"/>
      <c r="W11" s="145"/>
      <c r="X11" s="145"/>
      <c r="Y11" s="145"/>
    </row>
    <row r="12" ht="18.95" customHeight="1" spans="1:25" s="145" customFormat="1" x14ac:dyDescent="0.25">
      <c r="A12" s="56" t="s">
        <v>68</v>
      </c>
      <c r="B12" s="56" t="s">
        <v>69</v>
      </c>
      <c r="C12" s="282" t="s">
        <v>70</v>
      </c>
      <c r="D12" s="283"/>
      <c r="E12" s="284"/>
      <c r="F12" s="282" t="s">
        <v>71</v>
      </c>
      <c r="G12" s="283"/>
      <c r="H12" s="283"/>
      <c r="I12" s="284"/>
      <c r="J12" s="285">
        <v>1</v>
      </c>
      <c r="K12" s="285" t="s">
        <v>52</v>
      </c>
      <c r="L12" s="286" t="s">
        <v>72</v>
      </c>
      <c r="M12" s="287"/>
      <c r="N12" s="287"/>
      <c r="O12" s="287"/>
      <c r="P12" s="287"/>
      <c r="Q12" s="287"/>
      <c r="R12" s="288"/>
      <c r="S12" s="145"/>
      <c r="T12" s="145"/>
      <c r="U12" s="145"/>
      <c r="V12" s="145"/>
      <c r="W12" s="145"/>
      <c r="X12" s="145"/>
      <c r="Y12" s="145"/>
    </row>
    <row r="13" ht="18.95" customHeight="1" spans="1:25" s="145" customFormat="1" x14ac:dyDescent="0.25">
      <c r="A13" s="289" t="s">
        <v>68</v>
      </c>
      <c r="B13" s="289" t="s">
        <v>73</v>
      </c>
      <c r="C13" s="161" t="s">
        <v>74</v>
      </c>
      <c r="D13" s="290"/>
      <c r="E13" s="166"/>
      <c r="F13" s="183" t="s">
        <v>71</v>
      </c>
      <c r="G13" s="57"/>
      <c r="H13" s="57"/>
      <c r="I13" s="59"/>
      <c r="J13" s="56">
        <v>1</v>
      </c>
      <c r="K13" s="56" t="s">
        <v>52</v>
      </c>
      <c r="L13" s="180" t="s">
        <v>75</v>
      </c>
      <c r="M13" s="181"/>
      <c r="N13" s="181"/>
      <c r="O13" s="181"/>
      <c r="P13" s="181"/>
      <c r="Q13" s="181"/>
      <c r="R13" s="182"/>
      <c r="S13" s="145"/>
      <c r="T13" s="145"/>
      <c r="U13" s="145"/>
      <c r="V13" s="145"/>
      <c r="W13" s="145"/>
      <c r="X13" s="145"/>
      <c r="Y13" s="145"/>
    </row>
    <row r="14" ht="18.95" customHeight="1" spans="1:25" s="145" customFormat="1" x14ac:dyDescent="0.25">
      <c r="A14" s="289"/>
      <c r="B14" s="289"/>
      <c r="C14" s="161"/>
      <c r="D14" s="290"/>
      <c r="E14" s="166"/>
      <c r="F14" s="161"/>
      <c r="G14" s="290"/>
      <c r="H14" s="290"/>
      <c r="I14" s="166"/>
      <c r="J14" s="289"/>
      <c r="K14" s="289"/>
      <c r="L14" s="176"/>
      <c r="M14" s="176"/>
      <c r="N14" s="176"/>
      <c r="O14" s="176"/>
      <c r="P14" s="176"/>
      <c r="Q14" s="176"/>
      <c r="R14" s="176"/>
      <c r="S14" s="145"/>
      <c r="T14" s="145"/>
      <c r="U14" s="145"/>
      <c r="V14" s="145"/>
      <c r="W14" s="145"/>
      <c r="X14" s="145"/>
      <c r="Y14" s="145"/>
    </row>
    <row r="15" ht="18.95" customHeight="1" spans="1:25" s="145" customFormat="1" x14ac:dyDescent="0.25">
      <c r="A15" s="289"/>
      <c r="B15" s="289"/>
      <c r="C15" s="161"/>
      <c r="D15" s="290"/>
      <c r="E15" s="166"/>
      <c r="F15" s="161"/>
      <c r="G15" s="290"/>
      <c r="H15" s="290"/>
      <c r="I15" s="166"/>
      <c r="J15" s="289"/>
      <c r="K15" s="289"/>
      <c r="L15" s="176"/>
      <c r="M15" s="176"/>
      <c r="N15" s="176"/>
      <c r="O15" s="176"/>
      <c r="P15" s="176"/>
      <c r="Q15" s="176"/>
      <c r="R15" s="176"/>
      <c r="S15" s="145"/>
      <c r="T15" s="145"/>
      <c r="U15" s="145"/>
      <c r="V15" s="145"/>
      <c r="W15" s="145"/>
      <c r="X15" s="145"/>
      <c r="Y15" s="145"/>
    </row>
    <row r="16" ht="18.95" customHeight="1" spans="1:25" s="145" customFormat="1" x14ac:dyDescent="0.25">
      <c r="A16" s="289"/>
      <c r="B16" s="289"/>
      <c r="C16" s="161"/>
      <c r="D16" s="290"/>
      <c r="E16" s="166"/>
      <c r="F16" s="161"/>
      <c r="G16" s="290"/>
      <c r="H16" s="290"/>
      <c r="I16" s="166"/>
      <c r="J16" s="289"/>
      <c r="K16" s="289"/>
      <c r="L16" s="176"/>
      <c r="M16" s="176"/>
      <c r="N16" s="176"/>
      <c r="O16" s="176"/>
      <c r="P16" s="176"/>
      <c r="Q16" s="176"/>
      <c r="R16" s="176"/>
      <c r="S16" s="145"/>
      <c r="T16" s="145"/>
      <c r="U16" s="145"/>
      <c r="V16" s="145"/>
      <c r="W16" s="145"/>
      <c r="X16" s="145"/>
      <c r="Y16" s="145"/>
    </row>
    <row r="17" ht="18.95" customHeight="1" spans="1:25" s="145" customFormat="1" x14ac:dyDescent="0.25">
      <c r="A17" s="289"/>
      <c r="B17" s="289"/>
      <c r="C17" s="161"/>
      <c r="D17" s="290"/>
      <c r="E17" s="166"/>
      <c r="F17" s="161"/>
      <c r="G17" s="290"/>
      <c r="H17" s="290"/>
      <c r="I17" s="166"/>
      <c r="J17" s="289"/>
      <c r="K17" s="289"/>
      <c r="L17" s="176"/>
      <c r="M17" s="176"/>
      <c r="N17" s="176"/>
      <c r="O17" s="176"/>
      <c r="P17" s="176"/>
      <c r="Q17" s="176"/>
      <c r="R17" s="176"/>
      <c r="S17" s="145"/>
      <c r="T17" s="145"/>
      <c r="U17" s="145"/>
      <c r="V17" s="145"/>
      <c r="W17" s="145"/>
      <c r="X17" s="145"/>
      <c r="Y17" s="145"/>
    </row>
    <row r="18" ht="18.95" customHeight="1" spans="1:25" s="145" customFormat="1" x14ac:dyDescent="0.25">
      <c r="A18" s="289"/>
      <c r="B18" s="289"/>
      <c r="C18" s="161"/>
      <c r="D18" s="290"/>
      <c r="E18" s="166"/>
      <c r="F18" s="161"/>
      <c r="G18" s="290"/>
      <c r="H18" s="290"/>
      <c r="I18" s="166"/>
      <c r="J18" s="289"/>
      <c r="K18" s="289"/>
      <c r="L18" s="176"/>
      <c r="M18" s="176"/>
      <c r="N18" s="176"/>
      <c r="O18" s="176"/>
      <c r="P18" s="176"/>
      <c r="Q18" s="176"/>
      <c r="R18" s="176"/>
      <c r="S18" s="145"/>
      <c r="T18" s="145"/>
      <c r="U18" s="145"/>
      <c r="V18" s="145"/>
      <c r="W18" s="145"/>
      <c r="X18" s="145"/>
      <c r="Y18" s="145"/>
    </row>
    <row r="19" ht="18.95" customHeight="1" spans="1:25" s="145" customFormat="1" x14ac:dyDescent="0.25">
      <c r="A19" s="289"/>
      <c r="B19" s="289"/>
      <c r="C19" s="161"/>
      <c r="D19" s="290"/>
      <c r="E19" s="166"/>
      <c r="F19" s="161"/>
      <c r="G19" s="290"/>
      <c r="H19" s="290"/>
      <c r="I19" s="166"/>
      <c r="J19" s="289"/>
      <c r="K19" s="289"/>
      <c r="L19" s="176"/>
      <c r="M19" s="176"/>
      <c r="N19" s="176"/>
      <c r="O19" s="176"/>
      <c r="P19" s="176"/>
      <c r="Q19" s="176"/>
      <c r="R19" s="176"/>
      <c r="S19" s="145"/>
      <c r="T19" s="145"/>
      <c r="U19" s="145"/>
      <c r="V19" s="145"/>
      <c r="W19" s="145"/>
      <c r="X19" s="145"/>
      <c r="Y19" s="145"/>
    </row>
    <row r="20" ht="18.95" customHeight="1" spans="1:25" s="145" customFormat="1" x14ac:dyDescent="0.25">
      <c r="A20" s="289"/>
      <c r="B20" s="289"/>
      <c r="C20" s="161"/>
      <c r="D20" s="290"/>
      <c r="E20" s="166"/>
      <c r="F20" s="161"/>
      <c r="G20" s="290"/>
      <c r="H20" s="290"/>
      <c r="I20" s="166"/>
      <c r="J20" s="289"/>
      <c r="K20" s="289"/>
      <c r="L20" s="176"/>
      <c r="M20" s="176"/>
      <c r="N20" s="176"/>
      <c r="O20" s="176"/>
      <c r="P20" s="176"/>
      <c r="Q20" s="176"/>
      <c r="R20" s="176"/>
      <c r="S20" s="145"/>
      <c r="T20" s="145"/>
      <c r="U20" s="145"/>
      <c r="V20" s="145"/>
      <c r="W20" s="145"/>
      <c r="X20" s="145"/>
      <c r="Y20" s="145"/>
    </row>
    <row r="21" ht="18.95" customHeight="1" spans="1:25" s="145" customFormat="1" x14ac:dyDescent="0.25">
      <c r="A21" s="289"/>
      <c r="B21" s="289"/>
      <c r="C21" s="161"/>
      <c r="D21" s="290"/>
      <c r="E21" s="166"/>
      <c r="F21" s="161"/>
      <c r="G21" s="290"/>
      <c r="H21" s="290"/>
      <c r="I21" s="166"/>
      <c r="J21" s="289"/>
      <c r="K21" s="289"/>
      <c r="L21" s="176"/>
      <c r="M21" s="176"/>
      <c r="N21" s="176"/>
      <c r="O21" s="176"/>
      <c r="P21" s="176"/>
      <c r="Q21" s="176"/>
      <c r="R21" s="176"/>
      <c r="S21" s="145"/>
      <c r="T21" s="145"/>
      <c r="U21" s="145"/>
      <c r="V21" s="145"/>
      <c r="W21" s="145"/>
      <c r="X21" s="145"/>
      <c r="Y21" s="145"/>
    </row>
    <row r="22" ht="18.95" customHeight="1" spans="1:25" s="145" customFormat="1" x14ac:dyDescent="0.25">
      <c r="A22" s="289"/>
      <c r="B22" s="289"/>
      <c r="C22" s="161"/>
      <c r="D22" s="290"/>
      <c r="E22" s="166"/>
      <c r="F22" s="161"/>
      <c r="G22" s="290"/>
      <c r="H22" s="290"/>
      <c r="I22" s="166"/>
      <c r="J22" s="289"/>
      <c r="K22" s="289"/>
      <c r="L22" s="176"/>
      <c r="M22" s="176"/>
      <c r="N22" s="176"/>
      <c r="O22" s="176"/>
      <c r="P22" s="176"/>
      <c r="Q22" s="176"/>
      <c r="R22" s="176"/>
      <c r="S22" s="145"/>
      <c r="T22" s="145"/>
      <c r="U22" s="145"/>
      <c r="V22" s="145"/>
      <c r="W22" s="145"/>
      <c r="X22" s="145"/>
      <c r="Y22" s="145"/>
    </row>
    <row r="23" ht="18.95" customHeight="1" spans="1:25" s="145" customFormat="1" x14ac:dyDescent="0.25">
      <c r="A23" s="289"/>
      <c r="B23" s="289"/>
      <c r="C23" s="161"/>
      <c r="D23" s="290"/>
      <c r="E23" s="166"/>
      <c r="F23" s="161"/>
      <c r="G23" s="290"/>
      <c r="H23" s="290"/>
      <c r="I23" s="166"/>
      <c r="J23" s="289"/>
      <c r="K23" s="289"/>
      <c r="L23" s="176"/>
      <c r="M23" s="176"/>
      <c r="N23" s="176"/>
      <c r="O23" s="176"/>
      <c r="P23" s="176"/>
      <c r="Q23" s="176"/>
      <c r="R23" s="176"/>
      <c r="S23" s="145"/>
      <c r="T23" s="145"/>
      <c r="U23" s="145"/>
      <c r="V23" s="145"/>
      <c r="W23" s="145"/>
      <c r="X23" s="145"/>
      <c r="Y23" s="145"/>
    </row>
    <row r="24" ht="18.95" customHeight="1" spans="1:25" s="145" customFormat="1" x14ac:dyDescent="0.25">
      <c r="A24" s="289"/>
      <c r="B24" s="289"/>
      <c r="C24" s="161"/>
      <c r="D24" s="290"/>
      <c r="E24" s="166"/>
      <c r="F24" s="161"/>
      <c r="G24" s="290"/>
      <c r="H24" s="290"/>
      <c r="I24" s="166"/>
      <c r="J24" s="289"/>
      <c r="K24" s="289"/>
      <c r="L24" s="176"/>
      <c r="M24" s="176"/>
      <c r="N24" s="176"/>
      <c r="O24" s="176"/>
      <c r="P24" s="176"/>
      <c r="Q24" s="176"/>
      <c r="R24" s="176"/>
      <c r="S24" s="145"/>
      <c r="T24" s="145"/>
      <c r="U24" s="145"/>
      <c r="V24" s="145"/>
      <c r="W24" s="145"/>
      <c r="X24" s="145"/>
      <c r="Y24" s="145"/>
    </row>
    <row r="25" ht="18.95" customHeight="1" spans="1:25" s="145" customFormat="1" x14ac:dyDescent="0.25">
      <c r="A25" s="289"/>
      <c r="B25" s="289"/>
      <c r="C25" s="161"/>
      <c r="D25" s="290"/>
      <c r="E25" s="166"/>
      <c r="F25" s="161"/>
      <c r="G25" s="290"/>
      <c r="H25" s="290"/>
      <c r="I25" s="166"/>
      <c r="J25" s="289"/>
      <c r="K25" s="289"/>
      <c r="L25" s="176"/>
      <c r="M25" s="176"/>
      <c r="N25" s="176"/>
      <c r="O25" s="176"/>
      <c r="P25" s="176"/>
      <c r="Q25" s="176"/>
      <c r="R25" s="176"/>
      <c r="S25" s="145"/>
      <c r="T25" s="145"/>
      <c r="U25" s="145"/>
      <c r="V25" s="145"/>
      <c r="W25" s="145"/>
      <c r="X25" s="145"/>
      <c r="Y25" s="145"/>
    </row>
    <row r="26" ht="18.95" customHeight="1" spans="1:25" s="145" customFormat="1" x14ac:dyDescent="0.25">
      <c r="A26" s="289"/>
      <c r="B26" s="289"/>
      <c r="C26" s="161"/>
      <c r="D26" s="290"/>
      <c r="E26" s="166"/>
      <c r="F26" s="161"/>
      <c r="G26" s="290"/>
      <c r="H26" s="290"/>
      <c r="I26" s="166"/>
      <c r="J26" s="289"/>
      <c r="K26" s="289"/>
      <c r="L26" s="176"/>
      <c r="M26" s="176"/>
      <c r="N26" s="176"/>
      <c r="O26" s="176"/>
      <c r="P26" s="176"/>
      <c r="Q26" s="176"/>
      <c r="R26" s="176"/>
      <c r="S26" s="145"/>
      <c r="T26" s="145"/>
      <c r="U26" s="145"/>
      <c r="V26" s="145"/>
      <c r="W26" s="145"/>
      <c r="X26" s="145"/>
      <c r="Y26" s="145"/>
    </row>
    <row r="27" ht="18.95" customHeight="1" spans="1:25" s="145" customFormat="1" x14ac:dyDescent="0.25">
      <c r="A27" s="289"/>
      <c r="B27" s="289"/>
      <c r="C27" s="161"/>
      <c r="D27" s="290"/>
      <c r="E27" s="166"/>
      <c r="F27" s="161"/>
      <c r="G27" s="290"/>
      <c r="H27" s="290"/>
      <c r="I27" s="166"/>
      <c r="J27" s="289"/>
      <c r="K27" s="289"/>
      <c r="L27" s="176"/>
      <c r="M27" s="176"/>
      <c r="N27" s="176"/>
      <c r="O27" s="176"/>
      <c r="P27" s="176"/>
      <c r="Q27" s="176"/>
      <c r="R27" s="176"/>
      <c r="S27" s="145"/>
      <c r="T27" s="145"/>
      <c r="U27" s="145"/>
      <c r="V27" s="145"/>
      <c r="W27" s="145"/>
      <c r="X27" s="145"/>
      <c r="Y27" s="145"/>
    </row>
    <row r="28" ht="18.95" customHeight="1" spans="1:25" s="145" customFormat="1" x14ac:dyDescent="0.25">
      <c r="A28" s="289"/>
      <c r="B28" s="289"/>
      <c r="C28" s="161"/>
      <c r="D28" s="290"/>
      <c r="E28" s="166"/>
      <c r="F28" s="161"/>
      <c r="G28" s="290"/>
      <c r="H28" s="290"/>
      <c r="I28" s="166"/>
      <c r="J28" s="289"/>
      <c r="K28" s="289"/>
      <c r="L28" s="176"/>
      <c r="M28" s="176"/>
      <c r="N28" s="176"/>
      <c r="O28" s="176"/>
      <c r="P28" s="176"/>
      <c r="Q28" s="176"/>
      <c r="R28" s="176"/>
      <c r="S28" s="145"/>
      <c r="T28" s="145"/>
      <c r="U28" s="145"/>
      <c r="V28" s="145"/>
      <c r="W28" s="145"/>
      <c r="X28" s="145"/>
      <c r="Y28" s="145"/>
    </row>
    <row r="29" spans="1:25" x14ac:dyDescent="0.25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spans="1:25" x14ac:dyDescent="0.25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spans="1:25" x14ac:dyDescent="0.25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5" customHeight="1" spans="1:25" s="145" customFormat="1" x14ac:dyDescent="0.25">
      <c r="A32" s="194"/>
      <c r="B32" s="194"/>
      <c r="C32" s="194"/>
      <c r="D32" s="194"/>
      <c r="E32" s="145"/>
      <c r="F32" s="145"/>
      <c r="G32" s="145"/>
      <c r="H32" s="145"/>
      <c r="I32" s="194"/>
      <c r="J32" s="194"/>
      <c r="K32" s="194"/>
      <c r="L32" s="145"/>
      <c r="M32" s="145"/>
      <c r="N32" s="145"/>
      <c r="O32" s="194"/>
      <c r="P32" s="194"/>
      <c r="Q32" s="194"/>
      <c r="R32" s="194"/>
      <c r="S32" s="145"/>
      <c r="T32" s="145"/>
      <c r="U32" s="145"/>
      <c r="V32" s="145"/>
      <c r="W32" s="145"/>
      <c r="X32" s="145"/>
      <c r="Y32" s="145"/>
    </row>
    <row r="33" spans="1:25" s="145" customFormat="1" x14ac:dyDescent="0.25">
      <c r="A33" s="195" t="s">
        <v>22</v>
      </c>
      <c r="B33" s="195"/>
      <c r="C33" s="195"/>
      <c r="D33" s="195"/>
      <c r="E33" s="145"/>
      <c r="F33" s="145"/>
      <c r="G33" s="145"/>
      <c r="H33" s="145"/>
      <c r="I33" s="195" t="s">
        <v>54</v>
      </c>
      <c r="J33" s="195"/>
      <c r="K33" s="195"/>
      <c r="L33" s="145"/>
      <c r="M33" s="145"/>
      <c r="N33" s="145"/>
      <c r="O33" s="195" t="s">
        <v>23</v>
      </c>
      <c r="P33" s="195"/>
      <c r="Q33" s="195"/>
      <c r="R33" s="195"/>
      <c r="S33" s="145"/>
      <c r="T33" s="145"/>
      <c r="U33" s="145"/>
      <c r="V33" s="145"/>
      <c r="W33" s="145"/>
      <c r="X33" s="145"/>
      <c r="Y33" s="145"/>
    </row>
    <row r="34" spans="1:25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3:D33"/>
    <mergeCell ref="I33:K33"/>
    <mergeCell ref="O33:R33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2026-07-11T11:04:27Z</cp:lastPrinted>
  <dcterms:created xsi:type="dcterms:W3CDTF">2016-08-02T06:12:57Z</dcterms:created>
  <dcterms:modified xsi:type="dcterms:W3CDTF">2026-07-11T11:08:06Z</dcterms:modified>
</cp:coreProperties>
</file>