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05"/>
  </bookViews>
  <sheets>
    <sheet sheetId="12" name="Final Work" state="visible" r:id="rId4"/>
    <sheet sheetId="2" name="Time Sheet" state="visible" r:id="rId5"/>
    <sheet sheetId="17" name="OS-IN" state="visible" r:id="rId6"/>
    <sheet sheetId="15" name="DM-IN" state="visible" r:id="rId7"/>
    <sheet sheetId="18" name="OS-OUT" state="visible" r:id="rId8"/>
    <sheet sheetId="11" name="DM-OUT" state="visible" r:id="rId9"/>
    <sheet sheetId="16" name="DAMAGE-EACH" state="hidden" r:id="rId10"/>
    <sheet sheetId="9" name="Act. Cntr-Seal No List" state="visible" r:id="rId11"/>
    <sheet sheetId="10" name="RF Condition Report" state="visible" r:id="rId12"/>
    <sheet sheetId="13" name="Performance" state="visible" r:id="rId13"/>
  </sheets>
  <definedNames>
    <definedName name="모선이름">'Time Sheet'!$B$6</definedName>
    <definedName name="선적종료일">'Time Sheet'!$H$6</definedName>
    <definedName name="선적항차">'RF Condition Report'!$E$55</definedName>
    <definedName name="양하종료일">'RF Condition Report'!$H$7</definedName>
    <definedName name="작업선석">'Time Sheet'!$D$8</definedName>
    <definedName name="작업항차">'Time Sheet'!$D$6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<sst xmlns="http://schemas.openxmlformats.org/spreadsheetml/2006/main" count="541" uniqueCount="210">
  <si>
    <t xml:space="preserve">GREEN  MARINE  CO.,  LTD.  </t>
  </si>
  <si>
    <t>FINAL  WORKING  REPORT (VOUCHER)</t>
  </si>
  <si>
    <t>M/V  :</t>
  </si>
  <si>
    <t>YOKOHAMA TRADER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</si>
  <si>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</si>
  <si>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</si>
  <si>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</si>
  <si>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</si>
  <si>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</si>
  <si>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</si>
  <si>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</si>
  <si>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</si>
  <si>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</si>
  <si>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</si>
  <si>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</si>
  <si>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</si>
  <si>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</si>
  <si>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</si>
  <si>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</si>
  <si>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</si>
  <si>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</si>
  <si>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</si>
  <si>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</si>
  <si>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</si>
  <si>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</si>
  <si>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</si>
  <si>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</si>
  <si>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</si>
  <si>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</si>
  <si>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</si>
  <si>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</si>
  <si>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</si>
  <si>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</si>
  <si>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</si>
  <si>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</si>
  <si>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</si>
  <si>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</si>
  <si>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</si>
  <si>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</si>
  <si>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</si>
  <si>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</si>
  <si>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</si>
  <si>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</si>
  <si>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</si>
  <si>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</si>
  <si>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</si>
  <si>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</si>
  <si>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</si>
  <si>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</si>
  <si>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</si>
  <si>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</si>
  <si>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</si>
  <si>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</si>
  <si>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</si>
  <si>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</si>
  <si>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</si>
  <si>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</si>
  <si>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</si>
  <si>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</si>
  <si>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</si>
  <si>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</si>
  <si>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</si>
  <si>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</si>
  <si>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</si>
  <si>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</si>
  <si>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</si>
  <si>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</si>
  <si>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</si>
  <si>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</si>
  <si>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</si>
  <si>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</si>
  <si>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</si>
  <si>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</si>
  <si>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</si>
  <si>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</si>
  <si>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</si>
  <si>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</si>
  <si>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z val="10"/>
        <rFont val="돋움"/>
      </rPr>
      <t>:</t>
    </r>
  </si>
  <si>
    <r>
      <t xml:space="preserve"> VOY. NO. </t>
    </r>
    <r>
      <rPr>
        <b/>
        <charset val="129"/>
        <family val="3"/>
        <sz val="10"/>
        <rFont val="돋움"/>
      </rPr>
      <t>:</t>
    </r>
  </si>
  <si>
    <r>
      <t xml:space="preserve">DATE </t>
    </r>
    <r>
      <rPr>
        <b/>
        <charset val="129"/>
        <family val="3"/>
        <sz val="10"/>
        <rFont val="돋움"/>
      </rPr>
      <t>:</t>
    </r>
  </si>
  <si>
    <r>
      <t xml:space="preserve">CONTAINER NO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</si>
  <si>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  SEAL NO.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</si>
  <si>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SIZE  </t>
    </r>
    <r>
      <rPr>
        <b/>
        <charset val="129"/>
        <family val="3"/>
        <sz val="10"/>
        <rFont val="돋움"/>
      </rPr>
      <t xml:space="preserve">: </t>
    </r>
    <r>
      <rPr>
        <charset val="129"/>
        <family val="3"/>
        <sz val="10"/>
        <rFont val="돋움"/>
      </rPr>
      <t xml:space="preserve"> </t>
    </r>
  </si>
  <si>
    <t>HC'</t>
  </si>
  <si>
    <r>
      <t xml:space="preserve">      OPERATOR </t>
    </r>
    <r>
      <rPr>
        <b/>
        <charset val="129"/>
        <family val="3"/>
        <sz val="10"/>
        <rFont val="돋움"/>
      </rPr>
      <t>:</t>
    </r>
  </si>
  <si>
    <t>PORT :  PYEONGTAEK, KOREA</t>
  </si>
  <si>
    <t>Description of Damage :</t>
  </si>
  <si>
    <t xml:space="preserve"> 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</si>
  <si>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</si>
  <si>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</si>
  <si>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</si>
  <si>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</si>
  <si>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</si>
  <si>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</si>
  <si>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</si>
  <si>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</si>
  <si>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</si>
  <si>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</si>
  <si>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</si>
  <si>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</si>
  <si>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</si>
  <si>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</si>
  <si>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</si>
  <si>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</si>
  <si>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</si>
  <si>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</si>
  <si>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</si>
  <si>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</si>
  <si>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</si>
  <si>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</si>
  <si>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</si>
  <si>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</si>
  <si>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</si>
  <si>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</si>
  <si>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</si>
  <si>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</si>
  <si>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</si>
  <si>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</si>
  <si>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</si>
  <si>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</si>
  <si>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</si>
  <si>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</si>
  <si>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</si>
  <si>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</si>
  <si>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</si>
  <si>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</si>
  <si>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</si>
  <si>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</si>
  <si>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</si>
  <si>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</si>
  <si>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</si>
  <si>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</si>
  <si>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LOAD'</t>
  </si>
  <si>
    <t>-NIL-</t>
  </si>
  <si>
    <t>REEFER  CONTAINER  CONDITION  REPORT</t>
  </si>
  <si>
    <t>Discharging  /  Loading</t>
  </si>
  <si>
    <t>( 1/1 )</t>
  </si>
  <si>
    <t>M / V : YOKOHAMA TRADER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</si>
  <si>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</si>
  <si>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</si>
  <si>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</si>
  <si>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</si>
  <si>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</si>
  <si>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</si>
  <si>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</si>
  <si>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</si>
  <si>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</si>
  <si>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</si>
  <si>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</si>
  <si>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FBIU5370460</t>
  </si>
  <si>
    <t>RH</t>
  </si>
  <si>
    <t>09:10 HR'S</t>
  </si>
  <si>
    <t>SKR</t>
  </si>
  <si>
    <t>FSCU5891089</t>
  </si>
  <si>
    <t>〃</t>
  </si>
  <si>
    <t>OTPU6564375</t>
  </si>
  <si>
    <t>DJS</t>
  </si>
  <si>
    <t>OTPU6564591</t>
  </si>
  <si>
    <t>OTPU6565854</t>
  </si>
  <si>
    <t>OTPU6566594</t>
  </si>
  <si>
    <t>SEKU9295694</t>
  </si>
  <si>
    <t>SEKU9302155</t>
  </si>
  <si>
    <t>SEKU9304800</t>
  </si>
  <si>
    <t>SEKU9305093</t>
  </si>
  <si>
    <t>SEKU9305982</t>
  </si>
  <si>
    <t>SEKU9306232</t>
  </si>
  <si>
    <t>SEKU9306248</t>
  </si>
  <si>
    <t>SEKU9308092</t>
  </si>
  <si>
    <t>SKRU9500654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</si>
  <si>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</si>
  <si>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</si>
  <si>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</si>
  <si>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</si>
  <si>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</si>
  <si>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</si>
  <si>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</si>
  <si>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</si>
  <si>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</si>
  <si>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</si>
  <si>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</si>
  <si>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</si>
  <si>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</si>
  <si>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</si>
  <si>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</si>
  <si>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3</t>
  </si>
  <si>
    <t>RH x 6</t>
  </si>
  <si>
    <t>S-TOTAL</t>
  </si>
  <si>
    <t>OUT BOUND</t>
  </si>
  <si>
    <t>RH x 3 , 40'DG x 2</t>
  </si>
  <si>
    <t>RH x 12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</si>
  <si>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</si>
  <si>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</si>
  <si>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</si>
  <si>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</si>
  <si>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</si>
  <si>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</si>
  <si>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</si>
  <si>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</si>
  <si>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</si>
  <si>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</si>
  <si>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</si>
  <si>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TEA TIME</t>
  </si>
  <si>
    <t>COMPLETED DISCH.</t>
  </si>
  <si>
    <t>COMMENCED LOAD.</t>
  </si>
  <si>
    <t>LOAD. OF CONT'R</t>
  </si>
  <si>
    <t>MEAL TIME</t>
  </si>
  <si>
    <t>COMPLETED LOAD. &amp; GANG K/OFF</t>
  </si>
  <si>
    <t>#2 (G/C)</t>
  </si>
  <si>
    <t>#3 (G/C)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</si>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</sst>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42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charset val="129"/>
      <family val="3"/>
      <sz val="10"/>
      <name val="돋움"/>
    </font>
    <font>
      <b/>
      <charset val="129"/>
      <family val="3"/>
      <scheme val="minor"/>
      <sz val="12"/>
      <name val="맑은 고딕"/>
    </font>
    <font>
      <charset val="129"/>
      <family val="1"/>
      <sz val="10"/>
      <name val="바탕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8"/>
      <name val="돋움"/>
    </font>
    <font>
      <u/>
      <charset val="129"/>
      <family val="3"/>
      <sz val="10"/>
      <name val="돋움"/>
    </font>
    <font>
      <charset val="129"/>
      <family val="3"/>
      <sz val="9"/>
      <name val="돋움"/>
    </font>
    <font>
      <charset val="129"/>
      <family val="3"/>
      <sz val="12"/>
      <name val="돋움"/>
    </font>
    <font>
      <charset val="129"/>
      <family val="3"/>
      <sz val="11"/>
      <name val="돋움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olor rgb="FF000000"/>
      <family val="2"/>
      <sz val="10"/>
      <name val="Arial"/>
    </font>
    <font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olor theme="1"/>
      <family val="2"/>
      <sz val="11"/>
      <name val="Arial"/>
    </font>
    <font>
      <family val="2"/>
      <sz val="11"/>
      <name val="Arial"/>
    </font>
    <font>
      <color rgb="FF000000"/>
      <family val="2"/>
      <sz val="11"/>
      <name val="Arial"/>
    </font>
    <font>
      <color indexed="8"/>
      <family val="2"/>
      <sz val="11"/>
      <name val="Arial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9"/>
      <name val="맑은 고딕"/>
    </font>
    <font>
      <u/>
      <charset val="129"/>
      <family val="3"/>
      <scheme val="minor"/>
      <sz val="11"/>
      <name val="맑은 고딕"/>
    </font>
    <font>
      <charset val="129"/>
      <family val="3"/>
      <scheme val="maj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3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 shrinkToFit="1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64" fontId="7" fillId="0" borderId="58" xfId="0" applyNumberFormat="1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wrapText="1" shrinkToFit="1"/>
    </xf>
    <xf numFmtId="164" fontId="7" fillId="0" borderId="68" xfId="0" applyNumberFormat="1" applyFont="1" applyBorder="1" applyAlignment="1">
      <alignment horizontal="center" vertical="center" shrinkToFit="1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 shrinkToFit="1"/>
    </xf>
    <xf numFmtId="0" fontId="7" fillId="0" borderId="74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165" fontId="7" fillId="0" borderId="73" xfId="0" applyNumberFormat="1" applyFont="1" applyBorder="1" applyAlignment="1">
      <alignment horizontal="center" vertical="center"/>
    </xf>
    <xf numFmtId="165" fontId="7" fillId="0" borderId="74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165" fontId="7" fillId="0" borderId="79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5" xfId="0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5" xfId="0" applyNumberFormat="1" applyFont="1" applyBorder="1" applyAlignment="1">
      <alignment horizontal="left" vertical="center" wrapText="1" shrinkToFit="1"/>
    </xf>
    <xf numFmtId="164" fontId="7" fillId="0" borderId="86" xfId="0" applyNumberFormat="1" applyFont="1" applyBorder="1" applyAlignment="1">
      <alignment horizontal="left" vertical="center" wrapText="1" shrinkToFit="1"/>
    </xf>
    <xf numFmtId="164" fontId="7" fillId="0" borderId="87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88" xfId="0" applyNumberFormat="1" applyFont="1" applyBorder="1" applyAlignment="1">
      <alignment horizontal="left" vertical="center" shrinkToFit="1"/>
    </xf>
    <xf numFmtId="164" fontId="7" fillId="0" borderId="89" xfId="0" applyNumberFormat="1" applyFont="1" applyBorder="1" applyAlignment="1">
      <alignment horizontal="left" vertical="center" shrinkToFit="1"/>
    </xf>
    <xf numFmtId="164" fontId="7" fillId="0" borderId="90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91" xfId="0" applyNumberFormat="1" applyFont="1" applyBorder="1" applyAlignment="1">
      <alignment horizontal="center" vertical="center" shrinkToFit="1"/>
    </xf>
    <xf numFmtId="164" fontId="7" fillId="0" borderId="90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91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164" fontId="7" fillId="0" borderId="49" xfId="0" applyNumberFormat="1" applyFont="1" applyBorder="1" applyAlignment="1">
      <alignment horizontal="center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48" xfId="0" applyNumberFormat="1" applyFont="1" applyBorder="1" applyAlignment="1">
      <alignment horizontal="left" vertical="center" shrinkToFit="1"/>
    </xf>
    <xf numFmtId="164" fontId="7" fillId="0" borderId="49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9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9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20" fontId="7" fillId="0" borderId="78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97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1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166" fontId="7" fillId="0" borderId="9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166" fontId="7" fillId="0" borderId="81" xfId="0" applyNumberFormat="1" applyFont="1" applyBorder="1" applyAlignment="1">
      <alignment horizontal="center" vertical="center"/>
    </xf>
    <xf numFmtId="166" fontId="7" fillId="0" borderId="5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1" fillId="0" borderId="100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9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 shrinkToFit="1"/>
    </xf>
    <xf numFmtId="0" fontId="5" fillId="0" borderId="101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6" xfId="0" applyFont="1" applyBorder="1" applyAlignment="1">
      <alignment horizontal="center" vertical="center"/>
    </xf>
    <xf numFmtId="164" fontId="5" fillId="0" borderId="96" xfId="0" applyNumberFormat="1" applyFont="1" applyBorder="1" applyAlignment="1">
      <alignment horizontal="center" vertical="center" wrapText="1" shrinkToFit="1"/>
    </xf>
    <xf numFmtId="0" fontId="7" fillId="0" borderId="74" xfId="0" applyFont="1" applyBorder="1" applyAlignment="1">
      <alignment vertical="center" shrinkToFit="1"/>
    </xf>
    <xf numFmtId="0" fontId="5" fillId="0" borderId="32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7" fillId="0" borderId="32" xfId="0" applyFont="1" applyBorder="1" applyAlignment="1">
      <alignment vertical="center" shrinkToFit="1"/>
    </xf>
    <xf numFmtId="0" fontId="7" fillId="0" borderId="96" xfId="0" applyFont="1" applyBorder="1" applyAlignment="1">
      <alignment vertical="center" shrinkToFit="1"/>
    </xf>
    <xf numFmtId="0" fontId="5" fillId="0" borderId="5" xfId="0" applyFont="1" applyBorder="1" applyAlignment="1">
      <alignment vertical="center"/>
    </xf>
    <xf numFmtId="0" fontId="5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102" xfId="0" applyNumberFormat="1" applyFont="1" applyBorder="1" applyAlignment="1">
      <alignment horizontal="center" vertical="center" wrapText="1" shrinkToFit="1"/>
    </xf>
    <xf numFmtId="164" fontId="12" fillId="0" borderId="103" xfId="0" applyNumberFormat="1" applyFont="1" applyBorder="1" applyAlignment="1">
      <alignment horizontal="center" vertical="center" wrapText="1" shrinkToFit="1"/>
    </xf>
    <xf numFmtId="164" fontId="12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5" fillId="0" borderId="96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 shrinkToFit="1"/>
    </xf>
    <xf numFmtId="164" fontId="12" fillId="0" borderId="3" xfId="0" applyNumberFormat="1" applyFont="1" applyBorder="1" applyAlignment="1">
      <alignment horizontal="center" vertical="center" wrapText="1" shrinkToFit="1"/>
    </xf>
    <xf numFmtId="164" fontId="12" fillId="0" borderId="96" xfId="0" applyNumberFormat="1" applyFont="1" applyBorder="1" applyAlignment="1">
      <alignment horizontal="center" vertical="center" wrapText="1" shrinkToFit="1"/>
    </xf>
    <xf numFmtId="0" fontId="10" fillId="0" borderId="96" xfId="0" applyFont="1" applyBorder="1" applyAlignment="1">
      <alignment horizontal="left" vertical="center" shrinkToFit="1" indent="1"/>
    </xf>
    <xf numFmtId="0" fontId="5" fillId="0" borderId="4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center" vertical="center" wrapText="1" shrinkToFit="1"/>
    </xf>
    <xf numFmtId="164" fontId="5" fillId="0" borderId="35" xfId="0" applyNumberFormat="1" applyFont="1" applyBorder="1" applyAlignment="1">
      <alignment horizontal="center" vertical="center" wrapText="1" shrinkToFit="1"/>
    </xf>
    <xf numFmtId="164" fontId="5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98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101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05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1" fillId="0" borderId="98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shrinkToFit="1"/>
    </xf>
    <xf numFmtId="0" fontId="5" fillId="0" borderId="76" xfId="0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1" fillId="0" borderId="75" xfId="0" applyFont="1" applyBorder="1" applyAlignment="1">
      <alignment horizontal="center" vertical="center"/>
    </xf>
    <xf numFmtId="164" fontId="7" fillId="0" borderId="74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9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96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105" xfId="0" applyFont="1" applyBorder="1" applyAlignment="1">
      <alignment horizontal="left" vertical="center" shrinkToFit="1"/>
    </xf>
    <xf numFmtId="0" fontId="7" fillId="0" borderId="93" xfId="0" applyFont="1" applyBorder="1" applyAlignment="1">
      <alignment horizontal="center" vertical="center" shrinkToFit="1"/>
    </xf>
    <xf numFmtId="0" fontId="7" fillId="0" borderId="9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5" xfId="0" applyFont="1" applyBorder="1" applyAlignment="1">
      <alignment horizontal="left" vertical="center" indent="1"/>
    </xf>
    <xf numFmtId="0" fontId="7" fillId="0" borderId="76" xfId="0" applyFont="1" applyBorder="1" applyAlignment="1">
      <alignment horizontal="left" vertical="center" indent="1"/>
    </xf>
    <xf numFmtId="0" fontId="7" fillId="0" borderId="78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6" fillId="0" borderId="98" xfId="0" applyFont="1" applyBorder="1"/>
    <xf numFmtId="0" fontId="16" fillId="0" borderId="93" xfId="0" applyFont="1" applyBorder="1"/>
    <xf numFmtId="0" fontId="16" fillId="0" borderId="101" xfId="0" applyFont="1" applyBorder="1"/>
    <xf numFmtId="0" fontId="16" fillId="0" borderId="104" xfId="0" applyFont="1" applyBorder="1"/>
    <xf numFmtId="0" fontId="16" fillId="0" borderId="105" xfId="0" applyFont="1" applyBorder="1"/>
    <xf numFmtId="0" fontId="16" fillId="0" borderId="58" xfId="0" applyFont="1" applyBorder="1"/>
    <xf numFmtId="0" fontId="16" fillId="0" borderId="33" xfId="0" applyFont="1" applyBorder="1"/>
    <xf numFmtId="0" fontId="16" fillId="0" borderId="35" xfId="0" applyFont="1" applyBorder="1"/>
    <xf numFmtId="0" fontId="14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107" xfId="0" applyFont="1" applyBorder="1" applyAlignment="1">
      <alignment vertical="center"/>
    </xf>
    <xf numFmtId="0" fontId="14" fillId="0" borderId="107" xfId="0" applyFont="1" applyBorder="1" applyAlignment="1">
      <alignment horizontal="left" vertical="center" indent="1"/>
    </xf>
    <xf numFmtId="0" fontId="14" fillId="0" borderId="107" xfId="0" applyFont="1" applyBorder="1" applyAlignment="1">
      <alignment horizontal="center" vertical="center"/>
    </xf>
    <xf numFmtId="0" fontId="14" fillId="0" borderId="107" xfId="0" applyFont="1" applyBorder="1" applyAlignment="1">
      <alignment horizontal="left" vertical="center"/>
    </xf>
    <xf numFmtId="0" fontId="14" fillId="0" borderId="0" xfId="0" applyFont="1"/>
    <xf numFmtId="0" fontId="20" fillId="0" borderId="0" xfId="0" applyFont="1" applyAlignment="1">
      <alignment vertical="top"/>
    </xf>
    <xf numFmtId="0" fontId="21" fillId="0" borderId="9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10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5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14" fillId="0" borderId="33" xfId="0" applyFont="1" applyBorder="1"/>
    <xf numFmtId="0" fontId="22" fillId="0" borderId="0" xfId="0" applyFont="1" applyAlignment="1">
      <alignment vertical="center"/>
    </xf>
    <xf numFmtId="0" fontId="22" fillId="0" borderId="93" xfId="0" applyFont="1" applyBorder="1" applyAlignment="1">
      <alignment horizontal="center"/>
    </xf>
    <xf numFmtId="0" fontId="23" fillId="0" borderId="93" xfId="0" applyFont="1" applyBorder="1" applyAlignment="1">
      <alignment horizontal="center"/>
    </xf>
    <xf numFmtId="0" fontId="23" fillId="0" borderId="0" xfId="0" applyFont="1"/>
    <xf numFmtId="164" fontId="1" fillId="0" borderId="7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24" fillId="0" borderId="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shrinkToFit="1"/>
    </xf>
    <xf numFmtId="49" fontId="7" fillId="0" borderId="96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25" fillId="0" borderId="8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shrinkToFit="1"/>
    </xf>
    <xf numFmtId="0" fontId="25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96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6" fillId="0" borderId="32" xfId="0" applyNumberFormat="1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49" fontId="26" fillId="0" borderId="96" xfId="0" applyNumberFormat="1" applyFont="1" applyBorder="1" applyAlignment="1">
      <alignment horizontal="center" vertical="center"/>
    </xf>
    <xf numFmtId="0" fontId="27" fillId="0" borderId="96" xfId="0" applyFont="1" applyBorder="1" applyAlignment="1">
      <alignment horizontal="center" vertical="center"/>
    </xf>
    <xf numFmtId="0" fontId="28" fillId="0" borderId="96" xfId="0" applyFont="1" applyBorder="1" applyAlignment="1">
      <alignment horizontal="center" vertical="center"/>
    </xf>
    <xf numFmtId="49" fontId="29" fillId="0" borderId="108" xfId="0" applyNumberFormat="1" applyFont="1" applyBorder="1" applyAlignment="1">
      <alignment horizontal="center" vertical="center" wrapText="1"/>
    </xf>
    <xf numFmtId="49" fontId="26" fillId="0" borderId="108" xfId="0" applyNumberFormat="1" applyFont="1" applyBorder="1" applyAlignment="1">
      <alignment horizontal="center" vertical="center"/>
    </xf>
    <xf numFmtId="0" fontId="27" fillId="0" borderId="108" xfId="0" applyFont="1" applyBorder="1" applyAlignment="1">
      <alignment horizontal="center" vertical="center"/>
    </xf>
    <xf numFmtId="0" fontId="28" fillId="0" borderId="108" xfId="0" applyFont="1" applyBorder="1" applyAlignment="1">
      <alignment horizontal="center" vertical="center"/>
    </xf>
    <xf numFmtId="49" fontId="29" fillId="0" borderId="32" xfId="0" applyNumberFormat="1" applyFont="1" applyBorder="1" applyAlignment="1">
      <alignment horizontal="center" vertical="center" wrapText="1"/>
    </xf>
    <xf numFmtId="49" fontId="29" fillId="0" borderId="96" xfId="0" applyNumberFormat="1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49" fontId="29" fillId="2" borderId="96" xfId="0" applyNumberFormat="1" applyFont="1" applyFill="1" applyBorder="1" applyAlignment="1">
      <alignment horizontal="center" vertical="center" wrapText="1"/>
    </xf>
    <xf numFmtId="49" fontId="27" fillId="0" borderId="96" xfId="0" applyNumberFormat="1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49" fontId="27" fillId="0" borderId="80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01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168" fontId="7" fillId="0" borderId="32" xfId="0" applyNumberFormat="1" applyFont="1" applyBorder="1" applyAlignment="1">
      <alignment horizontal="center" vertical="center"/>
    </xf>
    <xf numFmtId="169" fontId="7" fillId="0" borderId="32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wrapText="1"/>
    </xf>
    <xf numFmtId="168" fontId="7" fillId="0" borderId="96" xfId="0" applyNumberFormat="1" applyFont="1" applyBorder="1" applyAlignment="1">
      <alignment horizontal="center" vertical="center"/>
    </xf>
    <xf numFmtId="169" fontId="7" fillId="0" borderId="96" xfId="0" applyNumberFormat="1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 wrapText="1"/>
    </xf>
    <xf numFmtId="168" fontId="7" fillId="0" borderId="108" xfId="0" applyNumberFormat="1" applyFont="1" applyBorder="1" applyAlignment="1">
      <alignment horizontal="center" vertical="center"/>
    </xf>
    <xf numFmtId="168" fontId="31" fillId="0" borderId="108" xfId="0" applyNumberFormat="1" applyFont="1" applyBorder="1" applyAlignment="1">
      <alignment horizontal="center" vertical="center"/>
    </xf>
    <xf numFmtId="169" fontId="7" fillId="0" borderId="108" xfId="0" applyNumberFormat="1" applyFont="1" applyBorder="1" applyAlignment="1">
      <alignment horizontal="center" vertical="center"/>
    </xf>
    <xf numFmtId="168" fontId="32" fillId="0" borderId="32" xfId="0" applyNumberFormat="1" applyFont="1" applyBorder="1" applyAlignment="1">
      <alignment horizontal="center" vertical="center"/>
    </xf>
    <xf numFmtId="0" fontId="7" fillId="3" borderId="96" xfId="0" applyFont="1" applyFill="1" applyBorder="1" applyAlignment="1">
      <alignment horizontal="center" vertical="center" wrapText="1"/>
    </xf>
    <xf numFmtId="168" fontId="32" fillId="3" borderId="96" xfId="0" applyNumberFormat="1" applyFont="1" applyFill="1" applyBorder="1" applyAlignment="1">
      <alignment horizontal="center" vertical="center"/>
    </xf>
    <xf numFmtId="168" fontId="31" fillId="4" borderId="96" xfId="0" applyNumberFormat="1" applyFont="1" applyFill="1" applyBorder="1" applyAlignment="1">
      <alignment horizontal="center" vertical="center"/>
    </xf>
    <xf numFmtId="0" fontId="7" fillId="3" borderId="108" xfId="0" applyFont="1" applyFill="1" applyBorder="1" applyAlignment="1">
      <alignment horizontal="center" vertical="center" wrapText="1"/>
    </xf>
    <xf numFmtId="168" fontId="31" fillId="4" borderId="108" xfId="0" applyNumberFormat="1" applyFont="1" applyFill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4" fillId="3" borderId="32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/>
    </xf>
    <xf numFmtId="168" fontId="33" fillId="3" borderId="32" xfId="0" applyNumberFormat="1" applyFont="1" applyFill="1" applyBorder="1" applyAlignment="1">
      <alignment horizontal="center" vertical="center"/>
    </xf>
    <xf numFmtId="169" fontId="34" fillId="0" borderId="32" xfId="0" applyNumberFormat="1" applyFont="1" applyBorder="1" applyAlignment="1">
      <alignment horizontal="center" vertical="center"/>
    </xf>
    <xf numFmtId="0" fontId="33" fillId="0" borderId="96" xfId="0" applyFont="1" applyBorder="1" applyAlignment="1">
      <alignment horizontal="center" vertical="center"/>
    </xf>
    <xf numFmtId="0" fontId="34" fillId="3" borderId="96" xfId="0" applyFont="1" applyFill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/>
    </xf>
    <xf numFmtId="168" fontId="33" fillId="3" borderId="96" xfId="0" applyNumberFormat="1" applyFont="1" applyFill="1" applyBorder="1" applyAlignment="1">
      <alignment horizontal="center" vertical="center"/>
    </xf>
    <xf numFmtId="169" fontId="34" fillId="0" borderId="96" xfId="0" applyNumberFormat="1" applyFont="1" applyBorder="1" applyAlignment="1">
      <alignment horizontal="center" vertical="center"/>
    </xf>
    <xf numFmtId="0" fontId="33" fillId="3" borderId="96" xfId="0" applyFont="1" applyFill="1" applyBorder="1" applyAlignment="1">
      <alignment horizontal="center" vertical="center"/>
    </xf>
    <xf numFmtId="49" fontId="35" fillId="4" borderId="96" xfId="0" applyNumberFormat="1" applyFont="1" applyFill="1" applyBorder="1" applyAlignment="1">
      <alignment horizontal="center" vertical="center"/>
    </xf>
    <xf numFmtId="168" fontId="35" fillId="4" borderId="96" xfId="0" applyNumberFormat="1" applyFont="1" applyFill="1" applyBorder="1" applyAlignment="1">
      <alignment horizontal="center" vertical="center"/>
    </xf>
    <xf numFmtId="168" fontId="33" fillId="0" borderId="32" xfId="0" applyNumberFormat="1" applyFont="1" applyBorder="1" applyAlignment="1">
      <alignment horizontal="center" vertical="center"/>
    </xf>
    <xf numFmtId="0" fontId="34" fillId="0" borderId="108" xfId="0" applyFont="1" applyBorder="1" applyAlignment="1">
      <alignment horizontal="center" vertical="center"/>
    </xf>
    <xf numFmtId="0" fontId="34" fillId="3" borderId="108" xfId="0" applyFont="1" applyFill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168" fontId="33" fillId="3" borderId="108" xfId="0" applyNumberFormat="1" applyFont="1" applyFill="1" applyBorder="1" applyAlignment="1">
      <alignment horizontal="center" vertical="center"/>
    </xf>
    <xf numFmtId="169" fontId="34" fillId="0" borderId="108" xfId="0" applyNumberFormat="1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/>
    </xf>
    <xf numFmtId="168" fontId="35" fillId="4" borderId="32" xfId="0" applyNumberFormat="1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center" vertical="center"/>
    </xf>
    <xf numFmtId="49" fontId="35" fillId="4" borderId="32" xfId="0" applyNumberFormat="1" applyFont="1" applyFill="1" applyBorder="1" applyAlignment="1">
      <alignment horizontal="center" vertical="center"/>
    </xf>
    <xf numFmtId="49" fontId="35" fillId="4" borderId="108" xfId="0" applyNumberFormat="1" applyFont="1" applyFill="1" applyBorder="1" applyAlignment="1">
      <alignment horizontal="center" vertical="center"/>
    </xf>
    <xf numFmtId="168" fontId="35" fillId="4" borderId="108" xfId="0" applyNumberFormat="1" applyFont="1" applyFill="1" applyBorder="1" applyAlignment="1">
      <alignment horizontal="center" vertical="center"/>
    </xf>
    <xf numFmtId="169" fontId="34" fillId="0" borderId="36" xfId="0" applyNumberFormat="1" applyFont="1" applyBorder="1" applyAlignment="1">
      <alignment horizontal="center" vertical="center"/>
    </xf>
    <xf numFmtId="0" fontId="33" fillId="3" borderId="108" xfId="0" applyFont="1" applyFill="1" applyBorder="1" applyAlignment="1">
      <alignment horizontal="center" vertical="center"/>
    </xf>
    <xf numFmtId="169" fontId="34" fillId="0" borderId="11" xfId="0" applyNumberFormat="1" applyFont="1" applyBorder="1" applyAlignment="1">
      <alignment horizontal="center" vertical="center"/>
    </xf>
    <xf numFmtId="49" fontId="31" fillId="0" borderId="32" xfId="0" applyNumberFormat="1" applyFont="1" applyBorder="1" applyAlignment="1">
      <alignment horizontal="center" vertical="center" readingOrder="1"/>
    </xf>
    <xf numFmtId="0" fontId="25" fillId="0" borderId="32" xfId="0" applyFont="1" applyBorder="1" applyAlignment="1">
      <alignment horizontal="center" vertical="center" wrapText="1"/>
    </xf>
    <xf numFmtId="168" fontId="25" fillId="0" borderId="32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readingOrder="1"/>
    </xf>
    <xf numFmtId="49" fontId="31" fillId="0" borderId="96" xfId="0" applyNumberFormat="1" applyFont="1" applyBorder="1" applyAlignment="1">
      <alignment horizontal="center" vertical="center" readingOrder="1"/>
    </xf>
    <xf numFmtId="0" fontId="25" fillId="0" borderId="96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readingOrder="1"/>
    </xf>
    <xf numFmtId="0" fontId="7" fillId="0" borderId="96" xfId="0" applyFont="1" applyBorder="1" applyAlignment="1" applyProtection="1">
      <alignment horizontal="center" vertical="center" wrapText="1" readingOrder="1"/>
      <protection locked="0"/>
    </xf>
    <xf numFmtId="0" fontId="7" fillId="0" borderId="108" xfId="0" applyFont="1" applyBorder="1" applyAlignment="1" applyProtection="1">
      <alignment horizontal="center" vertical="center" wrapText="1" readingOrder="1"/>
      <protection locked="0"/>
    </xf>
    <xf numFmtId="0" fontId="25" fillId="0" borderId="108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readingOrder="1"/>
    </xf>
    <xf numFmtId="0" fontId="7" fillId="0" borderId="32" xfId="0" applyFont="1" applyBorder="1" applyAlignment="1" applyProtection="1">
      <alignment horizontal="center" vertical="center" wrapText="1" readingOrder="1"/>
      <protection locked="0"/>
    </xf>
    <xf numFmtId="168" fontId="31" fillId="4" borderId="32" xfId="0" applyNumberFormat="1" applyFont="1" applyFill="1" applyBorder="1" applyAlignment="1">
      <alignment horizontal="center" vertical="center"/>
    </xf>
    <xf numFmtId="168" fontId="32" fillId="3" borderId="32" xfId="0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49" fontId="31" fillId="0" borderId="108" xfId="0" applyNumberFormat="1" applyFont="1" applyBorder="1" applyAlignment="1">
      <alignment horizontal="center" vertical="center" readingOrder="1"/>
    </xf>
    <xf numFmtId="0" fontId="34" fillId="0" borderId="32" xfId="0" applyFont="1" applyBorder="1" applyAlignment="1" applyProtection="1">
      <alignment horizontal="center" vertical="center"/>
      <protection locked="0"/>
    </xf>
    <xf numFmtId="0" fontId="36" fillId="0" borderId="32" xfId="0" applyFont="1" applyBorder="1" applyAlignment="1">
      <alignment horizontal="center" vertical="center" wrapText="1"/>
    </xf>
    <xf numFmtId="0" fontId="34" fillId="0" borderId="96" xfId="0" applyFont="1" applyBorder="1" applyAlignment="1" applyProtection="1">
      <alignment horizontal="center" vertical="center"/>
      <protection locked="0"/>
    </xf>
    <xf numFmtId="0" fontId="36" fillId="0" borderId="96" xfId="0" applyFont="1" applyBorder="1" applyAlignment="1">
      <alignment horizontal="center" vertical="center" wrapText="1"/>
    </xf>
    <xf numFmtId="0" fontId="34" fillId="0" borderId="108" xfId="0" applyFont="1" applyBorder="1" applyAlignment="1" applyProtection="1">
      <alignment horizontal="center" vertical="center"/>
      <protection locked="0"/>
    </xf>
    <xf numFmtId="0" fontId="36" fillId="0" borderId="108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6" fillId="0" borderId="9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48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88" xfId="0" applyFont="1" applyBorder="1" applyAlignment="1">
      <alignment horizontal="right" vertical="center"/>
    </xf>
    <xf numFmtId="0" fontId="7" fillId="0" borderId="10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 wrapTex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74" xfId="0" applyNumberFormat="1" applyFont="1" applyBorder="1" applyAlignment="1">
      <alignment horizontal="center" vertical="center"/>
    </xf>
    <xf numFmtId="165" fontId="10" fillId="0" borderId="35" xfId="0" applyNumberFormat="1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165" fontId="10" fillId="0" borderId="7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70" fontId="38" fillId="0" borderId="114" xfId="0" applyNumberFormat="1" applyFont="1" applyBorder="1" applyAlignment="1">
      <alignment horizontal="left" vertical="center" shrinkToFit="1"/>
    </xf>
    <xf numFmtId="170" fontId="38" fillId="0" borderId="76" xfId="0" applyNumberFormat="1" applyFont="1" applyBorder="1" applyAlignment="1">
      <alignment horizontal="left" vertical="center" shrinkToFit="1"/>
    </xf>
    <xf numFmtId="170" fontId="38" fillId="0" borderId="77" xfId="0" applyNumberFormat="1" applyFont="1" applyBorder="1" applyAlignment="1">
      <alignment horizontal="left" vertical="center" shrinkToFit="1"/>
    </xf>
    <xf numFmtId="0" fontId="10" fillId="0" borderId="0" xfId="0" applyFont="1" applyAlignment="1">
      <alignment vertical="center"/>
    </xf>
    <xf numFmtId="0" fontId="7" fillId="0" borderId="9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0" fillId="0" borderId="96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115" xfId="0" applyNumberFormat="1" applyFont="1" applyBorder="1" applyAlignment="1">
      <alignment horizontal="center" vertical="center"/>
    </xf>
    <xf numFmtId="165" fontId="10" fillId="0" borderId="116" xfId="0" applyNumberFormat="1" applyFont="1" applyBorder="1" applyAlignment="1">
      <alignment horizontal="center" vertical="center"/>
    </xf>
    <xf numFmtId="0" fontId="10" fillId="0" borderId="115" xfId="0" applyFont="1" applyBorder="1" applyAlignment="1">
      <alignment vertical="center" shrinkToFit="1"/>
    </xf>
    <xf numFmtId="0" fontId="10" fillId="0" borderId="96" xfId="0" applyFont="1" applyBorder="1" applyAlignment="1">
      <alignment vertical="center" shrinkToFit="1"/>
    </xf>
    <xf numFmtId="0" fontId="10" fillId="0" borderId="116" xfId="0" applyFont="1" applyBorder="1" applyAlignment="1">
      <alignment vertical="center" shrinkToFit="1"/>
    </xf>
    <xf numFmtId="165" fontId="10" fillId="0" borderId="117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18" xfId="0" applyNumberFormat="1" applyFont="1" applyBorder="1" applyAlignment="1">
      <alignment horizontal="center" vertical="center"/>
    </xf>
    <xf numFmtId="170" fontId="10" fillId="0" borderId="117" xfId="0" applyNumberFormat="1" applyFont="1" applyBorder="1" applyAlignment="1">
      <alignment horizontal="center" vertical="center" wrapText="1" shrinkToFit="1"/>
    </xf>
    <xf numFmtId="170" fontId="10" fillId="0" borderId="2" xfId="0" applyNumberFormat="1" applyFont="1" applyBorder="1" applyAlignment="1">
      <alignment horizontal="center" vertical="center" wrapText="1" shrinkToFit="1"/>
    </xf>
    <xf numFmtId="170" fontId="10" fillId="0" borderId="118" xfId="0" applyNumberFormat="1" applyFont="1" applyBorder="1" applyAlignment="1">
      <alignment horizontal="center" vertical="center" wrapText="1" shrinkToFit="1"/>
    </xf>
    <xf numFmtId="165" fontId="10" fillId="0" borderId="1" xfId="0" applyNumberFormat="1" applyFont="1" applyBorder="1" applyAlignment="1">
      <alignment horizontal="center" vertical="center"/>
    </xf>
    <xf numFmtId="0" fontId="10" fillId="0" borderId="67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119" xfId="0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7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165" fontId="10" fillId="0" borderId="119" xfId="0" applyNumberFormat="1" applyFont="1" applyBorder="1" applyAlignment="1">
      <alignment horizontal="center" vertical="center"/>
    </xf>
    <xf numFmtId="170" fontId="10" fillId="0" borderId="17" xfId="0" applyNumberFormat="1" applyFont="1" applyBorder="1" applyAlignment="1">
      <alignment horizontal="left" vertical="center" shrinkToFit="1" indent="1"/>
    </xf>
    <xf numFmtId="170" fontId="10" fillId="0" borderId="18" xfId="0" applyNumberFormat="1" applyFont="1" applyBorder="1" applyAlignment="1">
      <alignment horizontal="left" vertical="center" shrinkToFit="1" indent="1"/>
    </xf>
    <xf numFmtId="170" fontId="10" fillId="0" borderId="110" xfId="0" applyNumberFormat="1" applyFont="1" applyBorder="1" applyAlignment="1">
      <alignment horizontal="left" vertical="center" shrinkToFit="1" indent="1"/>
    </xf>
    <xf numFmtId="0" fontId="7" fillId="0" borderId="92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165" fontId="39" fillId="0" borderId="46" xfId="0" applyNumberFormat="1" applyFont="1" applyBorder="1" applyAlignment="1">
      <alignment horizontal="center" vertical="center"/>
    </xf>
    <xf numFmtId="165" fontId="39" fillId="0" borderId="47" xfId="0" applyNumberFormat="1" applyFont="1" applyBorder="1" applyAlignment="1">
      <alignment horizontal="center" vertical="center"/>
    </xf>
    <xf numFmtId="165" fontId="39" fillId="0" borderId="120" xfId="0" applyNumberFormat="1" applyFont="1" applyBorder="1" applyAlignment="1">
      <alignment horizontal="center" vertical="center"/>
    </xf>
    <xf numFmtId="165" fontId="39" fillId="0" borderId="121" xfId="0" applyNumberFormat="1" applyFont="1" applyBorder="1" applyAlignment="1">
      <alignment horizontal="center" vertical="center"/>
    </xf>
    <xf numFmtId="165" fontId="39" fillId="0" borderId="122" xfId="0" applyNumberFormat="1" applyFont="1" applyBorder="1" applyAlignment="1">
      <alignment horizontal="center" vertical="center"/>
    </xf>
    <xf numFmtId="165" fontId="39" fillId="0" borderId="66" xfId="0" applyNumberFormat="1" applyFont="1" applyBorder="1" applyAlignment="1">
      <alignment horizontal="center" vertical="center"/>
    </xf>
    <xf numFmtId="165" fontId="39" fillId="0" borderId="123" xfId="0" applyNumberFormat="1" applyFont="1" applyBorder="1" applyAlignment="1">
      <alignment horizontal="center" vertical="center"/>
    </xf>
    <xf numFmtId="165" fontId="39" fillId="0" borderId="124" xfId="0" applyNumberFormat="1" applyFont="1" applyBorder="1" applyAlignment="1">
      <alignment horizontal="center" vertical="center"/>
    </xf>
    <xf numFmtId="165" fontId="39" fillId="0" borderId="125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 wrapText="1"/>
    </xf>
    <xf numFmtId="165" fontId="10" fillId="0" borderId="10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70" fontId="10" fillId="0" borderId="114" xfId="0" applyNumberFormat="1" applyFont="1" applyBorder="1" applyAlignment="1">
      <alignment horizontal="left" vertical="center" shrinkToFit="1"/>
    </xf>
    <xf numFmtId="170" fontId="10" fillId="0" borderId="76" xfId="0" applyNumberFormat="1" applyFont="1" applyBorder="1" applyAlignment="1">
      <alignment horizontal="left" vertical="center" shrinkToFit="1"/>
    </xf>
    <xf numFmtId="170" fontId="10" fillId="0" borderId="77" xfId="0" applyNumberFormat="1" applyFont="1" applyBorder="1" applyAlignment="1">
      <alignment horizontal="left" vertical="center" shrinkToFit="1"/>
    </xf>
    <xf numFmtId="0" fontId="7" fillId="0" borderId="10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left" vertical="center" shrinkToFit="1"/>
    </xf>
    <xf numFmtId="0" fontId="10" fillId="0" borderId="36" xfId="0" applyFont="1" applyBorder="1" applyAlignment="1">
      <alignment horizontal="left" vertical="center" shrinkToFit="1"/>
    </xf>
    <xf numFmtId="0" fontId="10" fillId="0" borderId="119" xfId="0" applyFont="1" applyBorder="1" applyAlignment="1">
      <alignment horizontal="left" vertical="center" shrinkToFit="1"/>
    </xf>
    <xf numFmtId="0" fontId="10" fillId="0" borderId="67" xfId="0" applyFont="1" applyBorder="1" applyAlignment="1">
      <alignment vertical="center" shrinkToFit="1"/>
    </xf>
    <xf numFmtId="0" fontId="10" fillId="0" borderId="36" xfId="0" applyFont="1" applyBorder="1" applyAlignment="1">
      <alignment vertical="center" shrinkToFit="1"/>
    </xf>
    <xf numFmtId="0" fontId="10" fillId="0" borderId="119" xfId="0" applyFont="1" applyBorder="1" applyAlignment="1">
      <alignment vertical="center" shrinkToFit="1"/>
    </xf>
    <xf numFmtId="0" fontId="38" fillId="0" borderId="67" xfId="0" applyFont="1" applyBorder="1" applyAlignment="1">
      <alignment horizontal="left" vertical="center" shrinkToFit="1" indent="1"/>
    </xf>
    <xf numFmtId="0" fontId="38" fillId="0" borderId="36" xfId="0" applyFont="1" applyBorder="1" applyAlignment="1">
      <alignment horizontal="left" vertical="center" shrinkToFit="1" indent="1"/>
    </xf>
    <xf numFmtId="0" fontId="38" fillId="0" borderId="119" xfId="0" applyFont="1" applyBorder="1" applyAlignment="1">
      <alignment horizontal="left" vertical="center" shrinkToFit="1" indent="1"/>
    </xf>
    <xf numFmtId="49" fontId="7" fillId="0" borderId="98" xfId="0" applyNumberFormat="1" applyFont="1" applyBorder="1" applyAlignment="1">
      <alignment horizontal="center" vertical="center"/>
    </xf>
    <xf numFmtId="49" fontId="38" fillId="0" borderId="67" xfId="0" applyNumberFormat="1" applyFont="1" applyBorder="1" applyAlignment="1">
      <alignment horizontal="left" vertical="center" shrinkToFit="1" indent="1"/>
    </xf>
    <xf numFmtId="49" fontId="38" fillId="0" borderId="36" xfId="0" applyNumberFormat="1" applyFont="1" applyBorder="1" applyAlignment="1">
      <alignment horizontal="left" vertical="center" shrinkToFit="1" indent="1"/>
    </xf>
    <xf numFmtId="49" fontId="38" fillId="0" borderId="119" xfId="0" applyNumberFormat="1" applyFont="1" applyBorder="1" applyAlignment="1">
      <alignment horizontal="left" vertical="center" shrinkToFit="1" indent="1"/>
    </xf>
    <xf numFmtId="0" fontId="7" fillId="0" borderId="50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38" fillId="0" borderId="121" xfId="0" applyFont="1" applyBorder="1" applyAlignment="1">
      <alignment horizontal="left" vertical="center" shrinkToFit="1" indent="1"/>
    </xf>
    <xf numFmtId="0" fontId="38" fillId="0" borderId="124" xfId="0" applyFont="1" applyBorder="1" applyAlignment="1">
      <alignment horizontal="left" vertical="center" shrinkToFit="1" indent="1"/>
    </xf>
    <xf numFmtId="0" fontId="38" fillId="0" borderId="125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0" xfId="0" applyNumberFormat="1" applyFont="1" applyBorder="1" applyAlignment="1">
      <alignment horizontal="center" vertical="center"/>
    </xf>
    <xf numFmtId="0" fontId="38" fillId="0" borderId="35" xfId="0" applyFont="1" applyBorder="1" applyAlignment="1">
      <alignment horizontal="left" vertical="center" shrinkToFit="1" indent="1"/>
    </xf>
    <xf numFmtId="0" fontId="38" fillId="0" borderId="32" xfId="0" applyFont="1" applyBorder="1" applyAlignment="1">
      <alignment horizontal="left" vertical="center" shrinkToFit="1" indent="1"/>
    </xf>
    <xf numFmtId="0" fontId="38" fillId="0" borderId="30" xfId="0" applyFont="1" applyBorder="1" applyAlignment="1">
      <alignment horizontal="left" vertical="center" shrinkToFit="1" indent="1"/>
    </xf>
    <xf numFmtId="165" fontId="10" fillId="0" borderId="110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left" vertical="center" shrinkToFit="1" indent="1"/>
    </xf>
    <xf numFmtId="0" fontId="38" fillId="0" borderId="18" xfId="0" applyFont="1" applyBorder="1" applyAlignment="1">
      <alignment horizontal="left" vertical="center" shrinkToFit="1" indent="1"/>
    </xf>
    <xf numFmtId="0" fontId="38" fillId="0" borderId="110" xfId="0" applyFont="1" applyBorder="1" applyAlignment="1">
      <alignment horizontal="left" vertical="center" shrinkToFit="1" indent="1"/>
    </xf>
    <xf numFmtId="0" fontId="7" fillId="0" borderId="45" xfId="0" applyFont="1" applyBorder="1" applyAlignment="1">
      <alignment horizontal="center" vertical="center"/>
    </xf>
    <xf numFmtId="165" fontId="39" fillId="0" borderId="50" xfId="0" applyNumberFormat="1" applyFont="1" applyBorder="1" applyAlignment="1">
      <alignment horizontal="center" vertical="center"/>
    </xf>
    <xf numFmtId="0" fontId="38" fillId="0" borderId="50" xfId="0" applyFont="1" applyBorder="1" applyAlignment="1">
      <alignment horizontal="left" vertical="center" shrinkToFit="1" indent="1"/>
    </xf>
    <xf numFmtId="0" fontId="38" fillId="0" borderId="47" xfId="0" applyFont="1" applyBorder="1" applyAlignment="1">
      <alignment horizontal="left" vertical="center" shrinkToFit="1" indent="1"/>
    </xf>
    <xf numFmtId="0" fontId="38" fillId="0" borderId="66" xfId="0" applyFont="1" applyBorder="1" applyAlignment="1">
      <alignment horizontal="left" vertical="center" shrinkToFit="1" indent="1"/>
    </xf>
    <xf numFmtId="0" fontId="40" fillId="0" borderId="0" xfId="0" applyFont="1" applyAlignment="1">
      <alignment vertical="center"/>
    </xf>
    <xf numFmtId="0" fontId="5" fillId="0" borderId="48" xfId="0" applyFont="1" applyBorder="1" applyAlignment="1">
      <alignment vertical="center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0" fontId="7" fillId="0" borderId="87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102" xfId="0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171" fontId="10" fillId="0" borderId="88" xfId="0" applyNumberFormat="1" applyFont="1" applyBorder="1" applyAlignment="1">
      <alignment horizontal="center" vertical="center"/>
    </xf>
    <xf numFmtId="171" fontId="10" fillId="0" borderId="103" xfId="0" applyNumberFormat="1" applyFont="1" applyBorder="1" applyAlignment="1">
      <alignment horizontal="center" vertical="center"/>
    </xf>
    <xf numFmtId="171" fontId="10" fillId="0" borderId="102" xfId="0" applyNumberFormat="1" applyFont="1" applyBorder="1" applyAlignment="1">
      <alignment horizontal="center" vertical="center"/>
    </xf>
    <xf numFmtId="171" fontId="10" fillId="0" borderId="89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20" fontId="10" fillId="0" borderId="88" xfId="0" applyNumberFormat="1" applyFont="1" applyBorder="1" applyAlignment="1">
      <alignment horizontal="center" vertical="center"/>
    </xf>
    <xf numFmtId="20" fontId="10" fillId="0" borderId="89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shrinkToFit="1" indent="1"/>
    </xf>
    <xf numFmtId="0" fontId="10" fillId="0" borderId="88" xfId="0" applyFont="1" applyBorder="1" applyAlignment="1">
      <alignment horizontal="left" vertical="center" shrinkToFit="1" indent="1"/>
    </xf>
    <xf numFmtId="0" fontId="10" fillId="0" borderId="89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8" xfId="0" applyFont="1" applyBorder="1" applyAlignment="1">
      <alignment horizontal="center" vertical="center"/>
    </xf>
    <xf numFmtId="171" fontId="10" fillId="0" borderId="117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118" xfId="0" applyNumberFormat="1" applyFont="1" applyBorder="1" applyAlignment="1">
      <alignment horizontal="center" vertical="center"/>
    </xf>
    <xf numFmtId="172" fontId="10" fillId="0" borderId="117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118" xfId="0" applyNumberFormat="1" applyFont="1" applyBorder="1" applyAlignment="1">
      <alignment horizontal="center" vertical="center"/>
    </xf>
    <xf numFmtId="0" fontId="10" fillId="0" borderId="117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18" xfId="0" applyFont="1" applyBorder="1" applyAlignment="1">
      <alignment horizontal="left" vertical="center" shrinkToFit="1" indent="1"/>
    </xf>
    <xf numFmtId="171" fontId="10" fillId="0" borderId="90" xfId="0" applyNumberFormat="1" applyFont="1" applyBorder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71" fontId="10" fillId="0" borderId="105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172" fontId="39" fillId="0" borderId="85" xfId="0" applyNumberFormat="1" applyFont="1" applyBorder="1" applyAlignment="1">
      <alignment horizontal="center" vertical="center"/>
    </xf>
    <xf numFmtId="172" fontId="39" fillId="0" borderId="86" xfId="0" applyNumberFormat="1" applyFont="1" applyBorder="1" applyAlignment="1">
      <alignment horizontal="center" vertical="center"/>
    </xf>
    <xf numFmtId="172" fontId="39" fillId="0" borderId="87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left" vertical="center" shrinkToFit="1"/>
    </xf>
    <xf numFmtId="0" fontId="10" fillId="0" borderId="86" xfId="0" applyFont="1" applyBorder="1" applyAlignment="1">
      <alignment horizontal="left" vertical="center" shrinkToFit="1"/>
    </xf>
    <xf numFmtId="0" fontId="10" fillId="0" borderId="87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39" fillId="0" borderId="109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171" fontId="10" fillId="0" borderId="129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101" xfId="0" applyNumberFormat="1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130" xfId="0" applyNumberFormat="1" applyFont="1" applyBorder="1" applyAlignment="1">
      <alignment horizontal="center" vertical="center"/>
    </xf>
    <xf numFmtId="172" fontId="10" fillId="0" borderId="129" xfId="0" applyNumberFormat="1" applyFont="1" applyBorder="1" applyAlignment="1">
      <alignment horizontal="center" vertical="center"/>
    </xf>
    <xf numFmtId="172" fontId="10" fillId="0" borderId="93" xfId="0" applyNumberFormat="1" applyFont="1" applyBorder="1" applyAlignment="1">
      <alignment horizontal="center" vertical="center"/>
    </xf>
    <xf numFmtId="172" fontId="10" fillId="0" borderId="130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171" fontId="10" fillId="0" borderId="131" xfId="0" applyNumberFormat="1" applyFont="1" applyBorder="1" applyAlignment="1">
      <alignment horizontal="center" vertical="center"/>
    </xf>
    <xf numFmtId="171" fontId="10" fillId="0" borderId="82" xfId="0" applyNumberFormat="1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81" xfId="0" applyNumberFormat="1" applyFont="1" applyBorder="1" applyAlignment="1">
      <alignment horizontal="center" vertical="center"/>
    </xf>
    <xf numFmtId="171" fontId="10" fillId="0" borderId="83" xfId="0" applyNumberFormat="1" applyFont="1" applyBorder="1" applyAlignment="1">
      <alignment horizontal="center" vertical="center"/>
    </xf>
    <xf numFmtId="172" fontId="10" fillId="0" borderId="131" xfId="0" applyNumberFormat="1" applyFont="1" applyBorder="1" applyAlignment="1">
      <alignment horizontal="center" vertical="center"/>
    </xf>
    <xf numFmtId="172" fontId="10" fillId="0" borderId="82" xfId="0" applyNumberFormat="1" applyFont="1" applyBorder="1" applyAlignment="1">
      <alignment horizontal="center" vertical="center"/>
    </xf>
    <xf numFmtId="172" fontId="10" fillId="0" borderId="83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left" vertical="center" shrinkToFit="1" indent="1"/>
    </xf>
    <xf numFmtId="0" fontId="10" fillId="0" borderId="82" xfId="0" applyFont="1" applyBorder="1" applyAlignment="1">
      <alignment horizontal="left" vertical="center" shrinkToFit="1" indent="1"/>
    </xf>
    <xf numFmtId="0" fontId="10" fillId="0" borderId="83" xfId="0" applyFont="1" applyBorder="1" applyAlignment="1">
      <alignment horizontal="left" vertical="center" shrinkToFit="1" indent="1"/>
    </xf>
    <xf numFmtId="0" fontId="10" fillId="0" borderId="85" xfId="0" applyFont="1" applyBorder="1" applyAlignment="1">
      <alignment horizontal="left" vertical="center" shrinkToFit="1" indent="1"/>
    </xf>
    <xf numFmtId="0" fontId="10" fillId="0" borderId="86" xfId="0" applyFont="1" applyBorder="1" applyAlignment="1">
      <alignment horizontal="left" vertical="center" shrinkToFit="1" indent="1"/>
    </xf>
    <xf numFmtId="0" fontId="10" fillId="0" borderId="87" xfId="0" applyFont="1" applyBorder="1" applyAlignment="1">
      <alignment horizontal="left" vertical="center" shrinkToFit="1" indent="1"/>
    </xf>
    <xf numFmtId="171" fontId="10" fillId="0" borderId="7" xfId="0" applyNumberFormat="1" applyFont="1" applyBorder="1" applyAlignment="1">
      <alignment horizontal="center" vertical="center"/>
    </xf>
    <xf numFmtId="171" fontId="10" fillId="0" borderId="8" xfId="0" applyNumberFormat="1" applyFont="1" applyBorder="1" applyAlignment="1">
      <alignment horizontal="center" vertical="center"/>
    </xf>
    <xf numFmtId="171" fontId="10" fillId="0" borderId="10" xfId="0" applyNumberFormat="1" applyFont="1" applyBorder="1" applyAlignment="1">
      <alignment horizontal="center" vertical="center"/>
    </xf>
    <xf numFmtId="0" fontId="41" fillId="0" borderId="117" xfId="0" applyFont="1" applyBorder="1" applyAlignment="1">
      <alignment horizontal="left" vertical="center" shrinkToFit="1" indent="1"/>
    </xf>
    <xf numFmtId="0" fontId="41" fillId="0" borderId="2" xfId="0" applyFont="1" applyBorder="1" applyAlignment="1">
      <alignment horizontal="left" vertical="center" shrinkToFit="1" indent="1"/>
    </xf>
    <xf numFmtId="0" fontId="41" fillId="0" borderId="118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209550</xdr:colOff>
      <xdr:row>10</xdr:row>
      <xdr:rowOff>169333</xdr:rowOff>
    </xdr:from>
    <xdr:ext cx="6390923" cy="258974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169333</xdr:rowOff>
    </xdr:from>
    <xdr:ext cx="6390923" cy="2589743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150283</xdr:rowOff>
    </xdr:from>
    <xdr:ext cx="6390923" cy="2589743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39" t="s">
        <v>25</v>
      </c>
      <c r="B2" s="139"/>
      <c r="C2" s="139"/>
      <c r="D2" s="139"/>
      <c r="E2" s="139"/>
      <c r="F2" s="139"/>
      <c r="G2" s="139"/>
      <c r="H2" s="139"/>
    </row>
    <row r="3" ht="24.75" customHeight="1" spans="3:6" x14ac:dyDescent="0.25">
      <c r="C3" s="140" t="s">
        <v>26</v>
      </c>
      <c r="D3" s="6"/>
      <c r="E3" s="6"/>
      <c r="F3" s="7"/>
    </row>
    <row r="4" ht="3" customHeight="1" x14ac:dyDescent="0.25"/>
    <row r="5" ht="4.5" customHeight="1" spans="1:8" x14ac:dyDescent="0.25">
      <c r="A5" s="141"/>
      <c r="B5" s="141"/>
      <c r="C5" s="141"/>
      <c r="D5" s="141"/>
      <c r="E5" s="141"/>
      <c r="F5" s="141"/>
      <c r="G5" s="141"/>
      <c r="H5" s="141"/>
    </row>
    <row r="6" ht="24" customHeight="1" spans="1:12" s="9" customFormat="1" x14ac:dyDescent="0.25">
      <c r="A6" s="12" t="s">
        <v>27</v>
      </c>
      <c r="B6" s="142"/>
      <c r="C6" s="143" t="s">
        <v>4</v>
      </c>
      <c r="D6" s="12"/>
      <c r="E6" s="12"/>
      <c r="F6" s="9"/>
      <c r="G6" s="144" t="s">
        <v>5</v>
      </c>
      <c r="H6" s="145">
        <f>'Final Work'!선적종료일</f>
        <v>46219</v>
      </c>
      <c r="I6" s="9"/>
      <c r="J6" s="9"/>
      <c r="K6" s="9"/>
      <c r="L6" s="9"/>
    </row>
    <row r="7" ht="11.25" customHeight="1" spans="1:2" s="9" customFormat="1" x14ac:dyDescent="0.25">
      <c r="A7" s="12"/>
      <c r="B7" s="9"/>
    </row>
    <row r="8" ht="24" customHeight="1" spans="1:12" s="9" customFormat="1" x14ac:dyDescent="0.25">
      <c r="A8" s="12" t="s">
        <v>28</v>
      </c>
      <c r="B8" s="146"/>
      <c r="C8" s="143" t="s">
        <v>29</v>
      </c>
      <c r="D8" s="12"/>
      <c r="E8" s="12"/>
      <c r="F8" s="143"/>
      <c r="G8" s="147" t="s">
        <v>30</v>
      </c>
      <c r="H8" s="18"/>
      <c r="I8" s="9"/>
      <c r="J8" s="9"/>
      <c r="K8" s="9"/>
      <c r="L8" s="9"/>
    </row>
    <row r="9" ht="11.25" customHeight="1" spans="2:2" s="9" customFormat="1" x14ac:dyDescent="0.25">
      <c r="B9" s="9"/>
    </row>
    <row r="10" ht="15" customHeight="1" spans="2:8" s="9" customFormat="1" x14ac:dyDescent="0.25">
      <c r="B10" s="9"/>
      <c r="H10" s="143" t="s">
        <v>31</v>
      </c>
    </row>
    <row r="11" ht="3.75" customHeight="1" spans="2:2" s="9" customFormat="1" x14ac:dyDescent="0.25">
      <c r="B11" s="9"/>
    </row>
    <row r="12" ht="24.75" customHeight="1" spans="1:8" s="9" customFormat="1" x14ac:dyDescent="0.25">
      <c r="A12" s="148" t="s">
        <v>32</v>
      </c>
      <c r="B12" s="149"/>
      <c r="C12" s="150" t="s">
        <v>33</v>
      </c>
      <c r="D12" s="150"/>
      <c r="E12" s="150"/>
      <c r="F12" s="150"/>
      <c r="G12" s="150"/>
      <c r="H12" s="149"/>
    </row>
    <row r="13" ht="18" customHeight="1" spans="1:9" s="9" customFormat="1" x14ac:dyDescent="0.25">
      <c r="A13" s="151"/>
      <c r="B13" s="152"/>
      <c r="C13" s="153"/>
      <c r="D13" s="153"/>
      <c r="E13" s="153"/>
      <c r="F13" s="153"/>
      <c r="G13" s="153"/>
      <c r="H13" s="153"/>
      <c r="I13" s="154"/>
    </row>
    <row r="14" ht="18" customHeight="1" spans="1:9" x14ac:dyDescent="0.25">
      <c r="A14" s="155"/>
      <c r="B14" s="156"/>
      <c r="C14" s="157"/>
      <c r="D14" s="157"/>
      <c r="E14" s="157"/>
      <c r="F14" s="157"/>
      <c r="G14" s="157"/>
      <c r="H14" s="157"/>
      <c r="I14" s="154"/>
    </row>
    <row r="15" ht="18" customHeight="1" spans="1:9" x14ac:dyDescent="0.25">
      <c r="A15" s="155"/>
      <c r="B15" s="54"/>
      <c r="C15" s="158"/>
      <c r="D15" s="159"/>
      <c r="E15" s="159"/>
      <c r="F15" s="159"/>
      <c r="G15" s="159"/>
      <c r="H15" s="160"/>
      <c r="I15" s="154"/>
    </row>
    <row r="16" ht="18" customHeight="1" spans="1:9" x14ac:dyDescent="0.25">
      <c r="A16" s="155"/>
      <c r="B16" s="54"/>
      <c r="C16" s="158"/>
      <c r="D16" s="159"/>
      <c r="E16" s="159"/>
      <c r="F16" s="159"/>
      <c r="G16" s="159"/>
      <c r="H16" s="160"/>
      <c r="I16" s="154"/>
    </row>
    <row r="17" ht="18" customHeight="1" spans="1:9" x14ac:dyDescent="0.25">
      <c r="A17" s="161"/>
      <c r="B17" s="162"/>
      <c r="C17" s="163"/>
      <c r="D17" s="164"/>
      <c r="E17" s="164"/>
      <c r="F17" s="164"/>
      <c r="G17" s="164"/>
      <c r="H17" s="165"/>
      <c r="I17" s="154"/>
    </row>
    <row r="18" ht="18" customHeight="1" spans="1:9" x14ac:dyDescent="0.25">
      <c r="A18" s="155"/>
      <c r="B18" s="54"/>
      <c r="C18" s="158"/>
      <c r="D18" s="159"/>
      <c r="E18" s="159"/>
      <c r="F18" s="159"/>
      <c r="G18" s="159"/>
      <c r="H18" s="160"/>
      <c r="I18" s="154"/>
    </row>
    <row r="19" ht="18" customHeight="1" spans="1:9" x14ac:dyDescent="0.25">
      <c r="A19" s="166"/>
      <c r="B19" s="54"/>
      <c r="C19" s="158"/>
      <c r="D19" s="159"/>
      <c r="E19" s="159"/>
      <c r="F19" s="159"/>
      <c r="G19" s="159"/>
      <c r="H19" s="160"/>
      <c r="I19" s="154"/>
    </row>
    <row r="20" ht="18" customHeight="1" spans="1:9" x14ac:dyDescent="0.25">
      <c r="A20" s="166"/>
      <c r="B20" s="167"/>
      <c r="C20" s="168"/>
      <c r="D20" s="169"/>
      <c r="E20" s="169"/>
      <c r="F20" s="169"/>
      <c r="G20" s="169"/>
      <c r="H20" s="170"/>
      <c r="I20" s="154"/>
    </row>
    <row r="21" ht="18" customHeight="1" spans="1:9" x14ac:dyDescent="0.25">
      <c r="A21" s="155"/>
      <c r="B21" s="167"/>
      <c r="C21" s="168"/>
      <c r="D21" s="169"/>
      <c r="E21" s="169"/>
      <c r="F21" s="169"/>
      <c r="G21" s="169"/>
      <c r="H21" s="170"/>
      <c r="I21" s="154"/>
    </row>
    <row r="22" ht="18" customHeight="1" spans="1:9" x14ac:dyDescent="0.25">
      <c r="A22" s="171"/>
      <c r="B22" s="162"/>
      <c r="C22" s="163"/>
      <c r="D22" s="164"/>
      <c r="E22" s="164"/>
      <c r="F22" s="164"/>
      <c r="G22" s="164"/>
      <c r="H22" s="165"/>
      <c r="I22" s="154"/>
    </row>
    <row r="23" ht="18" customHeight="1" spans="1:8" x14ac:dyDescent="0.25">
      <c r="A23" s="172"/>
      <c r="B23" s="27"/>
      <c r="C23" s="173"/>
      <c r="D23" s="174"/>
      <c r="E23" s="174"/>
      <c r="F23" s="174"/>
      <c r="G23" s="174"/>
      <c r="H23" s="175"/>
    </row>
    <row r="24" ht="18" customHeight="1" spans="1:13" x14ac:dyDescent="0.25">
      <c r="A24" s="176"/>
      <c r="B24" s="54"/>
      <c r="C24" s="168"/>
      <c r="D24" s="169"/>
      <c r="E24" s="169"/>
      <c r="F24" s="169"/>
      <c r="G24" s="169"/>
      <c r="H24" s="170"/>
      <c r="I24" s="154"/>
      <c r="M24" s="8"/>
    </row>
    <row r="25" ht="18" customHeight="1" spans="1:9" x14ac:dyDescent="0.25">
      <c r="A25" s="176"/>
      <c r="B25" s="54"/>
      <c r="C25" s="158"/>
      <c r="D25" s="159"/>
      <c r="E25" s="159"/>
      <c r="F25" s="159"/>
      <c r="G25" s="159"/>
      <c r="H25" s="160"/>
      <c r="I25" s="154"/>
    </row>
    <row r="26" ht="18" customHeight="1" spans="1:13" x14ac:dyDescent="0.25">
      <c r="A26" s="155"/>
      <c r="B26" s="54"/>
      <c r="C26" s="158"/>
      <c r="D26" s="159"/>
      <c r="E26" s="159"/>
      <c r="F26" s="159"/>
      <c r="G26" s="159"/>
      <c r="H26" s="160"/>
      <c r="I26" s="154"/>
      <c r="M26" s="8"/>
    </row>
    <row r="27" ht="18" customHeight="1" spans="1:9" x14ac:dyDescent="0.25">
      <c r="A27" s="161"/>
      <c r="B27" s="162"/>
      <c r="C27" s="163"/>
      <c r="D27" s="164"/>
      <c r="E27" s="164"/>
      <c r="F27" s="164"/>
      <c r="G27" s="164"/>
      <c r="H27" s="165"/>
      <c r="I27" s="154"/>
    </row>
    <row r="28" ht="18" customHeight="1" spans="1:9" x14ac:dyDescent="0.25">
      <c r="A28" s="29"/>
      <c r="B28" s="54"/>
      <c r="C28" s="158"/>
      <c r="D28" s="159"/>
      <c r="E28" s="159"/>
      <c r="F28" s="159"/>
      <c r="G28" s="159"/>
      <c r="H28" s="160"/>
      <c r="I28" s="154"/>
    </row>
    <row r="29" ht="18" customHeight="1" spans="1:13" x14ac:dyDescent="0.25">
      <c r="A29" s="155"/>
      <c r="B29" s="167"/>
      <c r="C29" s="168"/>
      <c r="D29" s="169"/>
      <c r="E29" s="169"/>
      <c r="F29" s="169"/>
      <c r="G29" s="169"/>
      <c r="H29" s="170"/>
      <c r="I29" s="154"/>
      <c r="M29" s="3" t="s">
        <v>34</v>
      </c>
    </row>
    <row r="30" ht="18" customHeight="1" spans="1:9" x14ac:dyDescent="0.25">
      <c r="A30" s="155"/>
      <c r="B30" s="54"/>
      <c r="C30" s="158"/>
      <c r="D30" s="159"/>
      <c r="E30" s="159"/>
      <c r="F30" s="159"/>
      <c r="G30" s="159"/>
      <c r="H30" s="160"/>
      <c r="I30" s="154"/>
    </row>
    <row r="31" ht="18" customHeight="1" spans="1:9" x14ac:dyDescent="0.25">
      <c r="A31" s="155"/>
      <c r="B31" s="54"/>
      <c r="C31" s="158"/>
      <c r="D31" s="159"/>
      <c r="E31" s="159"/>
      <c r="F31" s="159"/>
      <c r="G31" s="159"/>
      <c r="H31" s="160"/>
      <c r="I31" s="154"/>
    </row>
    <row r="32" ht="18" customHeight="1" spans="1:9" x14ac:dyDescent="0.25">
      <c r="A32" s="177"/>
      <c r="B32" s="162"/>
      <c r="C32" s="163"/>
      <c r="D32" s="164"/>
      <c r="E32" s="164"/>
      <c r="F32" s="164"/>
      <c r="G32" s="164"/>
      <c r="H32" s="165"/>
      <c r="I32" s="154"/>
    </row>
    <row r="33" ht="18" customHeight="1" spans="1:9" x14ac:dyDescent="0.25">
      <c r="A33" s="29"/>
      <c r="B33" s="54"/>
      <c r="C33" s="158"/>
      <c r="D33" s="159"/>
      <c r="E33" s="159"/>
      <c r="F33" s="159"/>
      <c r="G33" s="159"/>
      <c r="H33" s="160"/>
      <c r="I33" s="154"/>
    </row>
    <row r="34" ht="18" customHeight="1" spans="1:9" x14ac:dyDescent="0.25">
      <c r="A34" s="155"/>
      <c r="B34" s="54"/>
      <c r="C34" s="158"/>
      <c r="D34" s="159"/>
      <c r="E34" s="159"/>
      <c r="F34" s="159"/>
      <c r="G34" s="159"/>
      <c r="H34" s="160"/>
      <c r="I34" s="154"/>
    </row>
    <row r="35" ht="18" customHeight="1" spans="1:9" x14ac:dyDescent="0.25">
      <c r="A35" s="178"/>
      <c r="B35" s="54"/>
      <c r="C35" s="158"/>
      <c r="D35" s="159"/>
      <c r="E35" s="159"/>
      <c r="F35" s="159"/>
      <c r="G35" s="159"/>
      <c r="H35" s="160"/>
      <c r="I35" s="154"/>
    </row>
    <row r="36" ht="20.1" customHeight="1" spans="1:10" x14ac:dyDescent="0.25">
      <c r="A36" s="179"/>
      <c r="B36" s="54"/>
      <c r="C36" s="158"/>
      <c r="D36" s="159"/>
      <c r="E36" s="159"/>
      <c r="F36" s="159"/>
      <c r="G36" s="159"/>
      <c r="H36" s="160"/>
      <c r="I36" s="154"/>
      <c r="J36" s="180"/>
    </row>
    <row r="37" ht="18" customHeight="1" spans="1:9" x14ac:dyDescent="0.25">
      <c r="A37" s="181"/>
      <c r="B37" s="162"/>
      <c r="C37" s="163"/>
      <c r="D37" s="164"/>
      <c r="E37" s="164"/>
      <c r="F37" s="164"/>
      <c r="G37" s="164"/>
      <c r="H37" s="165"/>
      <c r="I37" s="154"/>
    </row>
    <row r="38" ht="20.1" customHeight="1" spans="1:9" x14ac:dyDescent="0.25">
      <c r="A38" s="3"/>
      <c r="B38" s="113"/>
      <c r="C38" s="40"/>
      <c r="D38" s="40"/>
      <c r="E38" s="40"/>
      <c r="F38" s="40"/>
      <c r="G38" s="40"/>
      <c r="H38" s="40"/>
      <c r="I38" s="154"/>
    </row>
    <row r="39" ht="20.1" customHeight="1" spans="1:8" x14ac:dyDescent="0.25">
      <c r="A39" s="3"/>
      <c r="B39" s="113"/>
      <c r="C39" s="40"/>
      <c r="D39" s="40"/>
      <c r="E39" s="40"/>
      <c r="F39" s="40"/>
      <c r="G39" s="40"/>
      <c r="H39" s="40"/>
    </row>
    <row r="40" ht="19.9" customHeight="1" spans="1:2" x14ac:dyDescent="0.25">
      <c r="A40" s="182"/>
      <c r="B40" s="182"/>
    </row>
    <row r="41" spans="1:8" x14ac:dyDescent="0.25">
      <c r="A41" s="183" t="s">
        <v>22</v>
      </c>
      <c r="B41" s="183"/>
      <c r="C41" s="9"/>
      <c r="D41" s="9"/>
      <c r="E41" s="9"/>
      <c r="G41" s="8"/>
      <c r="H41" s="8"/>
    </row>
  </sheetData>
  <mergeCells count="34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A41:B41"/>
    <mergeCell ref="G41:H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184" t="s">
        <v>24</v>
      </c>
      <c r="B1" s="184"/>
      <c r="C1" s="184"/>
      <c r="D1" s="184"/>
      <c r="E1" s="184"/>
      <c r="F1" s="184"/>
      <c r="G1" s="184"/>
      <c r="H1" s="184"/>
    </row>
    <row r="2" ht="18" customHeight="1" spans="1:8" x14ac:dyDescent="0.25">
      <c r="A2" s="338" t="s">
        <v>25</v>
      </c>
      <c r="B2" s="338"/>
      <c r="C2" s="338"/>
      <c r="D2" s="338"/>
      <c r="E2" s="338"/>
      <c r="F2" s="338"/>
      <c r="G2" s="338"/>
      <c r="H2" s="338"/>
    </row>
    <row r="3" ht="8.25" customHeight="1" spans="1:8" x14ac:dyDescent="0.25">
      <c r="A3" s="8"/>
      <c r="B3" s="8"/>
      <c r="C3" s="8"/>
      <c r="D3" s="8"/>
      <c r="E3" s="8"/>
      <c r="F3" s="139"/>
      <c r="G3" s="139"/>
      <c r="H3" s="139"/>
    </row>
    <row r="4" ht="20.1" customHeight="1" spans="1:8" x14ac:dyDescent="0.25">
      <c r="A4" s="3" t="s">
        <v>36</v>
      </c>
      <c r="B4" s="339" t="str">
        <f>'Final Work'!B4</f>
        <v>YOKOHAMA TRADER</v>
      </c>
      <c r="C4" s="339"/>
      <c r="D4" s="339"/>
      <c r="E4" s="340"/>
      <c r="F4" s="11" t="s">
        <v>116</v>
      </c>
      <c r="G4" s="187"/>
      <c r="H4" s="8"/>
    </row>
    <row r="5" ht="12.75" customHeight="1" spans="1:6" x14ac:dyDescent="0.25">
      <c r="A5" s="341"/>
      <c r="B5" s="340"/>
      <c r="E5" s="340"/>
      <c r="F5" s="13"/>
    </row>
    <row r="6" ht="20.1" customHeight="1" spans="1:7" x14ac:dyDescent="0.25">
      <c r="A6" s="3" t="s">
        <v>117</v>
      </c>
      <c r="B6" s="8" t="str">
        <f>'OS-IN'!H6</f>
        <v>2611E</v>
      </c>
      <c r="C6" s="8"/>
      <c r="E6" s="3" t="s">
        <v>34</v>
      </c>
      <c r="F6" s="11" t="s">
        <v>118</v>
      </c>
      <c r="G6" s="340" t="s">
        <v>25</v>
      </c>
    </row>
    <row r="7" ht="15.75" customHeight="1" spans="1:8" x14ac:dyDescent="0.25">
      <c r="A7" s="340" t="s">
        <v>34</v>
      </c>
      <c r="B7" s="340"/>
      <c r="F7" s="139"/>
      <c r="H7" s="340"/>
    </row>
    <row r="8" ht="30.75" customHeight="1" spans="2:8" x14ac:dyDescent="0.25">
      <c r="B8" s="342" t="s">
        <v>119</v>
      </c>
      <c r="C8" s="343"/>
      <c r="D8" s="343"/>
      <c r="E8" s="343"/>
      <c r="F8" s="343"/>
      <c r="G8" s="344"/>
      <c r="H8" s="139"/>
    </row>
    <row r="9" ht="17.25" customHeight="1" spans="8:8" x14ac:dyDescent="0.25">
      <c r="H9" s="8" t="s">
        <v>120</v>
      </c>
    </row>
    <row r="10" ht="24" customHeight="1" spans="1:8" x14ac:dyDescent="0.25">
      <c r="A10" s="198" t="s">
        <v>121</v>
      </c>
      <c r="B10" s="345"/>
      <c r="C10" s="220"/>
      <c r="D10" s="346" t="s">
        <v>122</v>
      </c>
      <c r="E10" s="198" t="s">
        <v>123</v>
      </c>
      <c r="F10" s="220"/>
      <c r="G10" s="346" t="s">
        <v>124</v>
      </c>
      <c r="H10" s="191" t="s">
        <v>50</v>
      </c>
    </row>
    <row r="11" ht="24" customHeight="1" spans="1:8" x14ac:dyDescent="0.25">
      <c r="A11" s="148" t="s">
        <v>125</v>
      </c>
      <c r="B11" s="149"/>
      <c r="C11" s="347" t="s">
        <v>126</v>
      </c>
      <c r="D11" s="348"/>
      <c r="E11" s="347" t="s">
        <v>125</v>
      </c>
      <c r="F11" s="347" t="s">
        <v>126</v>
      </c>
      <c r="G11" s="349"/>
      <c r="H11" s="195"/>
    </row>
    <row r="12" ht="23.1" customHeight="1" spans="1:8" x14ac:dyDescent="0.25">
      <c r="A12" s="350"/>
      <c r="B12" s="3"/>
      <c r="C12" s="51"/>
      <c r="D12" s="51"/>
      <c r="E12" s="51"/>
      <c r="F12" s="51"/>
      <c r="G12" s="51"/>
      <c r="H12" s="351"/>
    </row>
    <row r="13" ht="23.1" customHeight="1" spans="1:8" x14ac:dyDescent="0.25">
      <c r="A13" s="352"/>
      <c r="B13" s="3"/>
      <c r="C13" s="279"/>
      <c r="D13" s="279"/>
      <c r="E13" s="279"/>
      <c r="F13" s="279"/>
      <c r="G13" s="279"/>
      <c r="H13" s="352"/>
    </row>
    <row r="14" ht="23.1" customHeight="1" spans="1:8" x14ac:dyDescent="0.25">
      <c r="A14" s="352"/>
      <c r="B14" s="3"/>
      <c r="C14" s="279"/>
      <c r="D14" s="279"/>
      <c r="E14" s="279"/>
      <c r="F14" s="353"/>
      <c r="G14" s="279"/>
      <c r="H14" s="352"/>
    </row>
    <row r="15" ht="23.1" customHeight="1" spans="1:8" x14ac:dyDescent="0.25">
      <c r="A15" s="352"/>
      <c r="B15" s="3"/>
      <c r="C15" s="352"/>
      <c r="D15" s="279"/>
      <c r="E15" s="279"/>
      <c r="F15" s="353"/>
      <c r="G15" s="279"/>
      <c r="H15" s="352"/>
    </row>
    <row r="16" ht="23.1" customHeight="1" spans="1:8" x14ac:dyDescent="0.25">
      <c r="A16" s="352"/>
      <c r="B16" s="3"/>
      <c r="C16" s="352"/>
      <c r="D16" s="279"/>
      <c r="E16" s="279"/>
      <c r="F16" s="354"/>
      <c r="G16" s="279"/>
      <c r="H16" s="352"/>
    </row>
    <row r="17" ht="23.1" customHeight="1" spans="1:8" x14ac:dyDescent="0.25">
      <c r="A17" s="28"/>
      <c r="B17" s="3"/>
      <c r="C17" s="28"/>
      <c r="D17" s="28"/>
      <c r="E17" s="28"/>
      <c r="F17" s="355"/>
      <c r="G17" s="28"/>
      <c r="H17" s="28"/>
    </row>
    <row r="18" ht="23.1" customHeight="1" spans="1:8" x14ac:dyDescent="0.25">
      <c r="A18" s="352"/>
      <c r="B18" s="3"/>
      <c r="C18" s="352"/>
      <c r="D18" s="279"/>
      <c r="E18" s="279"/>
      <c r="F18" s="354"/>
      <c r="G18" s="279"/>
      <c r="H18" s="352"/>
    </row>
    <row r="19" ht="23.1" customHeight="1" spans="1:8" x14ac:dyDescent="0.25">
      <c r="A19" s="352"/>
      <c r="B19" s="3"/>
      <c r="C19" s="352"/>
      <c r="D19" s="279"/>
      <c r="E19" s="279"/>
      <c r="F19" s="354"/>
      <c r="G19" s="279"/>
      <c r="H19" s="352"/>
    </row>
    <row r="20" ht="23.1" customHeight="1" spans="1:8" x14ac:dyDescent="0.25">
      <c r="A20" s="352"/>
      <c r="B20" s="3"/>
      <c r="C20" s="352"/>
      <c r="D20" s="279"/>
      <c r="E20" s="279"/>
      <c r="F20" s="354"/>
      <c r="G20" s="279"/>
      <c r="H20" s="352"/>
    </row>
    <row r="21" ht="23.1" customHeight="1" spans="1:8" x14ac:dyDescent="0.25">
      <c r="A21" s="356"/>
      <c r="B21" s="3"/>
      <c r="C21" s="356"/>
      <c r="D21" s="357"/>
      <c r="E21" s="357"/>
      <c r="F21" s="105"/>
      <c r="G21" s="357"/>
      <c r="H21" s="356"/>
    </row>
    <row r="22" ht="23.1" customHeight="1" spans="1:8" x14ac:dyDescent="0.25">
      <c r="A22" s="351"/>
      <c r="B22" s="3"/>
      <c r="C22" s="351"/>
      <c r="D22" s="51"/>
      <c r="E22" s="51"/>
      <c r="F22" s="358"/>
      <c r="G22" s="51"/>
      <c r="H22" s="351"/>
    </row>
    <row r="23" ht="23.1" customHeight="1" spans="1:8" x14ac:dyDescent="0.25">
      <c r="A23" s="352"/>
      <c r="B23" s="3"/>
      <c r="C23" s="352"/>
      <c r="D23" s="279"/>
      <c r="E23" s="279"/>
      <c r="F23" s="353"/>
      <c r="G23" s="279"/>
      <c r="H23" s="352"/>
    </row>
    <row r="24" ht="23.1" customHeight="1" spans="1:8" x14ac:dyDescent="0.25">
      <c r="A24" s="352"/>
      <c r="B24" s="3"/>
      <c r="C24" s="352"/>
      <c r="D24" s="279"/>
      <c r="E24" s="279"/>
      <c r="F24" s="353"/>
      <c r="G24" s="279"/>
      <c r="H24" s="352"/>
    </row>
    <row r="25" ht="23.1" customHeight="1" spans="1:8" x14ac:dyDescent="0.25">
      <c r="A25" s="352"/>
      <c r="B25" s="3"/>
      <c r="C25" s="352"/>
      <c r="D25" s="279"/>
      <c r="E25" s="279"/>
      <c r="F25" s="353"/>
      <c r="G25" s="279"/>
      <c r="H25" s="352"/>
    </row>
    <row r="26" ht="23.1" customHeight="1" spans="1:8" x14ac:dyDescent="0.25">
      <c r="A26" s="359"/>
      <c r="B26" s="3"/>
      <c r="C26" s="359"/>
      <c r="D26" s="360"/>
      <c r="E26" s="360"/>
      <c r="F26" s="55"/>
      <c r="G26" s="360"/>
      <c r="H26" s="359"/>
    </row>
    <row r="27" ht="23.1" customHeight="1" spans="1:8" x14ac:dyDescent="0.25">
      <c r="A27" s="361"/>
      <c r="B27" s="3"/>
      <c r="C27" s="362"/>
      <c r="D27" s="362"/>
      <c r="E27" s="362"/>
      <c r="F27" s="362"/>
      <c r="G27" s="362"/>
      <c r="H27" s="362"/>
    </row>
    <row r="28" ht="23.1" customHeight="1" spans="1:8" x14ac:dyDescent="0.25">
      <c r="A28" s="363"/>
      <c r="B28" s="3"/>
      <c r="C28" s="352"/>
      <c r="D28" s="352"/>
      <c r="E28" s="352"/>
      <c r="F28" s="352"/>
      <c r="G28" s="352"/>
      <c r="H28" s="352"/>
    </row>
    <row r="29" ht="23.1" customHeight="1" spans="1:8" x14ac:dyDescent="0.25">
      <c r="A29" s="363"/>
      <c r="B29" s="3"/>
      <c r="C29" s="364"/>
      <c r="D29" s="364"/>
      <c r="E29" s="364"/>
      <c r="F29" s="364"/>
      <c r="G29" s="364"/>
      <c r="H29" s="364"/>
    </row>
    <row r="30" ht="23.1" customHeight="1" spans="1:8" x14ac:dyDescent="0.25">
      <c r="A30" s="363"/>
      <c r="B30" s="3"/>
      <c r="C30" s="364"/>
      <c r="D30" s="364"/>
      <c r="E30" s="364"/>
      <c r="F30" s="364"/>
      <c r="G30" s="364"/>
      <c r="H30" s="364"/>
    </row>
    <row r="31" ht="23.1" customHeight="1" spans="1:8" x14ac:dyDescent="0.25">
      <c r="A31" s="363"/>
      <c r="B31" s="3"/>
      <c r="C31" s="364"/>
      <c r="D31" s="364"/>
      <c r="E31" s="364"/>
      <c r="F31" s="364"/>
      <c r="G31" s="364"/>
      <c r="H31" s="364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3.1" customHeight="1" spans="1:3" x14ac:dyDescent="0.25">
      <c r="A33" s="191" t="s">
        <v>127</v>
      </c>
      <c r="B33" s="188" t="s">
        <v>128</v>
      </c>
      <c r="C33" s="279"/>
    </row>
    <row r="34" ht="23.1" customHeight="1" spans="1:3" x14ac:dyDescent="0.25">
      <c r="A34" s="365"/>
      <c r="B34" s="188" t="s">
        <v>129</v>
      </c>
      <c r="C34" s="279"/>
    </row>
    <row r="35" ht="23.1" customHeight="1" spans="1:3" x14ac:dyDescent="0.25">
      <c r="A35" s="191" t="s">
        <v>130</v>
      </c>
      <c r="B35" s="188" t="s">
        <v>128</v>
      </c>
      <c r="C35" s="279">
        <v>1</v>
      </c>
    </row>
    <row r="36" ht="23.1" customHeight="1" spans="1:8" x14ac:dyDescent="0.25">
      <c r="A36" s="195"/>
      <c r="B36" s="192" t="s">
        <v>129</v>
      </c>
      <c r="C36" s="35"/>
      <c r="G36" s="182"/>
      <c r="H36" s="182"/>
    </row>
    <row r="37" ht="23.1" customHeight="1" spans="1:8" x14ac:dyDescent="0.25">
      <c r="A37" s="269" t="s">
        <v>131</v>
      </c>
      <c r="B37" s="366"/>
      <c r="C37" s="201">
        <f>SUM(C33:C36)</f>
        <v>1</v>
      </c>
      <c r="G37" s="183" t="s">
        <v>22</v>
      </c>
      <c r="H37" s="183"/>
    </row>
    <row r="38" ht="30" customHeight="1" spans="1:8" x14ac:dyDescent="0.25">
      <c r="A38" s="184" t="s">
        <v>24</v>
      </c>
      <c r="B38" s="184"/>
      <c r="C38" s="184"/>
      <c r="D38" s="184"/>
      <c r="E38" s="184"/>
      <c r="F38" s="184"/>
      <c r="G38" s="184"/>
      <c r="H38" s="184"/>
    </row>
    <row r="39" ht="18" customHeight="1" spans="1:8" x14ac:dyDescent="0.25">
      <c r="A39" s="338" t="s">
        <v>25</v>
      </c>
      <c r="B39" s="338"/>
      <c r="C39" s="338"/>
      <c r="D39" s="338"/>
      <c r="E39" s="338"/>
      <c r="F39" s="338"/>
      <c r="G39" s="338"/>
      <c r="H39" s="338"/>
    </row>
    <row r="40" ht="7.5" customHeight="1" spans="1:8" x14ac:dyDescent="0.25">
      <c r="A40" s="8"/>
      <c r="B40" s="8"/>
      <c r="C40" s="8"/>
      <c r="D40" s="8"/>
      <c r="E40" s="8"/>
      <c r="F40" s="139"/>
      <c r="G40" s="139"/>
      <c r="H40" s="139"/>
    </row>
    <row r="41" ht="20.1" customHeight="1" spans="1:8" x14ac:dyDescent="0.25">
      <c r="A41" s="3" t="s">
        <v>36</v>
      </c>
      <c r="B41" s="339" t="str">
        <f>모선이름</f>
        <v>YOKOHAMA TRADER</v>
      </c>
      <c r="C41" s="339"/>
      <c r="D41" s="339"/>
      <c r="E41" s="340"/>
      <c r="F41" s="11" t="s">
        <v>116</v>
      </c>
      <c r="G41" s="187">
        <f>'Final Work'!L4</f>
        <v>46219</v>
      </c>
      <c r="H41" s="8"/>
    </row>
    <row r="42" ht="12.75" customHeight="1" spans="1:6" x14ac:dyDescent="0.25">
      <c r="A42" s="341"/>
      <c r="B42" s="340"/>
      <c r="E42" s="340"/>
      <c r="F42" s="13"/>
    </row>
    <row r="43" ht="20.1" customHeight="1" spans="1:7" x14ac:dyDescent="0.25">
      <c r="A43" s="3" t="s">
        <v>117</v>
      </c>
      <c r="B43" s="8" t="str">
        <f>'OS-OUT'!H6</f>
        <v>2612W</v>
      </c>
      <c r="C43" s="8"/>
      <c r="E43" s="3" t="s">
        <v>34</v>
      </c>
      <c r="F43" s="11" t="s">
        <v>118</v>
      </c>
      <c r="G43" s="340" t="s">
        <v>25</v>
      </c>
    </row>
    <row r="44" ht="15.75" customHeight="1" spans="1:8" x14ac:dyDescent="0.25">
      <c r="A44" s="340" t="s">
        <v>34</v>
      </c>
      <c r="B44" s="340"/>
      <c r="F44" s="139"/>
      <c r="H44" s="340"/>
    </row>
    <row r="45" ht="30.75" customHeight="1" spans="2:8" x14ac:dyDescent="0.25">
      <c r="B45" s="342" t="s">
        <v>119</v>
      </c>
      <c r="C45" s="343"/>
      <c r="D45" s="343"/>
      <c r="E45" s="343"/>
      <c r="F45" s="343"/>
      <c r="G45" s="344"/>
      <c r="H45" s="367"/>
    </row>
    <row r="46" ht="17.25" customHeight="1" spans="8:8" x14ac:dyDescent="0.25">
      <c r="H46" s="8" t="s">
        <v>132</v>
      </c>
    </row>
    <row r="47" ht="24" customHeight="1" spans="1:8" x14ac:dyDescent="0.25">
      <c r="A47" s="198" t="s">
        <v>121</v>
      </c>
      <c r="B47" s="345"/>
      <c r="C47" s="220"/>
      <c r="D47" s="346" t="s">
        <v>122</v>
      </c>
      <c r="E47" s="198" t="s">
        <v>123</v>
      </c>
      <c r="F47" s="220"/>
      <c r="G47" s="346" t="s">
        <v>124</v>
      </c>
      <c r="H47" s="191" t="s">
        <v>50</v>
      </c>
    </row>
    <row r="48" ht="24" customHeight="1" spans="1:8" x14ac:dyDescent="0.25">
      <c r="A48" s="148" t="s">
        <v>125</v>
      </c>
      <c r="B48" s="149"/>
      <c r="C48" s="347" t="s">
        <v>126</v>
      </c>
      <c r="D48" s="348"/>
      <c r="E48" s="347" t="s">
        <v>125</v>
      </c>
      <c r="F48" s="347" t="s">
        <v>126</v>
      </c>
      <c r="G48" s="349"/>
      <c r="H48" s="195"/>
    </row>
    <row r="49" ht="23.1" customHeight="1" spans="1:8" x14ac:dyDescent="0.25">
      <c r="A49" s="350" t="s">
        <v>133</v>
      </c>
      <c r="B49" s="350"/>
      <c r="C49" s="368"/>
      <c r="D49" s="369"/>
      <c r="E49" s="369"/>
      <c r="F49" s="370"/>
      <c r="G49" s="369"/>
      <c r="H49" s="369"/>
    </row>
    <row r="50" ht="23.1" customHeight="1" spans="1:8" x14ac:dyDescent="0.25">
      <c r="A50" s="371"/>
      <c r="B50" s="371"/>
      <c r="C50" s="372"/>
      <c r="D50" s="373"/>
      <c r="E50" s="373"/>
      <c r="F50" s="374"/>
      <c r="G50" s="373"/>
      <c r="H50" s="373"/>
    </row>
    <row r="51" ht="23.1" customHeight="1" spans="1:8" x14ac:dyDescent="0.25">
      <c r="A51" s="371"/>
      <c r="B51" s="371"/>
      <c r="C51" s="372"/>
      <c r="D51" s="373"/>
      <c r="E51" s="373"/>
      <c r="F51" s="374"/>
      <c r="G51" s="373"/>
      <c r="H51" s="373"/>
    </row>
    <row r="52" ht="23.1" customHeight="1" spans="1:8" x14ac:dyDescent="0.25">
      <c r="A52" s="373"/>
      <c r="B52" s="373"/>
      <c r="C52" s="372"/>
      <c r="D52" s="373"/>
      <c r="E52" s="373"/>
      <c r="F52" s="374"/>
      <c r="G52" s="373"/>
      <c r="H52" s="373"/>
    </row>
    <row r="53" ht="23.1" customHeight="1" spans="1:8" x14ac:dyDescent="0.25">
      <c r="A53" s="375"/>
      <c r="B53" s="375"/>
      <c r="C53" s="376"/>
      <c r="D53" s="377"/>
      <c r="E53" s="377"/>
      <c r="F53" s="378"/>
      <c r="G53" s="377"/>
      <c r="H53" s="377"/>
    </row>
    <row r="54" ht="23.1" customHeight="1" spans="1:8" x14ac:dyDescent="0.25">
      <c r="A54" s="379"/>
      <c r="B54" s="379"/>
      <c r="C54" s="368"/>
      <c r="D54" s="369"/>
      <c r="E54" s="369"/>
      <c r="F54" s="370"/>
      <c r="G54" s="369"/>
      <c r="H54" s="369"/>
    </row>
    <row r="55" ht="23.1" customHeight="1" spans="1:8" x14ac:dyDescent="0.25">
      <c r="A55" s="380"/>
      <c r="B55" s="380"/>
      <c r="C55" s="372"/>
      <c r="D55" s="373"/>
      <c r="E55" s="373"/>
      <c r="F55" s="374"/>
      <c r="G55" s="373"/>
      <c r="H55" s="373"/>
    </row>
    <row r="56" ht="23.1" customHeight="1" spans="1:8" x14ac:dyDescent="0.25">
      <c r="A56" s="380"/>
      <c r="B56" s="380"/>
      <c r="C56" s="372"/>
      <c r="D56" s="373"/>
      <c r="E56" s="373"/>
      <c r="F56" s="374"/>
      <c r="G56" s="373"/>
      <c r="H56" s="373"/>
    </row>
    <row r="57" ht="23.1" customHeight="1" spans="1:8" x14ac:dyDescent="0.25">
      <c r="A57" s="381"/>
      <c r="B57" s="381"/>
      <c r="C57" s="372"/>
      <c r="D57" s="373"/>
      <c r="E57" s="373"/>
      <c r="F57" s="374"/>
      <c r="G57" s="373"/>
      <c r="H57" s="373"/>
    </row>
    <row r="58" ht="23.1" customHeight="1" spans="1:8" x14ac:dyDescent="0.25">
      <c r="A58" s="377"/>
      <c r="B58" s="377"/>
      <c r="C58" s="376"/>
      <c r="D58" s="377"/>
      <c r="E58" s="377"/>
      <c r="F58" s="378"/>
      <c r="G58" s="377"/>
      <c r="H58" s="377"/>
    </row>
    <row r="59" ht="23.1" customHeight="1" spans="1:8" x14ac:dyDescent="0.25">
      <c r="A59" s="369"/>
      <c r="B59" s="369"/>
      <c r="C59" s="368"/>
      <c r="D59" s="369"/>
      <c r="E59" s="369"/>
      <c r="F59" s="370"/>
      <c r="G59" s="369"/>
      <c r="H59" s="369"/>
    </row>
    <row r="60" ht="23.1" customHeight="1" spans="1:8" x14ac:dyDescent="0.25">
      <c r="A60" s="373"/>
      <c r="B60" s="373"/>
      <c r="C60" s="382"/>
      <c r="D60" s="373"/>
      <c r="E60" s="373"/>
      <c r="F60" s="373"/>
      <c r="G60" s="373"/>
      <c r="H60" s="373"/>
    </row>
    <row r="61" ht="23.1" customHeight="1" spans="1:8" x14ac:dyDescent="0.25">
      <c r="A61" s="373"/>
      <c r="B61" s="373"/>
      <c r="C61" s="383"/>
      <c r="D61" s="373"/>
      <c r="E61" s="373"/>
      <c r="F61" s="373"/>
      <c r="G61" s="373"/>
      <c r="H61" s="373"/>
    </row>
    <row r="62" ht="23.1" customHeight="1" spans="1:8" x14ac:dyDescent="0.25">
      <c r="A62" s="373"/>
      <c r="B62" s="373"/>
      <c r="C62" s="383"/>
      <c r="D62" s="373"/>
      <c r="E62" s="373"/>
      <c r="F62" s="373"/>
      <c r="G62" s="373"/>
      <c r="H62" s="373"/>
    </row>
    <row r="63" ht="23.1" customHeight="1" spans="1:8" x14ac:dyDescent="0.25">
      <c r="A63" s="384"/>
      <c r="B63" s="384"/>
      <c r="C63" s="385"/>
      <c r="D63" s="384"/>
      <c r="E63" s="384"/>
      <c r="F63" s="384"/>
      <c r="G63" s="384"/>
      <c r="H63" s="384"/>
    </row>
    <row r="64" ht="23.1" customHeight="1" spans="1:8" x14ac:dyDescent="0.25">
      <c r="A64" s="386"/>
      <c r="B64" s="386"/>
      <c r="C64" s="387"/>
      <c r="D64" s="386"/>
      <c r="E64" s="386"/>
      <c r="F64" s="386"/>
      <c r="G64" s="386"/>
      <c r="H64" s="386"/>
    </row>
    <row r="65" ht="23.1" customHeight="1" spans="1:8" x14ac:dyDescent="0.25">
      <c r="A65" s="373"/>
      <c r="B65" s="373"/>
      <c r="C65" s="383"/>
      <c r="D65" s="373"/>
      <c r="E65" s="373"/>
      <c r="F65" s="373"/>
      <c r="G65" s="373"/>
      <c r="H65" s="373"/>
    </row>
    <row r="66" ht="23.1" customHeight="1" spans="1:8" x14ac:dyDescent="0.25">
      <c r="A66" s="373"/>
      <c r="B66" s="373"/>
      <c r="C66" s="383"/>
      <c r="D66" s="373"/>
      <c r="E66" s="373"/>
      <c r="F66" s="373"/>
      <c r="G66" s="373"/>
      <c r="H66" s="373"/>
    </row>
    <row r="67" ht="23.1" customHeight="1" spans="1:8" x14ac:dyDescent="0.25">
      <c r="A67" s="373"/>
      <c r="B67" s="373"/>
      <c r="C67" s="383"/>
      <c r="D67" s="373"/>
      <c r="E67" s="373"/>
      <c r="F67" s="373"/>
      <c r="G67" s="373"/>
      <c r="H67" s="373"/>
    </row>
    <row r="68" ht="23.1" customHeight="1" spans="1:8" x14ac:dyDescent="0.25">
      <c r="A68" s="373"/>
      <c r="B68" s="373"/>
      <c r="C68" s="383"/>
      <c r="D68" s="373"/>
      <c r="E68" s="373"/>
      <c r="F68" s="383"/>
      <c r="G68" s="373"/>
      <c r="H68" s="373"/>
    </row>
    <row r="69" ht="9" customHeight="1" x14ac:dyDescent="0.25"/>
    <row r="70" ht="23.1" customHeight="1" spans="1:3" x14ac:dyDescent="0.25">
      <c r="A70" s="191" t="s">
        <v>127</v>
      </c>
      <c r="B70" s="388" t="s">
        <v>128</v>
      </c>
      <c r="C70" s="262"/>
    </row>
    <row r="71" ht="23.1" customHeight="1" spans="1:3" x14ac:dyDescent="0.25">
      <c r="A71" s="365"/>
      <c r="B71" s="388" t="s">
        <v>129</v>
      </c>
      <c r="C71" s="262"/>
    </row>
    <row r="72" ht="23.1" customHeight="1" spans="1:3" x14ac:dyDescent="0.25">
      <c r="A72" s="191" t="s">
        <v>130</v>
      </c>
      <c r="B72" s="388" t="s">
        <v>128</v>
      </c>
      <c r="C72" s="262"/>
    </row>
    <row r="73" ht="23.1" customHeight="1" spans="1:8" x14ac:dyDescent="0.25">
      <c r="A73" s="195"/>
      <c r="B73" s="192" t="s">
        <v>129</v>
      </c>
      <c r="C73" s="35"/>
      <c r="G73" s="182"/>
      <c r="H73" s="182"/>
    </row>
    <row r="74" ht="23.1" customHeight="1" spans="1:8" x14ac:dyDescent="0.25">
      <c r="A74" s="269" t="s">
        <v>131</v>
      </c>
      <c r="B74" s="366"/>
      <c r="C74" s="389">
        <f>SUM(C70:C73)</f>
        <v>0</v>
      </c>
      <c r="G74" s="183" t="s">
        <v>22</v>
      </c>
      <c r="H74" s="183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 zoomScale="85" zoomScaleNormal="85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6" width="9" style="1" customWidth="1"/>
    <col min="247" max="247" width="13.875" style="1" customWidth="1"/>
    <col min="248" max="248" width="9.875" style="1" customWidth="1"/>
    <col min="249" max="249" width="8.375" style="1" customWidth="1"/>
    <col min="250" max="250" width="8.25" style="1" customWidth="1"/>
    <col min="251" max="251" width="5.625" style="1" customWidth="1"/>
    <col min="252" max="253" width="8.375" style="1" customWidth="1"/>
    <col min="254" max="254" width="11.125" style="1" customWidth="1"/>
    <col min="255" max="255" width="11.625" style="1" customWidth="1"/>
    <col min="256" max="502" width="9" style="1" customWidth="1"/>
    <col min="503" max="503" width="13.875" style="1" customWidth="1"/>
    <col min="504" max="504" width="9.875" style="1" customWidth="1"/>
    <col min="505" max="505" width="8.375" style="1" customWidth="1"/>
    <col min="506" max="506" width="8.25" style="1" customWidth="1"/>
    <col min="507" max="507" width="5.625" style="1" customWidth="1"/>
    <col min="508" max="509" width="8.375" style="1" customWidth="1"/>
    <col min="510" max="510" width="11.125" style="1" customWidth="1"/>
    <col min="511" max="511" width="11.625" style="1" customWidth="1"/>
    <col min="512" max="758" width="9" style="1" customWidth="1"/>
    <col min="759" max="759" width="13.875" style="1" customWidth="1"/>
    <col min="760" max="760" width="9.875" style="1" customWidth="1"/>
    <col min="761" max="761" width="8.375" style="1" customWidth="1"/>
    <col min="762" max="762" width="8.25" style="1" customWidth="1"/>
    <col min="763" max="763" width="5.625" style="1" customWidth="1"/>
    <col min="764" max="765" width="8.375" style="1" customWidth="1"/>
    <col min="766" max="766" width="11.125" style="1" customWidth="1"/>
    <col min="767" max="767" width="11.625" style="1" customWidth="1"/>
    <col min="768" max="1014" width="9" style="1" customWidth="1"/>
    <col min="1015" max="1015" width="13.875" style="1" customWidth="1"/>
    <col min="1016" max="1016" width="9.875" style="1" customWidth="1"/>
    <col min="1017" max="1017" width="8.375" style="1" customWidth="1"/>
    <col min="1018" max="1018" width="8.25" style="1" customWidth="1"/>
    <col min="1019" max="1019" width="5.625" style="1" customWidth="1"/>
    <col min="1020" max="1021" width="8.375" style="1" customWidth="1"/>
    <col min="1022" max="1022" width="11.125" style="1" customWidth="1"/>
    <col min="1023" max="1023" width="11.625" style="1" customWidth="1"/>
    <col min="1024" max="1270" width="9" style="1" customWidth="1"/>
    <col min="1271" max="1271" width="13.875" style="1" customWidth="1"/>
    <col min="1272" max="1272" width="9.875" style="1" customWidth="1"/>
    <col min="1273" max="1273" width="8.375" style="1" customWidth="1"/>
    <col min="1274" max="1274" width="8.25" style="1" customWidth="1"/>
    <col min="1275" max="1275" width="5.625" style="1" customWidth="1"/>
    <col min="1276" max="1277" width="8.375" style="1" customWidth="1"/>
    <col min="1278" max="1278" width="11.125" style="1" customWidth="1"/>
    <col min="1279" max="1279" width="11.625" style="1" customWidth="1"/>
    <col min="1280" max="1526" width="9" style="1" customWidth="1"/>
    <col min="1527" max="1527" width="13.875" style="1" customWidth="1"/>
    <col min="1528" max="1528" width="9.875" style="1" customWidth="1"/>
    <col min="1529" max="1529" width="8.375" style="1" customWidth="1"/>
    <col min="1530" max="1530" width="8.25" style="1" customWidth="1"/>
    <col min="1531" max="1531" width="5.625" style="1" customWidth="1"/>
    <col min="1532" max="1533" width="8.375" style="1" customWidth="1"/>
    <col min="1534" max="1534" width="11.125" style="1" customWidth="1"/>
    <col min="1535" max="1535" width="11.625" style="1" customWidth="1"/>
    <col min="1536" max="1782" width="9" style="1" customWidth="1"/>
    <col min="1783" max="1783" width="13.875" style="1" customWidth="1"/>
    <col min="1784" max="1784" width="9.875" style="1" customWidth="1"/>
    <col min="1785" max="1785" width="8.375" style="1" customWidth="1"/>
    <col min="1786" max="1786" width="8.25" style="1" customWidth="1"/>
    <col min="1787" max="1787" width="5.625" style="1" customWidth="1"/>
    <col min="1788" max="1789" width="8.375" style="1" customWidth="1"/>
    <col min="1790" max="1790" width="11.125" style="1" customWidth="1"/>
    <col min="1791" max="1791" width="11.625" style="1" customWidth="1"/>
    <col min="1792" max="2038" width="9" style="1" customWidth="1"/>
    <col min="2039" max="2039" width="13.875" style="1" customWidth="1"/>
    <col min="2040" max="2040" width="9.875" style="1" customWidth="1"/>
    <col min="2041" max="2041" width="8.375" style="1" customWidth="1"/>
    <col min="2042" max="2042" width="8.25" style="1" customWidth="1"/>
    <col min="2043" max="2043" width="5.625" style="1" customWidth="1"/>
    <col min="2044" max="2045" width="8.375" style="1" customWidth="1"/>
    <col min="2046" max="2046" width="11.125" style="1" customWidth="1"/>
    <col min="2047" max="2047" width="11.625" style="1" customWidth="1"/>
    <col min="2048" max="2294" width="9" style="1" customWidth="1"/>
    <col min="2295" max="2295" width="13.875" style="1" customWidth="1"/>
    <col min="2296" max="2296" width="9.875" style="1" customWidth="1"/>
    <col min="2297" max="2297" width="8.375" style="1" customWidth="1"/>
    <col min="2298" max="2298" width="8.25" style="1" customWidth="1"/>
    <col min="2299" max="2299" width="5.625" style="1" customWidth="1"/>
    <col min="2300" max="2301" width="8.375" style="1" customWidth="1"/>
    <col min="2302" max="2302" width="11.125" style="1" customWidth="1"/>
    <col min="2303" max="2303" width="11.625" style="1" customWidth="1"/>
    <col min="2304" max="2550" width="9" style="1" customWidth="1"/>
    <col min="2551" max="2551" width="13.875" style="1" customWidth="1"/>
    <col min="2552" max="2552" width="9.875" style="1" customWidth="1"/>
    <col min="2553" max="2553" width="8.375" style="1" customWidth="1"/>
    <col min="2554" max="2554" width="8.25" style="1" customWidth="1"/>
    <col min="2555" max="2555" width="5.625" style="1" customWidth="1"/>
    <col min="2556" max="2557" width="8.375" style="1" customWidth="1"/>
    <col min="2558" max="2558" width="11.125" style="1" customWidth="1"/>
    <col min="2559" max="2559" width="11.625" style="1" customWidth="1"/>
    <col min="2560" max="2806" width="9" style="1" customWidth="1"/>
    <col min="2807" max="2807" width="13.875" style="1" customWidth="1"/>
    <col min="2808" max="2808" width="9.875" style="1" customWidth="1"/>
    <col min="2809" max="2809" width="8.375" style="1" customWidth="1"/>
    <col min="2810" max="2810" width="8.25" style="1" customWidth="1"/>
    <col min="2811" max="2811" width="5.625" style="1" customWidth="1"/>
    <col min="2812" max="2813" width="8.375" style="1" customWidth="1"/>
    <col min="2814" max="2814" width="11.125" style="1" customWidth="1"/>
    <col min="2815" max="2815" width="11.625" style="1" customWidth="1"/>
    <col min="2816" max="3062" width="9" style="1" customWidth="1"/>
    <col min="3063" max="3063" width="13.875" style="1" customWidth="1"/>
    <col min="3064" max="3064" width="9.875" style="1" customWidth="1"/>
    <col min="3065" max="3065" width="8.375" style="1" customWidth="1"/>
    <col min="3066" max="3066" width="8.25" style="1" customWidth="1"/>
    <col min="3067" max="3067" width="5.625" style="1" customWidth="1"/>
    <col min="3068" max="3069" width="8.375" style="1" customWidth="1"/>
    <col min="3070" max="3070" width="11.125" style="1" customWidth="1"/>
    <col min="3071" max="3071" width="11.625" style="1" customWidth="1"/>
    <col min="3072" max="3318" width="9" style="1" customWidth="1"/>
    <col min="3319" max="3319" width="13.875" style="1" customWidth="1"/>
    <col min="3320" max="3320" width="9.875" style="1" customWidth="1"/>
    <col min="3321" max="3321" width="8.375" style="1" customWidth="1"/>
    <col min="3322" max="3322" width="8.25" style="1" customWidth="1"/>
    <col min="3323" max="3323" width="5.625" style="1" customWidth="1"/>
    <col min="3324" max="3325" width="8.375" style="1" customWidth="1"/>
    <col min="3326" max="3326" width="11.125" style="1" customWidth="1"/>
    <col min="3327" max="3327" width="11.625" style="1" customWidth="1"/>
    <col min="3328" max="3574" width="9" style="1" customWidth="1"/>
    <col min="3575" max="3575" width="13.875" style="1" customWidth="1"/>
    <col min="3576" max="3576" width="9.875" style="1" customWidth="1"/>
    <col min="3577" max="3577" width="8.375" style="1" customWidth="1"/>
    <col min="3578" max="3578" width="8.25" style="1" customWidth="1"/>
    <col min="3579" max="3579" width="5.625" style="1" customWidth="1"/>
    <col min="3580" max="3581" width="8.375" style="1" customWidth="1"/>
    <col min="3582" max="3582" width="11.125" style="1" customWidth="1"/>
    <col min="3583" max="3583" width="11.625" style="1" customWidth="1"/>
    <col min="3584" max="3830" width="9" style="1" customWidth="1"/>
    <col min="3831" max="3831" width="13.875" style="1" customWidth="1"/>
    <col min="3832" max="3832" width="9.875" style="1" customWidth="1"/>
    <col min="3833" max="3833" width="8.375" style="1" customWidth="1"/>
    <col min="3834" max="3834" width="8.25" style="1" customWidth="1"/>
    <col min="3835" max="3835" width="5.625" style="1" customWidth="1"/>
    <col min="3836" max="3837" width="8.375" style="1" customWidth="1"/>
    <col min="3838" max="3838" width="11.125" style="1" customWidth="1"/>
    <col min="3839" max="3839" width="11.625" style="1" customWidth="1"/>
    <col min="3840" max="4086" width="9" style="1" customWidth="1"/>
    <col min="4087" max="4087" width="13.875" style="1" customWidth="1"/>
    <col min="4088" max="4088" width="9.875" style="1" customWidth="1"/>
    <col min="4089" max="4089" width="8.375" style="1" customWidth="1"/>
    <col min="4090" max="4090" width="8.25" style="1" customWidth="1"/>
    <col min="4091" max="4091" width="5.625" style="1" customWidth="1"/>
    <col min="4092" max="4093" width="8.375" style="1" customWidth="1"/>
    <col min="4094" max="4094" width="11.125" style="1" customWidth="1"/>
    <col min="4095" max="4095" width="11.625" style="1" customWidth="1"/>
    <col min="4096" max="4342" width="9" style="1" customWidth="1"/>
    <col min="4343" max="4343" width="13.875" style="1" customWidth="1"/>
    <col min="4344" max="4344" width="9.875" style="1" customWidth="1"/>
    <col min="4345" max="4345" width="8.375" style="1" customWidth="1"/>
    <col min="4346" max="4346" width="8.25" style="1" customWidth="1"/>
    <col min="4347" max="4347" width="5.625" style="1" customWidth="1"/>
    <col min="4348" max="4349" width="8.375" style="1" customWidth="1"/>
    <col min="4350" max="4350" width="11.125" style="1" customWidth="1"/>
    <col min="4351" max="4351" width="11.625" style="1" customWidth="1"/>
    <col min="4352" max="4598" width="9" style="1" customWidth="1"/>
    <col min="4599" max="4599" width="13.875" style="1" customWidth="1"/>
    <col min="4600" max="4600" width="9.875" style="1" customWidth="1"/>
    <col min="4601" max="4601" width="8.375" style="1" customWidth="1"/>
    <col min="4602" max="4602" width="8.25" style="1" customWidth="1"/>
    <col min="4603" max="4603" width="5.625" style="1" customWidth="1"/>
    <col min="4604" max="4605" width="8.375" style="1" customWidth="1"/>
    <col min="4606" max="4606" width="11.125" style="1" customWidth="1"/>
    <col min="4607" max="4607" width="11.625" style="1" customWidth="1"/>
    <col min="4608" max="4854" width="9" style="1" customWidth="1"/>
    <col min="4855" max="4855" width="13.875" style="1" customWidth="1"/>
    <col min="4856" max="4856" width="9.875" style="1" customWidth="1"/>
    <col min="4857" max="4857" width="8.375" style="1" customWidth="1"/>
    <col min="4858" max="4858" width="8.25" style="1" customWidth="1"/>
    <col min="4859" max="4859" width="5.625" style="1" customWidth="1"/>
    <col min="4860" max="4861" width="8.375" style="1" customWidth="1"/>
    <col min="4862" max="4862" width="11.125" style="1" customWidth="1"/>
    <col min="4863" max="4863" width="11.625" style="1" customWidth="1"/>
    <col min="4864" max="5110" width="9" style="1" customWidth="1"/>
    <col min="5111" max="5111" width="13.875" style="1" customWidth="1"/>
    <col min="5112" max="5112" width="9.875" style="1" customWidth="1"/>
    <col min="5113" max="5113" width="8.375" style="1" customWidth="1"/>
    <col min="5114" max="5114" width="8.25" style="1" customWidth="1"/>
    <col min="5115" max="5115" width="5.625" style="1" customWidth="1"/>
    <col min="5116" max="5117" width="8.375" style="1" customWidth="1"/>
    <col min="5118" max="5118" width="11.125" style="1" customWidth="1"/>
    <col min="5119" max="5119" width="11.625" style="1" customWidth="1"/>
    <col min="5120" max="5366" width="9" style="1" customWidth="1"/>
    <col min="5367" max="5367" width="13.875" style="1" customWidth="1"/>
    <col min="5368" max="5368" width="9.875" style="1" customWidth="1"/>
    <col min="5369" max="5369" width="8.375" style="1" customWidth="1"/>
    <col min="5370" max="5370" width="8.25" style="1" customWidth="1"/>
    <col min="5371" max="5371" width="5.625" style="1" customWidth="1"/>
    <col min="5372" max="5373" width="8.375" style="1" customWidth="1"/>
    <col min="5374" max="5374" width="11.125" style="1" customWidth="1"/>
    <col min="5375" max="5375" width="11.625" style="1" customWidth="1"/>
    <col min="5376" max="5622" width="9" style="1" customWidth="1"/>
    <col min="5623" max="5623" width="13.875" style="1" customWidth="1"/>
    <col min="5624" max="5624" width="9.875" style="1" customWidth="1"/>
    <col min="5625" max="5625" width="8.375" style="1" customWidth="1"/>
    <col min="5626" max="5626" width="8.25" style="1" customWidth="1"/>
    <col min="5627" max="5627" width="5.625" style="1" customWidth="1"/>
    <col min="5628" max="5629" width="8.375" style="1" customWidth="1"/>
    <col min="5630" max="5630" width="11.125" style="1" customWidth="1"/>
    <col min="5631" max="5631" width="11.625" style="1" customWidth="1"/>
    <col min="5632" max="5878" width="9" style="1" customWidth="1"/>
    <col min="5879" max="5879" width="13.875" style="1" customWidth="1"/>
    <col min="5880" max="5880" width="9.875" style="1" customWidth="1"/>
    <col min="5881" max="5881" width="8.375" style="1" customWidth="1"/>
    <col min="5882" max="5882" width="8.25" style="1" customWidth="1"/>
    <col min="5883" max="5883" width="5.625" style="1" customWidth="1"/>
    <col min="5884" max="5885" width="8.375" style="1" customWidth="1"/>
    <col min="5886" max="5886" width="11.125" style="1" customWidth="1"/>
    <col min="5887" max="5887" width="11.625" style="1" customWidth="1"/>
    <col min="5888" max="6134" width="9" style="1" customWidth="1"/>
    <col min="6135" max="6135" width="13.875" style="1" customWidth="1"/>
    <col min="6136" max="6136" width="9.875" style="1" customWidth="1"/>
    <col min="6137" max="6137" width="8.375" style="1" customWidth="1"/>
    <col min="6138" max="6138" width="8.25" style="1" customWidth="1"/>
    <col min="6139" max="6139" width="5.625" style="1" customWidth="1"/>
    <col min="6140" max="6141" width="8.375" style="1" customWidth="1"/>
    <col min="6142" max="6142" width="11.125" style="1" customWidth="1"/>
    <col min="6143" max="6143" width="11.625" style="1" customWidth="1"/>
    <col min="6144" max="6390" width="9" style="1" customWidth="1"/>
    <col min="6391" max="6391" width="13.875" style="1" customWidth="1"/>
    <col min="6392" max="6392" width="9.875" style="1" customWidth="1"/>
    <col min="6393" max="6393" width="8.375" style="1" customWidth="1"/>
    <col min="6394" max="6394" width="8.25" style="1" customWidth="1"/>
    <col min="6395" max="6395" width="5.625" style="1" customWidth="1"/>
    <col min="6396" max="6397" width="8.375" style="1" customWidth="1"/>
    <col min="6398" max="6398" width="11.125" style="1" customWidth="1"/>
    <col min="6399" max="6399" width="11.625" style="1" customWidth="1"/>
    <col min="6400" max="6646" width="9" style="1" customWidth="1"/>
    <col min="6647" max="6647" width="13.875" style="1" customWidth="1"/>
    <col min="6648" max="6648" width="9.875" style="1" customWidth="1"/>
    <col min="6649" max="6649" width="8.375" style="1" customWidth="1"/>
    <col min="6650" max="6650" width="8.25" style="1" customWidth="1"/>
    <col min="6651" max="6651" width="5.625" style="1" customWidth="1"/>
    <col min="6652" max="6653" width="8.375" style="1" customWidth="1"/>
    <col min="6654" max="6654" width="11.125" style="1" customWidth="1"/>
    <col min="6655" max="6655" width="11.625" style="1" customWidth="1"/>
    <col min="6656" max="6902" width="9" style="1" customWidth="1"/>
    <col min="6903" max="6903" width="13.875" style="1" customWidth="1"/>
    <col min="6904" max="6904" width="9.875" style="1" customWidth="1"/>
    <col min="6905" max="6905" width="8.375" style="1" customWidth="1"/>
    <col min="6906" max="6906" width="8.25" style="1" customWidth="1"/>
    <col min="6907" max="6907" width="5.625" style="1" customWidth="1"/>
    <col min="6908" max="6909" width="8.375" style="1" customWidth="1"/>
    <col min="6910" max="6910" width="11.125" style="1" customWidth="1"/>
    <col min="6911" max="6911" width="11.625" style="1" customWidth="1"/>
    <col min="6912" max="7158" width="9" style="1" customWidth="1"/>
    <col min="7159" max="7159" width="13.875" style="1" customWidth="1"/>
    <col min="7160" max="7160" width="9.875" style="1" customWidth="1"/>
    <col min="7161" max="7161" width="8.375" style="1" customWidth="1"/>
    <col min="7162" max="7162" width="8.25" style="1" customWidth="1"/>
    <col min="7163" max="7163" width="5.625" style="1" customWidth="1"/>
    <col min="7164" max="7165" width="8.375" style="1" customWidth="1"/>
    <col min="7166" max="7166" width="11.125" style="1" customWidth="1"/>
    <col min="7167" max="7167" width="11.625" style="1" customWidth="1"/>
    <col min="7168" max="7414" width="9" style="1" customWidth="1"/>
    <col min="7415" max="7415" width="13.875" style="1" customWidth="1"/>
    <col min="7416" max="7416" width="9.875" style="1" customWidth="1"/>
    <col min="7417" max="7417" width="8.375" style="1" customWidth="1"/>
    <col min="7418" max="7418" width="8.25" style="1" customWidth="1"/>
    <col min="7419" max="7419" width="5.625" style="1" customWidth="1"/>
    <col min="7420" max="7421" width="8.375" style="1" customWidth="1"/>
    <col min="7422" max="7422" width="11.125" style="1" customWidth="1"/>
    <col min="7423" max="7423" width="11.625" style="1" customWidth="1"/>
    <col min="7424" max="7670" width="9" style="1" customWidth="1"/>
    <col min="7671" max="7671" width="13.875" style="1" customWidth="1"/>
    <col min="7672" max="7672" width="9.875" style="1" customWidth="1"/>
    <col min="7673" max="7673" width="8.375" style="1" customWidth="1"/>
    <col min="7674" max="7674" width="8.25" style="1" customWidth="1"/>
    <col min="7675" max="7675" width="5.625" style="1" customWidth="1"/>
    <col min="7676" max="7677" width="8.375" style="1" customWidth="1"/>
    <col min="7678" max="7678" width="11.125" style="1" customWidth="1"/>
    <col min="7679" max="7679" width="11.625" style="1" customWidth="1"/>
    <col min="7680" max="7926" width="9" style="1" customWidth="1"/>
    <col min="7927" max="7927" width="13.875" style="1" customWidth="1"/>
    <col min="7928" max="7928" width="9.875" style="1" customWidth="1"/>
    <col min="7929" max="7929" width="8.375" style="1" customWidth="1"/>
    <col min="7930" max="7930" width="8.25" style="1" customWidth="1"/>
    <col min="7931" max="7931" width="5.625" style="1" customWidth="1"/>
    <col min="7932" max="7933" width="8.375" style="1" customWidth="1"/>
    <col min="7934" max="7934" width="11.125" style="1" customWidth="1"/>
    <col min="7935" max="7935" width="11.625" style="1" customWidth="1"/>
    <col min="7936" max="8182" width="9" style="1" customWidth="1"/>
    <col min="8183" max="8183" width="13.875" style="1" customWidth="1"/>
    <col min="8184" max="8184" width="9.875" style="1" customWidth="1"/>
    <col min="8185" max="8185" width="8.375" style="1" customWidth="1"/>
    <col min="8186" max="8186" width="8.25" style="1" customWidth="1"/>
    <col min="8187" max="8187" width="5.625" style="1" customWidth="1"/>
    <col min="8188" max="8189" width="8.375" style="1" customWidth="1"/>
    <col min="8190" max="8190" width="11.125" style="1" customWidth="1"/>
    <col min="8191" max="8191" width="11.625" style="1" customWidth="1"/>
    <col min="8192" max="8438" width="9" style="1" customWidth="1"/>
    <col min="8439" max="8439" width="13.875" style="1" customWidth="1"/>
    <col min="8440" max="8440" width="9.875" style="1" customWidth="1"/>
    <col min="8441" max="8441" width="8.375" style="1" customWidth="1"/>
    <col min="8442" max="8442" width="8.25" style="1" customWidth="1"/>
    <col min="8443" max="8443" width="5.625" style="1" customWidth="1"/>
    <col min="8444" max="8445" width="8.375" style="1" customWidth="1"/>
    <col min="8446" max="8446" width="11.125" style="1" customWidth="1"/>
    <col min="8447" max="8447" width="11.625" style="1" customWidth="1"/>
    <col min="8448" max="8694" width="9" style="1" customWidth="1"/>
    <col min="8695" max="8695" width="13.875" style="1" customWidth="1"/>
    <col min="8696" max="8696" width="9.875" style="1" customWidth="1"/>
    <col min="8697" max="8697" width="8.375" style="1" customWidth="1"/>
    <col min="8698" max="8698" width="8.25" style="1" customWidth="1"/>
    <col min="8699" max="8699" width="5.625" style="1" customWidth="1"/>
    <col min="8700" max="8701" width="8.375" style="1" customWidth="1"/>
    <col min="8702" max="8702" width="11.125" style="1" customWidth="1"/>
    <col min="8703" max="8703" width="11.625" style="1" customWidth="1"/>
    <col min="8704" max="8950" width="9" style="1" customWidth="1"/>
    <col min="8951" max="8951" width="13.875" style="1" customWidth="1"/>
    <col min="8952" max="8952" width="9.875" style="1" customWidth="1"/>
    <col min="8953" max="8953" width="8.375" style="1" customWidth="1"/>
    <col min="8954" max="8954" width="8.25" style="1" customWidth="1"/>
    <col min="8955" max="8955" width="5.625" style="1" customWidth="1"/>
    <col min="8956" max="8957" width="8.375" style="1" customWidth="1"/>
    <col min="8958" max="8958" width="11.125" style="1" customWidth="1"/>
    <col min="8959" max="8959" width="11.625" style="1" customWidth="1"/>
    <col min="8960" max="9206" width="9" style="1" customWidth="1"/>
    <col min="9207" max="9207" width="13.875" style="1" customWidth="1"/>
    <col min="9208" max="9208" width="9.875" style="1" customWidth="1"/>
    <col min="9209" max="9209" width="8.375" style="1" customWidth="1"/>
    <col min="9210" max="9210" width="8.25" style="1" customWidth="1"/>
    <col min="9211" max="9211" width="5.625" style="1" customWidth="1"/>
    <col min="9212" max="9213" width="8.375" style="1" customWidth="1"/>
    <col min="9214" max="9214" width="11.125" style="1" customWidth="1"/>
    <col min="9215" max="9215" width="11.625" style="1" customWidth="1"/>
    <col min="9216" max="9462" width="9" style="1" customWidth="1"/>
    <col min="9463" max="9463" width="13.875" style="1" customWidth="1"/>
    <col min="9464" max="9464" width="9.875" style="1" customWidth="1"/>
    <col min="9465" max="9465" width="8.375" style="1" customWidth="1"/>
    <col min="9466" max="9466" width="8.25" style="1" customWidth="1"/>
    <col min="9467" max="9467" width="5.625" style="1" customWidth="1"/>
    <col min="9468" max="9469" width="8.375" style="1" customWidth="1"/>
    <col min="9470" max="9470" width="11.125" style="1" customWidth="1"/>
    <col min="9471" max="9471" width="11.625" style="1" customWidth="1"/>
    <col min="9472" max="9718" width="9" style="1" customWidth="1"/>
    <col min="9719" max="9719" width="13.875" style="1" customWidth="1"/>
    <col min="9720" max="9720" width="9.875" style="1" customWidth="1"/>
    <col min="9721" max="9721" width="8.375" style="1" customWidth="1"/>
    <col min="9722" max="9722" width="8.25" style="1" customWidth="1"/>
    <col min="9723" max="9723" width="5.625" style="1" customWidth="1"/>
    <col min="9724" max="9725" width="8.375" style="1" customWidth="1"/>
    <col min="9726" max="9726" width="11.125" style="1" customWidth="1"/>
    <col min="9727" max="9727" width="11.625" style="1" customWidth="1"/>
    <col min="9728" max="9974" width="9" style="1" customWidth="1"/>
    <col min="9975" max="9975" width="13.875" style="1" customWidth="1"/>
    <col min="9976" max="9976" width="9.875" style="1" customWidth="1"/>
    <col min="9977" max="9977" width="8.375" style="1" customWidth="1"/>
    <col min="9978" max="9978" width="8.25" style="1" customWidth="1"/>
    <col min="9979" max="9979" width="5.625" style="1" customWidth="1"/>
    <col min="9980" max="9981" width="8.375" style="1" customWidth="1"/>
    <col min="9982" max="9982" width="11.125" style="1" customWidth="1"/>
    <col min="9983" max="9983" width="11.625" style="1" customWidth="1"/>
    <col min="9984" max="10230" width="9" style="1" customWidth="1"/>
    <col min="10231" max="10231" width="13.875" style="1" customWidth="1"/>
    <col min="10232" max="10232" width="9.875" style="1" customWidth="1"/>
    <col min="10233" max="10233" width="8.375" style="1" customWidth="1"/>
    <col min="10234" max="10234" width="8.25" style="1" customWidth="1"/>
    <col min="10235" max="10235" width="5.625" style="1" customWidth="1"/>
    <col min="10236" max="10237" width="8.375" style="1" customWidth="1"/>
    <col min="10238" max="10238" width="11.125" style="1" customWidth="1"/>
    <col min="10239" max="10239" width="11.625" style="1" customWidth="1"/>
    <col min="10240" max="10486" width="9" style="1" customWidth="1"/>
    <col min="10487" max="10487" width="13.875" style="1" customWidth="1"/>
    <col min="10488" max="10488" width="9.875" style="1" customWidth="1"/>
    <col min="10489" max="10489" width="8.375" style="1" customWidth="1"/>
    <col min="10490" max="10490" width="8.25" style="1" customWidth="1"/>
    <col min="10491" max="10491" width="5.625" style="1" customWidth="1"/>
    <col min="10492" max="10493" width="8.375" style="1" customWidth="1"/>
    <col min="10494" max="10494" width="11.125" style="1" customWidth="1"/>
    <col min="10495" max="10495" width="11.625" style="1" customWidth="1"/>
    <col min="10496" max="10742" width="9" style="1" customWidth="1"/>
    <col min="10743" max="10743" width="13.875" style="1" customWidth="1"/>
    <col min="10744" max="10744" width="9.875" style="1" customWidth="1"/>
    <col min="10745" max="10745" width="8.375" style="1" customWidth="1"/>
    <col min="10746" max="10746" width="8.25" style="1" customWidth="1"/>
    <col min="10747" max="10747" width="5.625" style="1" customWidth="1"/>
    <col min="10748" max="10749" width="8.375" style="1" customWidth="1"/>
    <col min="10750" max="10750" width="11.125" style="1" customWidth="1"/>
    <col min="10751" max="10751" width="11.625" style="1" customWidth="1"/>
    <col min="10752" max="10998" width="9" style="1" customWidth="1"/>
    <col min="10999" max="10999" width="13.875" style="1" customWidth="1"/>
    <col min="11000" max="11000" width="9.875" style="1" customWidth="1"/>
    <col min="11001" max="11001" width="8.375" style="1" customWidth="1"/>
    <col min="11002" max="11002" width="8.25" style="1" customWidth="1"/>
    <col min="11003" max="11003" width="5.625" style="1" customWidth="1"/>
    <col min="11004" max="11005" width="8.375" style="1" customWidth="1"/>
    <col min="11006" max="11006" width="11.125" style="1" customWidth="1"/>
    <col min="11007" max="11007" width="11.625" style="1" customWidth="1"/>
    <col min="11008" max="11254" width="9" style="1" customWidth="1"/>
    <col min="11255" max="11255" width="13.875" style="1" customWidth="1"/>
    <col min="11256" max="11256" width="9.875" style="1" customWidth="1"/>
    <col min="11257" max="11257" width="8.375" style="1" customWidth="1"/>
    <col min="11258" max="11258" width="8.25" style="1" customWidth="1"/>
    <col min="11259" max="11259" width="5.625" style="1" customWidth="1"/>
    <col min="11260" max="11261" width="8.375" style="1" customWidth="1"/>
    <col min="11262" max="11262" width="11.125" style="1" customWidth="1"/>
    <col min="11263" max="11263" width="11.625" style="1" customWidth="1"/>
    <col min="11264" max="11510" width="9" style="1" customWidth="1"/>
    <col min="11511" max="11511" width="13.875" style="1" customWidth="1"/>
    <col min="11512" max="11512" width="9.875" style="1" customWidth="1"/>
    <col min="11513" max="11513" width="8.375" style="1" customWidth="1"/>
    <col min="11514" max="11514" width="8.25" style="1" customWidth="1"/>
    <col min="11515" max="11515" width="5.625" style="1" customWidth="1"/>
    <col min="11516" max="11517" width="8.375" style="1" customWidth="1"/>
    <col min="11518" max="11518" width="11.125" style="1" customWidth="1"/>
    <col min="11519" max="11519" width="11.625" style="1" customWidth="1"/>
    <col min="11520" max="11766" width="9" style="1" customWidth="1"/>
    <col min="11767" max="11767" width="13.875" style="1" customWidth="1"/>
    <col min="11768" max="11768" width="9.875" style="1" customWidth="1"/>
    <col min="11769" max="11769" width="8.375" style="1" customWidth="1"/>
    <col min="11770" max="11770" width="8.25" style="1" customWidth="1"/>
    <col min="11771" max="11771" width="5.625" style="1" customWidth="1"/>
    <col min="11772" max="11773" width="8.375" style="1" customWidth="1"/>
    <col min="11774" max="11774" width="11.125" style="1" customWidth="1"/>
    <col min="11775" max="11775" width="11.625" style="1" customWidth="1"/>
    <col min="11776" max="12022" width="9" style="1" customWidth="1"/>
    <col min="12023" max="12023" width="13.875" style="1" customWidth="1"/>
    <col min="12024" max="12024" width="9.875" style="1" customWidth="1"/>
    <col min="12025" max="12025" width="8.375" style="1" customWidth="1"/>
    <col min="12026" max="12026" width="8.25" style="1" customWidth="1"/>
    <col min="12027" max="12027" width="5.625" style="1" customWidth="1"/>
    <col min="12028" max="12029" width="8.375" style="1" customWidth="1"/>
    <col min="12030" max="12030" width="11.125" style="1" customWidth="1"/>
    <col min="12031" max="12031" width="11.625" style="1" customWidth="1"/>
    <col min="12032" max="12278" width="9" style="1" customWidth="1"/>
    <col min="12279" max="12279" width="13.875" style="1" customWidth="1"/>
    <col min="12280" max="12280" width="9.875" style="1" customWidth="1"/>
    <col min="12281" max="12281" width="8.375" style="1" customWidth="1"/>
    <col min="12282" max="12282" width="8.25" style="1" customWidth="1"/>
    <col min="12283" max="12283" width="5.625" style="1" customWidth="1"/>
    <col min="12284" max="12285" width="8.375" style="1" customWidth="1"/>
    <col min="12286" max="12286" width="11.125" style="1" customWidth="1"/>
    <col min="12287" max="12287" width="11.625" style="1" customWidth="1"/>
    <col min="12288" max="12534" width="9" style="1" customWidth="1"/>
    <col min="12535" max="12535" width="13.875" style="1" customWidth="1"/>
    <col min="12536" max="12536" width="9.875" style="1" customWidth="1"/>
    <col min="12537" max="12537" width="8.375" style="1" customWidth="1"/>
    <col min="12538" max="12538" width="8.25" style="1" customWidth="1"/>
    <col min="12539" max="12539" width="5.625" style="1" customWidth="1"/>
    <col min="12540" max="12541" width="8.375" style="1" customWidth="1"/>
    <col min="12542" max="12542" width="11.125" style="1" customWidth="1"/>
    <col min="12543" max="12543" width="11.625" style="1" customWidth="1"/>
    <col min="12544" max="12790" width="9" style="1" customWidth="1"/>
    <col min="12791" max="12791" width="13.875" style="1" customWidth="1"/>
    <col min="12792" max="12792" width="9.875" style="1" customWidth="1"/>
    <col min="12793" max="12793" width="8.375" style="1" customWidth="1"/>
    <col min="12794" max="12794" width="8.25" style="1" customWidth="1"/>
    <col min="12795" max="12795" width="5.625" style="1" customWidth="1"/>
    <col min="12796" max="12797" width="8.375" style="1" customWidth="1"/>
    <col min="12798" max="12798" width="11.125" style="1" customWidth="1"/>
    <col min="12799" max="12799" width="11.625" style="1" customWidth="1"/>
    <col min="12800" max="13046" width="9" style="1" customWidth="1"/>
    <col min="13047" max="13047" width="13.875" style="1" customWidth="1"/>
    <col min="13048" max="13048" width="9.875" style="1" customWidth="1"/>
    <col min="13049" max="13049" width="8.375" style="1" customWidth="1"/>
    <col min="13050" max="13050" width="8.25" style="1" customWidth="1"/>
    <col min="13051" max="13051" width="5.625" style="1" customWidth="1"/>
    <col min="13052" max="13053" width="8.375" style="1" customWidth="1"/>
    <col min="13054" max="13054" width="11.125" style="1" customWidth="1"/>
    <col min="13055" max="13055" width="11.625" style="1" customWidth="1"/>
    <col min="13056" max="13302" width="9" style="1" customWidth="1"/>
    <col min="13303" max="13303" width="13.875" style="1" customWidth="1"/>
    <col min="13304" max="13304" width="9.875" style="1" customWidth="1"/>
    <col min="13305" max="13305" width="8.375" style="1" customWidth="1"/>
    <col min="13306" max="13306" width="8.25" style="1" customWidth="1"/>
    <col min="13307" max="13307" width="5.625" style="1" customWidth="1"/>
    <col min="13308" max="13309" width="8.375" style="1" customWidth="1"/>
    <col min="13310" max="13310" width="11.125" style="1" customWidth="1"/>
    <col min="13311" max="13311" width="11.625" style="1" customWidth="1"/>
    <col min="13312" max="13558" width="9" style="1" customWidth="1"/>
    <col min="13559" max="13559" width="13.875" style="1" customWidth="1"/>
    <col min="13560" max="13560" width="9.875" style="1" customWidth="1"/>
    <col min="13561" max="13561" width="8.375" style="1" customWidth="1"/>
    <col min="13562" max="13562" width="8.25" style="1" customWidth="1"/>
    <col min="13563" max="13563" width="5.625" style="1" customWidth="1"/>
    <col min="13564" max="13565" width="8.375" style="1" customWidth="1"/>
    <col min="13566" max="13566" width="11.125" style="1" customWidth="1"/>
    <col min="13567" max="13567" width="11.625" style="1" customWidth="1"/>
    <col min="13568" max="13814" width="9" style="1" customWidth="1"/>
    <col min="13815" max="13815" width="13.875" style="1" customWidth="1"/>
    <col min="13816" max="13816" width="9.875" style="1" customWidth="1"/>
    <col min="13817" max="13817" width="8.375" style="1" customWidth="1"/>
    <col min="13818" max="13818" width="8.25" style="1" customWidth="1"/>
    <col min="13819" max="13819" width="5.625" style="1" customWidth="1"/>
    <col min="13820" max="13821" width="8.375" style="1" customWidth="1"/>
    <col min="13822" max="13822" width="11.125" style="1" customWidth="1"/>
    <col min="13823" max="13823" width="11.625" style="1" customWidth="1"/>
    <col min="13824" max="14070" width="9" style="1" customWidth="1"/>
    <col min="14071" max="14071" width="13.875" style="1" customWidth="1"/>
    <col min="14072" max="14072" width="9.875" style="1" customWidth="1"/>
    <col min="14073" max="14073" width="8.375" style="1" customWidth="1"/>
    <col min="14074" max="14074" width="8.25" style="1" customWidth="1"/>
    <col min="14075" max="14075" width="5.625" style="1" customWidth="1"/>
    <col min="14076" max="14077" width="8.375" style="1" customWidth="1"/>
    <col min="14078" max="14078" width="11.125" style="1" customWidth="1"/>
    <col min="14079" max="14079" width="11.625" style="1" customWidth="1"/>
    <col min="14080" max="14326" width="9" style="1" customWidth="1"/>
    <col min="14327" max="14327" width="13.875" style="1" customWidth="1"/>
    <col min="14328" max="14328" width="9.875" style="1" customWidth="1"/>
    <col min="14329" max="14329" width="8.375" style="1" customWidth="1"/>
    <col min="14330" max="14330" width="8.25" style="1" customWidth="1"/>
    <col min="14331" max="14331" width="5.625" style="1" customWidth="1"/>
    <col min="14332" max="14333" width="8.375" style="1" customWidth="1"/>
    <col min="14334" max="14334" width="11.125" style="1" customWidth="1"/>
    <col min="14335" max="14335" width="11.625" style="1" customWidth="1"/>
    <col min="14336" max="14582" width="9" style="1" customWidth="1"/>
    <col min="14583" max="14583" width="13.875" style="1" customWidth="1"/>
    <col min="14584" max="14584" width="9.875" style="1" customWidth="1"/>
    <col min="14585" max="14585" width="8.375" style="1" customWidth="1"/>
    <col min="14586" max="14586" width="8.25" style="1" customWidth="1"/>
    <col min="14587" max="14587" width="5.625" style="1" customWidth="1"/>
    <col min="14588" max="14589" width="8.375" style="1" customWidth="1"/>
    <col min="14590" max="14590" width="11.125" style="1" customWidth="1"/>
    <col min="14591" max="14591" width="11.625" style="1" customWidth="1"/>
    <col min="14592" max="14838" width="9" style="1" customWidth="1"/>
    <col min="14839" max="14839" width="13.875" style="1" customWidth="1"/>
    <col min="14840" max="14840" width="9.875" style="1" customWidth="1"/>
    <col min="14841" max="14841" width="8.375" style="1" customWidth="1"/>
    <col min="14842" max="14842" width="8.25" style="1" customWidth="1"/>
    <col min="14843" max="14843" width="5.625" style="1" customWidth="1"/>
    <col min="14844" max="14845" width="8.375" style="1" customWidth="1"/>
    <col min="14846" max="14846" width="11.125" style="1" customWidth="1"/>
    <col min="14847" max="14847" width="11.625" style="1" customWidth="1"/>
    <col min="14848" max="15094" width="9" style="1" customWidth="1"/>
    <col min="15095" max="15095" width="13.875" style="1" customWidth="1"/>
    <col min="15096" max="15096" width="9.875" style="1" customWidth="1"/>
    <col min="15097" max="15097" width="8.375" style="1" customWidth="1"/>
    <col min="15098" max="15098" width="8.25" style="1" customWidth="1"/>
    <col min="15099" max="15099" width="5.625" style="1" customWidth="1"/>
    <col min="15100" max="15101" width="8.375" style="1" customWidth="1"/>
    <col min="15102" max="15102" width="11.125" style="1" customWidth="1"/>
    <col min="15103" max="15103" width="11.625" style="1" customWidth="1"/>
    <col min="15104" max="15350" width="9" style="1" customWidth="1"/>
    <col min="15351" max="15351" width="13.875" style="1" customWidth="1"/>
    <col min="15352" max="15352" width="9.875" style="1" customWidth="1"/>
    <col min="15353" max="15353" width="8.375" style="1" customWidth="1"/>
    <col min="15354" max="15354" width="8.25" style="1" customWidth="1"/>
    <col min="15355" max="15355" width="5.625" style="1" customWidth="1"/>
    <col min="15356" max="15357" width="8.375" style="1" customWidth="1"/>
    <col min="15358" max="15358" width="11.125" style="1" customWidth="1"/>
    <col min="15359" max="15359" width="11.625" style="1" customWidth="1"/>
    <col min="15360" max="15606" width="9" style="1" customWidth="1"/>
    <col min="15607" max="15607" width="13.875" style="1" customWidth="1"/>
    <col min="15608" max="15608" width="9.875" style="1" customWidth="1"/>
    <col min="15609" max="15609" width="8.375" style="1" customWidth="1"/>
    <col min="15610" max="15610" width="8.25" style="1" customWidth="1"/>
    <col min="15611" max="15611" width="5.625" style="1" customWidth="1"/>
    <col min="15612" max="15613" width="8.375" style="1" customWidth="1"/>
    <col min="15614" max="15614" width="11.125" style="1" customWidth="1"/>
    <col min="15615" max="15615" width="11.625" style="1" customWidth="1"/>
    <col min="15616" max="15862" width="9" style="1" customWidth="1"/>
    <col min="15863" max="15863" width="13.875" style="1" customWidth="1"/>
    <col min="15864" max="15864" width="9.875" style="1" customWidth="1"/>
    <col min="15865" max="15865" width="8.375" style="1" customWidth="1"/>
    <col min="15866" max="15866" width="8.25" style="1" customWidth="1"/>
    <col min="15867" max="15867" width="5.625" style="1" customWidth="1"/>
    <col min="15868" max="15869" width="8.375" style="1" customWidth="1"/>
    <col min="15870" max="15870" width="11.125" style="1" customWidth="1"/>
    <col min="15871" max="15871" width="11.625" style="1" customWidth="1"/>
    <col min="15872" max="16118" width="9" style="1" customWidth="1"/>
    <col min="16119" max="16119" width="13.875" style="1" customWidth="1"/>
    <col min="16120" max="16120" width="9.875" style="1" customWidth="1"/>
    <col min="16121" max="16121" width="8.375" style="1" customWidth="1"/>
    <col min="16122" max="16122" width="8.25" style="1" customWidth="1"/>
    <col min="16123" max="16123" width="5.625" style="1" customWidth="1"/>
    <col min="16124" max="16125" width="8.375" style="1" customWidth="1"/>
    <col min="16126" max="16126" width="11.125" style="1" customWidth="1"/>
    <col min="16127" max="16127" width="11.625" style="1" customWidth="1"/>
    <col min="16128" max="16384" width="9" style="1" customWidth="1"/>
  </cols>
  <sheetData>
    <row r="1" ht="27.95" customHeight="1" spans="1:9" s="3" customFormat="1" x14ac:dyDescent="0.25">
      <c r="A1" s="390" t="s">
        <v>24</v>
      </c>
      <c r="B1" s="390"/>
      <c r="C1" s="390"/>
      <c r="D1" s="390"/>
      <c r="E1" s="390"/>
      <c r="F1" s="390"/>
      <c r="G1" s="390"/>
      <c r="H1" s="390"/>
      <c r="I1" s="390"/>
    </row>
    <row r="2" ht="18" customHeight="1" spans="1:9" s="3" customFormat="1" x14ac:dyDescent="0.25">
      <c r="A2" s="338" t="s">
        <v>25</v>
      </c>
      <c r="B2" s="338"/>
      <c r="C2" s="338"/>
      <c r="D2" s="338"/>
      <c r="E2" s="338"/>
      <c r="F2" s="338"/>
      <c r="G2" s="338"/>
      <c r="H2" s="338"/>
      <c r="I2" s="338"/>
    </row>
    <row r="3" ht="11.25" customHeight="1" s="3" customFormat="1" x14ac:dyDescent="0.25"/>
    <row r="4" ht="24.95" customHeight="1" spans="1:9" s="3" customFormat="1" x14ac:dyDescent="0.25">
      <c r="A4" s="185" t="s">
        <v>134</v>
      </c>
      <c r="B4" s="185"/>
      <c r="C4" s="185"/>
      <c r="D4" s="185"/>
      <c r="E4" s="185"/>
      <c r="F4" s="185"/>
      <c r="G4" s="185"/>
      <c r="H4" s="185"/>
      <c r="I4" s="185"/>
    </row>
    <row r="5" spans="1:9" s="3" customFormat="1" x14ac:dyDescent="0.25">
      <c r="A5" s="8" t="s">
        <v>135</v>
      </c>
      <c r="B5" s="8"/>
      <c r="C5" s="8"/>
      <c r="D5" s="8"/>
      <c r="E5" s="8"/>
      <c r="F5" s="8"/>
      <c r="G5" s="8"/>
      <c r="H5" s="8"/>
      <c r="I5" s="8"/>
    </row>
    <row r="6" ht="14.25" customHeight="1" spans="1:9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136</v>
      </c>
    </row>
    <row r="7" ht="22.5" customHeight="1" spans="1:9" s="3" customFormat="1" x14ac:dyDescent="0.25">
      <c r="A7" s="3" t="s">
        <v>137</v>
      </c>
      <c r="D7" s="3" t="s">
        <v>4</v>
      </c>
      <c r="E7" s="8" t="str">
        <f>'OS-IN'!H6</f>
        <v>2611E</v>
      </c>
      <c r="F7" s="8"/>
      <c r="G7" s="13" t="s">
        <v>5</v>
      </c>
      <c r="H7" s="187">
        <f>'OS-IN'!L6</f>
        <v>46219</v>
      </c>
      <c r="I7" s="8"/>
    </row>
    <row r="8" ht="22.5" customHeight="1" spans="1:9" s="3" customFormat="1" x14ac:dyDescent="0.25">
      <c r="A8" s="3" t="s">
        <v>138</v>
      </c>
      <c r="D8" s="391" t="s">
        <v>7</v>
      </c>
      <c r="E8" s="8">
        <f>'Final Work'!작업선석</f>
        <v>8</v>
      </c>
      <c r="F8" s="8"/>
      <c r="G8" s="13" t="s">
        <v>8</v>
      </c>
      <c r="H8" s="12" t="s">
        <v>139</v>
      </c>
      <c r="I8" s="12"/>
    </row>
    <row r="9" ht="9" customHeight="1" s="3" customFormat="1" x14ac:dyDescent="0.25"/>
    <row r="10" ht="18" customHeight="1" spans="1:9" s="113" customFormat="1" x14ac:dyDescent="0.25">
      <c r="A10" s="360" t="s">
        <v>140</v>
      </c>
      <c r="B10" s="392" t="s">
        <v>126</v>
      </c>
      <c r="C10" s="360" t="s">
        <v>122</v>
      </c>
      <c r="D10" s="276" t="s">
        <v>141</v>
      </c>
      <c r="E10" s="167"/>
      <c r="F10" s="279" t="s">
        <v>142</v>
      </c>
      <c r="G10" s="276"/>
      <c r="H10" s="279" t="s">
        <v>143</v>
      </c>
      <c r="I10" s="360" t="s">
        <v>50</v>
      </c>
    </row>
    <row r="11" ht="18" customHeight="1" spans="1:9" s="113" customFormat="1" x14ac:dyDescent="0.25">
      <c r="A11" s="32"/>
      <c r="B11" s="95"/>
      <c r="C11" s="32"/>
      <c r="D11" s="393" t="s">
        <v>144</v>
      </c>
      <c r="E11" s="394"/>
      <c r="F11" s="395" t="s">
        <v>145</v>
      </c>
      <c r="G11" s="393" t="s">
        <v>146</v>
      </c>
      <c r="H11" s="396" t="s">
        <v>147</v>
      </c>
      <c r="I11" s="32"/>
    </row>
    <row r="12" ht="18" customHeight="1" spans="1:9" s="40" customFormat="1" x14ac:dyDescent="0.25">
      <c r="A12" s="51"/>
      <c r="B12" s="397"/>
      <c r="C12" s="397"/>
      <c r="D12" s="51"/>
      <c r="E12" s="40"/>
      <c r="F12" s="398"/>
      <c r="G12" s="398"/>
      <c r="H12" s="399"/>
      <c r="I12" s="51"/>
    </row>
    <row r="13" ht="18" customHeight="1" spans="1:9" s="40" customFormat="1" x14ac:dyDescent="0.25">
      <c r="A13" s="279"/>
      <c r="B13" s="400"/>
      <c r="C13" s="400"/>
      <c r="D13" s="279"/>
      <c r="E13" s="40"/>
      <c r="F13" s="401"/>
      <c r="G13" s="401"/>
      <c r="H13" s="402"/>
      <c r="I13" s="279"/>
    </row>
    <row r="14" ht="18" customHeight="1" spans="1:9" s="40" customFormat="1" x14ac:dyDescent="0.25">
      <c r="A14" s="279"/>
      <c r="B14" s="400"/>
      <c r="C14" s="400"/>
      <c r="D14" s="279"/>
      <c r="E14" s="40"/>
      <c r="F14" s="401"/>
      <c r="G14" s="401"/>
      <c r="H14" s="402"/>
      <c r="I14" s="279"/>
    </row>
    <row r="15" ht="18" customHeight="1" spans="1:9" s="40" customFormat="1" x14ac:dyDescent="0.25">
      <c r="A15" s="279"/>
      <c r="B15" s="400"/>
      <c r="C15" s="400"/>
      <c r="D15" s="279"/>
      <c r="E15" s="40"/>
      <c r="F15" s="401"/>
      <c r="G15" s="401"/>
      <c r="H15" s="402"/>
      <c r="I15" s="279"/>
    </row>
    <row r="16" ht="18" customHeight="1" spans="1:9" s="40" customFormat="1" x14ac:dyDescent="0.25">
      <c r="A16" s="403"/>
      <c r="B16" s="404"/>
      <c r="C16" s="404"/>
      <c r="D16" s="403"/>
      <c r="E16" s="40"/>
      <c r="F16" s="405"/>
      <c r="G16" s="406"/>
      <c r="H16" s="407"/>
      <c r="I16" s="403"/>
    </row>
    <row r="17" ht="18" customHeight="1" spans="1:9" s="40" customFormat="1" x14ac:dyDescent="0.25">
      <c r="A17" s="51"/>
      <c r="B17" s="397"/>
      <c r="C17" s="397"/>
      <c r="D17" s="51"/>
      <c r="E17" s="40"/>
      <c r="F17" s="398"/>
      <c r="G17" s="408"/>
      <c r="H17" s="399"/>
      <c r="I17" s="51"/>
    </row>
    <row r="18" ht="18" customHeight="1" spans="1:9" s="40" customFormat="1" x14ac:dyDescent="0.25">
      <c r="A18" s="279"/>
      <c r="B18" s="409"/>
      <c r="C18" s="400"/>
      <c r="D18" s="279"/>
      <c r="E18" s="40"/>
      <c r="F18" s="401"/>
      <c r="G18" s="410"/>
      <c r="H18" s="402"/>
      <c r="I18" s="279"/>
    </row>
    <row r="19" ht="18" customHeight="1" spans="1:9" s="40" customFormat="1" x14ac:dyDescent="0.25">
      <c r="A19" s="279"/>
      <c r="B19" s="409"/>
      <c r="C19" s="400"/>
      <c r="D19" s="279"/>
      <c r="E19" s="40"/>
      <c r="F19" s="411"/>
      <c r="G19" s="411"/>
      <c r="H19" s="402"/>
      <c r="I19" s="279"/>
    </row>
    <row r="20" ht="18" customHeight="1" spans="1:9" s="40" customFormat="1" x14ac:dyDescent="0.25">
      <c r="A20" s="279"/>
      <c r="B20" s="409"/>
      <c r="C20" s="400"/>
      <c r="D20" s="279"/>
      <c r="E20" s="40"/>
      <c r="F20" s="411"/>
      <c r="G20" s="411"/>
      <c r="H20" s="402"/>
      <c r="I20" s="279"/>
    </row>
    <row r="21" ht="18" customHeight="1" spans="1:9" s="40" customFormat="1" x14ac:dyDescent="0.25">
      <c r="A21" s="403"/>
      <c r="B21" s="412"/>
      <c r="C21" s="404"/>
      <c r="D21" s="403"/>
      <c r="E21" s="40"/>
      <c r="F21" s="413"/>
      <c r="G21" s="413"/>
      <c r="H21" s="407"/>
      <c r="I21" s="414"/>
    </row>
    <row r="22" ht="18" customHeight="1" spans="1:9" s="40" customFormat="1" x14ac:dyDescent="0.25">
      <c r="A22" s="415"/>
      <c r="B22" s="416"/>
      <c r="C22" s="417"/>
      <c r="D22" s="418"/>
      <c r="E22" s="40"/>
      <c r="F22" s="419"/>
      <c r="G22" s="419"/>
      <c r="H22" s="420"/>
      <c r="I22" s="415"/>
    </row>
    <row r="23" ht="18" customHeight="1" spans="1:9" s="40" customFormat="1" x14ac:dyDescent="0.25">
      <c r="A23" s="421"/>
      <c r="B23" s="422"/>
      <c r="C23" s="423"/>
      <c r="D23" s="424"/>
      <c r="E23" s="40"/>
      <c r="F23" s="425"/>
      <c r="G23" s="425"/>
      <c r="H23" s="426"/>
      <c r="I23" s="427"/>
    </row>
    <row r="24" ht="18" customHeight="1" spans="1:9" s="40" customFormat="1" x14ac:dyDescent="0.25">
      <c r="A24" s="428"/>
      <c r="B24" s="422"/>
      <c r="C24" s="422"/>
      <c r="D24" s="424"/>
      <c r="E24" s="40"/>
      <c r="F24" s="429"/>
      <c r="G24" s="429"/>
      <c r="H24" s="426"/>
      <c r="I24" s="427"/>
    </row>
    <row r="25" ht="18" customHeight="1" spans="1:9" s="40" customFormat="1" x14ac:dyDescent="0.25">
      <c r="A25" s="418"/>
      <c r="B25" s="417"/>
      <c r="C25" s="417"/>
      <c r="D25" s="418"/>
      <c r="E25" s="40"/>
      <c r="F25" s="418"/>
      <c r="G25" s="430"/>
      <c r="H25" s="420"/>
      <c r="I25" s="415"/>
    </row>
    <row r="26" ht="18" customHeight="1" spans="1:9" s="40" customFormat="1" x14ac:dyDescent="0.25">
      <c r="A26" s="431"/>
      <c r="B26" s="432"/>
      <c r="C26" s="433"/>
      <c r="D26" s="431"/>
      <c r="E26" s="40"/>
      <c r="F26" s="431"/>
      <c r="G26" s="434"/>
      <c r="H26" s="435"/>
      <c r="I26" s="436"/>
    </row>
    <row r="27" ht="18" customHeight="1" spans="1:9" s="40" customFormat="1" x14ac:dyDescent="0.25">
      <c r="A27" s="415"/>
      <c r="B27" s="416"/>
      <c r="C27" s="416"/>
      <c r="D27" s="418"/>
      <c r="E27" s="40"/>
      <c r="F27" s="437"/>
      <c r="G27" s="437"/>
      <c r="H27" s="420"/>
      <c r="I27" s="438"/>
    </row>
    <row r="28" ht="18" customHeight="1" spans="1:9" s="40" customFormat="1" x14ac:dyDescent="0.25">
      <c r="A28" s="421"/>
      <c r="B28" s="422"/>
      <c r="C28" s="422"/>
      <c r="D28" s="424"/>
      <c r="E28" s="40"/>
      <c r="F28" s="429"/>
      <c r="G28" s="429"/>
      <c r="H28" s="426"/>
      <c r="I28" s="427"/>
    </row>
    <row r="29" ht="18" customHeight="1" spans="1:9" s="40" customFormat="1" x14ac:dyDescent="0.25">
      <c r="A29" s="428"/>
      <c r="B29" s="422"/>
      <c r="C29" s="422"/>
      <c r="D29" s="424"/>
      <c r="E29" s="40"/>
      <c r="F29" s="429"/>
      <c r="G29" s="429"/>
      <c r="H29" s="426"/>
      <c r="I29" s="427"/>
    </row>
    <row r="30" ht="18" customHeight="1" spans="1:9" s="40" customFormat="1" x14ac:dyDescent="0.25">
      <c r="A30" s="439"/>
      <c r="B30" s="416"/>
      <c r="C30" s="416"/>
      <c r="D30" s="418"/>
      <c r="E30" s="40"/>
      <c r="F30" s="437"/>
      <c r="G30" s="437"/>
      <c r="H30" s="420"/>
      <c r="I30" s="438"/>
    </row>
    <row r="31" ht="18" customHeight="1" spans="1:9" s="40" customFormat="1" x14ac:dyDescent="0.25">
      <c r="A31" s="440"/>
      <c r="B31" s="432"/>
      <c r="C31" s="432"/>
      <c r="D31" s="431"/>
      <c r="E31" s="40"/>
      <c r="F31" s="441"/>
      <c r="G31" s="441"/>
      <c r="H31" s="442"/>
      <c r="I31" s="443"/>
    </row>
    <row r="32" ht="18" customHeight="1" spans="1:9" s="40" customFormat="1" x14ac:dyDescent="0.25">
      <c r="A32" s="439"/>
      <c r="B32" s="416"/>
      <c r="C32" s="416"/>
      <c r="D32" s="418"/>
      <c r="E32" s="40"/>
      <c r="F32" s="419"/>
      <c r="G32" s="419"/>
      <c r="H32" s="444"/>
      <c r="I32" s="438"/>
    </row>
    <row r="33" ht="18" customHeight="1" spans="1:9" s="40" customFormat="1" x14ac:dyDescent="0.25">
      <c r="A33" s="428"/>
      <c r="B33" s="422"/>
      <c r="C33" s="422"/>
      <c r="D33" s="424"/>
      <c r="E33" s="40"/>
      <c r="F33" s="425"/>
      <c r="G33" s="425"/>
      <c r="H33" s="426"/>
      <c r="I33" s="427"/>
    </row>
    <row r="34" ht="18" customHeight="1" spans="1:9" s="40" customFormat="1" x14ac:dyDescent="0.25">
      <c r="A34" s="428"/>
      <c r="B34" s="422"/>
      <c r="C34" s="422"/>
      <c r="D34" s="424"/>
      <c r="E34" s="40"/>
      <c r="F34" s="425"/>
      <c r="G34" s="425"/>
      <c r="H34" s="426"/>
      <c r="I34" s="427"/>
    </row>
    <row r="35" ht="18" customHeight="1" spans="1:9" s="40" customFormat="1" x14ac:dyDescent="0.25">
      <c r="A35" s="428"/>
      <c r="B35" s="422"/>
      <c r="C35" s="422"/>
      <c r="D35" s="424"/>
      <c r="E35" s="40"/>
      <c r="F35" s="429"/>
      <c r="G35" s="429"/>
      <c r="H35" s="426"/>
      <c r="I35" s="427"/>
    </row>
    <row r="36" ht="18" customHeight="1" spans="1:9" s="40" customFormat="1" x14ac:dyDescent="0.25">
      <c r="A36" s="428"/>
      <c r="B36" s="422"/>
      <c r="C36" s="422"/>
      <c r="D36" s="424"/>
      <c r="E36" s="40"/>
      <c r="F36" s="429"/>
      <c r="G36" s="429"/>
      <c r="H36" s="426"/>
      <c r="I36" s="427"/>
    </row>
    <row r="37" ht="6.95" customHeight="1" spans="1:9" s="3" customForma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ht="14.1" customHeight="1" spans="1:9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ht="14.1" customHeight="1" spans="1:9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ht="14.1" customHeight="1" spans="1:9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</row>
    <row r="41" ht="14.1" customHeight="1" spans="1:9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</row>
    <row r="42" ht="14.1" customHeight="1" spans="1:9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</row>
    <row r="43" ht="14.1" customHeight="1" spans="1:9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</row>
    <row r="44" ht="14.1" customHeight="1" spans="1:9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</row>
    <row r="45" ht="14.1" customHeight="1" spans="1:9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</row>
    <row r="46" ht="14.1" customHeight="1" spans="1:9" s="3" customForma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ht="14.1" customHeight="1" spans="1:1" s="3" customFormat="1" x14ac:dyDescent="0.25">
      <c r="A47" s="3"/>
    </row>
    <row r="48" ht="14.1" customHeight="1" spans="1:9" s="40" customFormat="1" x14ac:dyDescent="0.25">
      <c r="A48" s="138" t="s">
        <v>22</v>
      </c>
      <c r="B48" s="138"/>
      <c r="D48" s="138" t="s">
        <v>148</v>
      </c>
      <c r="E48" s="138"/>
      <c r="F48" s="138"/>
      <c r="H48" s="138" t="s">
        <v>23</v>
      </c>
      <c r="I48" s="138"/>
    </row>
    <row r="49" ht="27.95" customHeight="1" spans="1:9" s="3" customFormat="1" x14ac:dyDescent="0.25">
      <c r="A49" s="390" t="s">
        <v>24</v>
      </c>
      <c r="B49" s="390"/>
      <c r="C49" s="390"/>
      <c r="D49" s="390"/>
      <c r="E49" s="390"/>
      <c r="F49" s="390"/>
      <c r="G49" s="390"/>
      <c r="H49" s="390"/>
      <c r="I49" s="390"/>
    </row>
    <row r="50" ht="18" customHeight="1" spans="1:9" s="3" customFormat="1" x14ac:dyDescent="0.25">
      <c r="A50" s="338" t="s">
        <v>25</v>
      </c>
      <c r="B50" s="338"/>
      <c r="C50" s="338"/>
      <c r="D50" s="338"/>
      <c r="E50" s="338"/>
      <c r="F50" s="338"/>
      <c r="G50" s="338"/>
      <c r="H50" s="338"/>
      <c r="I50" s="338"/>
    </row>
    <row r="51" ht="11.25" customHeight="1" s="3" customFormat="1" x14ac:dyDescent="0.25"/>
    <row r="52" ht="24.95" customHeight="1" spans="1:9" x14ac:dyDescent="0.25">
      <c r="A52" s="185" t="s">
        <v>134</v>
      </c>
      <c r="B52" s="185"/>
      <c r="C52" s="185"/>
      <c r="D52" s="185"/>
      <c r="E52" s="185"/>
      <c r="F52" s="185"/>
      <c r="G52" s="185"/>
      <c r="H52" s="185"/>
      <c r="I52" s="185"/>
    </row>
    <row r="53" spans="1:9" x14ac:dyDescent="0.25">
      <c r="A53" s="8" t="s">
        <v>135</v>
      </c>
      <c r="B53" s="8"/>
      <c r="C53" s="8"/>
      <c r="D53" s="8"/>
      <c r="E53" s="8"/>
      <c r="F53" s="8"/>
      <c r="G53" s="8"/>
      <c r="H53" s="8"/>
      <c r="I53" s="8"/>
    </row>
    <row r="54" ht="14.25" customHeight="1" spans="1:9" x14ac:dyDescent="0.25">
      <c r="A54" s="8"/>
      <c r="B54" s="8"/>
      <c r="C54" s="8"/>
      <c r="D54" s="8"/>
      <c r="E54" s="8"/>
      <c r="F54" s="8"/>
      <c r="G54" s="8"/>
      <c r="H54" s="8"/>
      <c r="I54" s="13" t="s">
        <v>136</v>
      </c>
    </row>
    <row r="55" ht="22.5" customHeight="1" spans="1:9" x14ac:dyDescent="0.25">
      <c r="A55" s="3" t="str">
        <f>모선이름</f>
        <v>M / V : YOKOHAMA TRADER</v>
      </c>
      <c r="B55" s="3"/>
      <c r="C55" s="3"/>
      <c r="D55" s="3" t="s">
        <v>4</v>
      </c>
      <c r="E55" s="8" t="str">
        <f>'OS-OUT'!H6</f>
        <v>2612W</v>
      </c>
      <c r="F55" s="8"/>
      <c r="G55" s="13" t="s">
        <v>5</v>
      </c>
      <c r="H55" s="187">
        <f>'Final Work'!L4</f>
        <v>46219</v>
      </c>
      <c r="I55" s="8"/>
    </row>
    <row r="56" ht="22.5" customHeight="1" spans="1:9" x14ac:dyDescent="0.25">
      <c r="A56" s="3" t="s">
        <v>138</v>
      </c>
      <c r="B56" s="3"/>
      <c r="C56" s="3"/>
      <c r="D56" s="391" t="s">
        <v>7</v>
      </c>
      <c r="E56" s="8">
        <f>'Final Work'!작업선석</f>
        <v>8</v>
      </c>
      <c r="F56" s="8"/>
      <c r="G56" s="13" t="s">
        <v>8</v>
      </c>
      <c r="H56" s="12" t="s">
        <v>139</v>
      </c>
      <c r="I56" s="12"/>
    </row>
    <row r="57" ht="9" customHeight="1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ht="18" customHeight="1" spans="1:9" x14ac:dyDescent="0.25">
      <c r="A58" s="360" t="s">
        <v>140</v>
      </c>
      <c r="B58" s="360" t="s">
        <v>126</v>
      </c>
      <c r="C58" s="360" t="s">
        <v>122</v>
      </c>
      <c r="D58" s="276" t="s">
        <v>141</v>
      </c>
      <c r="E58" s="167"/>
      <c r="F58" s="276" t="s">
        <v>142</v>
      </c>
      <c r="G58" s="167"/>
      <c r="H58" s="279" t="s">
        <v>143</v>
      </c>
      <c r="I58" s="360" t="s">
        <v>50</v>
      </c>
    </row>
    <row r="59" ht="18" customHeight="1" spans="1:9" x14ac:dyDescent="0.25">
      <c r="A59" s="32"/>
      <c r="B59" s="32"/>
      <c r="C59" s="32"/>
      <c r="D59" s="393" t="s">
        <v>144</v>
      </c>
      <c r="E59" s="394"/>
      <c r="F59" s="395" t="s">
        <v>145</v>
      </c>
      <c r="G59" s="393" t="s">
        <v>146</v>
      </c>
      <c r="H59" s="396" t="s">
        <v>147</v>
      </c>
      <c r="I59" s="32"/>
    </row>
    <row r="60" ht="18" customHeight="1" spans="1:9" x14ac:dyDescent="0.25">
      <c r="A60" s="445" t="s">
        <v>149</v>
      </c>
      <c r="B60" s="446"/>
      <c r="C60" s="397" t="s">
        <v>150</v>
      </c>
      <c r="D60" s="51"/>
      <c r="E60" s="51"/>
      <c r="F60" s="447">
        <v>-18</v>
      </c>
      <c r="G60" s="447">
        <v>-15.3</v>
      </c>
      <c r="H60" s="399" t="s">
        <v>151</v>
      </c>
      <c r="I60" s="448" t="s">
        <v>152</v>
      </c>
    </row>
    <row r="61" ht="18" customHeight="1" spans="1:9" x14ac:dyDescent="0.25">
      <c r="A61" s="449" t="s">
        <v>153</v>
      </c>
      <c r="B61" s="450"/>
      <c r="C61" s="400" t="s">
        <v>150</v>
      </c>
      <c r="D61" s="279"/>
      <c r="E61" s="279"/>
      <c r="F61" s="411">
        <v>-18</v>
      </c>
      <c r="G61" s="411">
        <v>-15.5</v>
      </c>
      <c r="H61" s="402" t="s">
        <v>154</v>
      </c>
      <c r="I61" s="451" t="s">
        <v>152</v>
      </c>
    </row>
    <row r="62" ht="18" customHeight="1" spans="1:9" x14ac:dyDescent="0.25">
      <c r="A62" s="452" t="s">
        <v>155</v>
      </c>
      <c r="B62" s="450"/>
      <c r="C62" s="400" t="s">
        <v>150</v>
      </c>
      <c r="D62" s="279"/>
      <c r="E62" s="279"/>
      <c r="F62" s="411">
        <v>-18</v>
      </c>
      <c r="G62" s="411">
        <v>-15.4</v>
      </c>
      <c r="H62" s="402" t="s">
        <v>154</v>
      </c>
      <c r="I62" s="451" t="s">
        <v>156</v>
      </c>
    </row>
    <row r="63" ht="18" customHeight="1" spans="1:9" x14ac:dyDescent="0.25">
      <c r="A63" s="452" t="s">
        <v>157</v>
      </c>
      <c r="B63" s="450"/>
      <c r="C63" s="400" t="s">
        <v>150</v>
      </c>
      <c r="D63" s="279"/>
      <c r="E63" s="279"/>
      <c r="F63" s="411">
        <v>-18</v>
      </c>
      <c r="G63" s="411">
        <v>-16.3</v>
      </c>
      <c r="H63" s="402" t="s">
        <v>154</v>
      </c>
      <c r="I63" s="451" t="s">
        <v>156</v>
      </c>
    </row>
    <row r="64" ht="18" customHeight="1" spans="1:9" x14ac:dyDescent="0.25">
      <c r="A64" s="453" t="s">
        <v>158</v>
      </c>
      <c r="B64" s="454"/>
      <c r="C64" s="454" t="s">
        <v>150</v>
      </c>
      <c r="D64" s="403"/>
      <c r="E64" s="403"/>
      <c r="F64" s="413">
        <v>-18</v>
      </c>
      <c r="G64" s="413">
        <v>-18</v>
      </c>
      <c r="H64" s="407" t="s">
        <v>154</v>
      </c>
      <c r="I64" s="455" t="s">
        <v>156</v>
      </c>
    </row>
    <row r="65" ht="18" customHeight="1" spans="1:9" x14ac:dyDescent="0.25">
      <c r="A65" s="456" t="s">
        <v>159</v>
      </c>
      <c r="B65" s="446"/>
      <c r="C65" s="446" t="s">
        <v>150</v>
      </c>
      <c r="D65" s="51"/>
      <c r="E65" s="51"/>
      <c r="F65" s="457">
        <v>-18</v>
      </c>
      <c r="G65" s="458">
        <v>-17.8</v>
      </c>
      <c r="H65" s="399" t="s">
        <v>154</v>
      </c>
      <c r="I65" s="448" t="s">
        <v>156</v>
      </c>
    </row>
    <row r="66" ht="18" customHeight="1" spans="1:9" x14ac:dyDescent="0.25">
      <c r="A66" s="452" t="s">
        <v>160</v>
      </c>
      <c r="B66" s="409"/>
      <c r="C66" s="400" t="s">
        <v>150</v>
      </c>
      <c r="D66" s="279"/>
      <c r="E66" s="279"/>
      <c r="F66" s="411">
        <v>-18</v>
      </c>
      <c r="G66" s="410">
        <v>-18.6</v>
      </c>
      <c r="H66" s="402" t="s">
        <v>154</v>
      </c>
      <c r="I66" s="451" t="s">
        <v>156</v>
      </c>
    </row>
    <row r="67" ht="18" customHeight="1" spans="1:9" x14ac:dyDescent="0.25">
      <c r="A67" s="452" t="s">
        <v>161</v>
      </c>
      <c r="B67" s="409"/>
      <c r="C67" s="400" t="s">
        <v>150</v>
      </c>
      <c r="D67" s="279"/>
      <c r="E67" s="279"/>
      <c r="F67" s="411">
        <v>-18</v>
      </c>
      <c r="G67" s="411">
        <v>-19</v>
      </c>
      <c r="H67" s="402" t="s">
        <v>154</v>
      </c>
      <c r="I67" s="451" t="s">
        <v>156</v>
      </c>
    </row>
    <row r="68" ht="18" customHeight="1" spans="1:9" x14ac:dyDescent="0.25">
      <c r="A68" s="452" t="s">
        <v>162</v>
      </c>
      <c r="B68" s="409"/>
      <c r="C68" s="400" t="s">
        <v>150</v>
      </c>
      <c r="D68" s="279"/>
      <c r="E68" s="279"/>
      <c r="F68" s="411">
        <v>-18</v>
      </c>
      <c r="G68" s="411">
        <v>-17.4</v>
      </c>
      <c r="H68" s="402" t="s">
        <v>154</v>
      </c>
      <c r="I68" s="451" t="s">
        <v>156</v>
      </c>
    </row>
    <row r="69" ht="18" customHeight="1" spans="1:9" x14ac:dyDescent="0.25">
      <c r="A69" s="453" t="s">
        <v>163</v>
      </c>
      <c r="B69" s="412"/>
      <c r="C69" s="404" t="s">
        <v>150</v>
      </c>
      <c r="D69" s="403"/>
      <c r="E69" s="403"/>
      <c r="F69" s="413">
        <v>-18</v>
      </c>
      <c r="G69" s="413">
        <v>-18.6</v>
      </c>
      <c r="H69" s="407" t="s">
        <v>154</v>
      </c>
      <c r="I69" s="455" t="s">
        <v>156</v>
      </c>
    </row>
    <row r="70" ht="18" customHeight="1" spans="1:9" x14ac:dyDescent="0.25">
      <c r="A70" s="456" t="s">
        <v>164</v>
      </c>
      <c r="B70" s="459"/>
      <c r="C70" s="446" t="s">
        <v>150</v>
      </c>
      <c r="D70" s="51"/>
      <c r="E70" s="51"/>
      <c r="F70" s="457">
        <v>-18</v>
      </c>
      <c r="G70" s="458">
        <v>-17.7</v>
      </c>
      <c r="H70" s="399" t="s">
        <v>154</v>
      </c>
      <c r="I70" s="448" t="s">
        <v>156</v>
      </c>
    </row>
    <row r="71" ht="18" customHeight="1" spans="1:9" x14ac:dyDescent="0.25">
      <c r="A71" s="452" t="s">
        <v>165</v>
      </c>
      <c r="B71" s="409"/>
      <c r="C71" s="400" t="s">
        <v>150</v>
      </c>
      <c r="D71" s="279"/>
      <c r="E71" s="279"/>
      <c r="F71" s="411">
        <v>-18</v>
      </c>
      <c r="G71" s="410">
        <v>-15</v>
      </c>
      <c r="H71" s="402" t="s">
        <v>154</v>
      </c>
      <c r="I71" s="451" t="s">
        <v>156</v>
      </c>
    </row>
    <row r="72" ht="18" customHeight="1" spans="1:9" x14ac:dyDescent="0.25">
      <c r="A72" s="452" t="s">
        <v>166</v>
      </c>
      <c r="B72" s="409"/>
      <c r="C72" s="400" t="s">
        <v>150</v>
      </c>
      <c r="D72" s="279"/>
      <c r="E72" s="279"/>
      <c r="F72" s="411">
        <v>-18</v>
      </c>
      <c r="G72" s="411">
        <v>-18.6</v>
      </c>
      <c r="H72" s="402" t="s">
        <v>154</v>
      </c>
      <c r="I72" s="451" t="s">
        <v>156</v>
      </c>
    </row>
    <row r="73" ht="18" customHeight="1" spans="1:9" x14ac:dyDescent="0.25">
      <c r="A73" s="452" t="s">
        <v>167</v>
      </c>
      <c r="B73" s="409"/>
      <c r="C73" s="400" t="s">
        <v>150</v>
      </c>
      <c r="D73" s="279"/>
      <c r="E73" s="279"/>
      <c r="F73" s="411">
        <v>-18</v>
      </c>
      <c r="G73" s="411">
        <v>-17.7</v>
      </c>
      <c r="H73" s="402" t="s">
        <v>154</v>
      </c>
      <c r="I73" s="451" t="s">
        <v>156</v>
      </c>
    </row>
    <row r="74" ht="18" customHeight="1" spans="1:9" x14ac:dyDescent="0.25">
      <c r="A74" s="460" t="s">
        <v>168</v>
      </c>
      <c r="B74" s="412"/>
      <c r="C74" s="404" t="s">
        <v>150</v>
      </c>
      <c r="D74" s="403"/>
      <c r="E74" s="403"/>
      <c r="F74" s="413">
        <v>-18</v>
      </c>
      <c r="G74" s="413">
        <v>-15.5</v>
      </c>
      <c r="H74" s="407" t="s">
        <v>154</v>
      </c>
      <c r="I74" s="455" t="s">
        <v>152</v>
      </c>
    </row>
    <row r="75" ht="18" customHeight="1" hidden="1" spans="1:9" x14ac:dyDescent="0.25">
      <c r="A75" s="461"/>
      <c r="B75" s="416"/>
      <c r="C75" s="416"/>
      <c r="D75" s="418"/>
      <c r="E75" s="418"/>
      <c r="F75" s="437"/>
      <c r="G75" s="419"/>
      <c r="H75" s="420"/>
      <c r="I75" s="462"/>
    </row>
    <row r="76" ht="18" customHeight="1" hidden="1" spans="1:9" x14ac:dyDescent="0.25">
      <c r="A76" s="463"/>
      <c r="B76" s="422"/>
      <c r="C76" s="422"/>
      <c r="D76" s="424"/>
      <c r="E76" s="424"/>
      <c r="F76" s="429"/>
      <c r="G76" s="425"/>
      <c r="H76" s="426"/>
      <c r="I76" s="464"/>
    </row>
    <row r="77" ht="18" customHeight="1" hidden="1" spans="1:9" x14ac:dyDescent="0.25">
      <c r="A77" s="463"/>
      <c r="B77" s="422"/>
      <c r="C77" s="422"/>
      <c r="D77" s="424"/>
      <c r="E77" s="424"/>
      <c r="F77" s="429"/>
      <c r="G77" s="429"/>
      <c r="H77" s="426"/>
      <c r="I77" s="464"/>
    </row>
    <row r="78" ht="18" customHeight="1" hidden="1" spans="1:9" x14ac:dyDescent="0.25">
      <c r="A78" s="463"/>
      <c r="B78" s="422"/>
      <c r="C78" s="422"/>
      <c r="D78" s="424"/>
      <c r="E78" s="424"/>
      <c r="F78" s="429"/>
      <c r="G78" s="429"/>
      <c r="H78" s="426"/>
      <c r="I78" s="464"/>
    </row>
    <row r="79" ht="18" customHeight="1" hidden="1" spans="1:9" x14ac:dyDescent="0.25">
      <c r="A79" s="465"/>
      <c r="B79" s="432"/>
      <c r="C79" s="432"/>
      <c r="D79" s="431"/>
      <c r="E79" s="431"/>
      <c r="F79" s="441"/>
      <c r="G79" s="441"/>
      <c r="H79" s="435"/>
      <c r="I79" s="466"/>
    </row>
    <row r="80" ht="18" customHeight="1" spans="1:9" x14ac:dyDescent="0.25">
      <c r="A80" s="439"/>
      <c r="B80" s="416"/>
      <c r="C80" s="416"/>
      <c r="D80" s="418"/>
      <c r="E80" s="418"/>
      <c r="F80" s="437"/>
      <c r="G80" s="437"/>
      <c r="H80" s="420"/>
      <c r="I80" s="462"/>
    </row>
    <row r="81" ht="18" customHeight="1" spans="1:9" x14ac:dyDescent="0.25">
      <c r="A81" s="422"/>
      <c r="B81" s="422"/>
      <c r="C81" s="422"/>
      <c r="D81" s="467"/>
      <c r="E81" s="468"/>
      <c r="F81" s="425"/>
      <c r="G81" s="425"/>
      <c r="H81" s="426"/>
      <c r="I81" s="464"/>
    </row>
    <row r="82" ht="18" customHeight="1" spans="1:9" x14ac:dyDescent="0.25">
      <c r="A82" s="415"/>
      <c r="B82" s="416"/>
      <c r="C82" s="422"/>
      <c r="D82" s="418"/>
      <c r="E82" s="418"/>
      <c r="F82" s="437"/>
      <c r="G82" s="437"/>
      <c r="H82" s="426"/>
      <c r="I82" s="464"/>
    </row>
    <row r="83" ht="18" customHeight="1" spans="1:9" x14ac:dyDescent="0.25">
      <c r="A83" s="421"/>
      <c r="B83" s="422"/>
      <c r="C83" s="422"/>
      <c r="D83" s="424"/>
      <c r="E83" s="424"/>
      <c r="F83" s="429"/>
      <c r="G83" s="429"/>
      <c r="H83" s="426"/>
      <c r="I83" s="464"/>
    </row>
    <row r="84" ht="18" customHeight="1" spans="1:9" x14ac:dyDescent="0.25">
      <c r="A84" s="440"/>
      <c r="B84" s="432"/>
      <c r="C84" s="432"/>
      <c r="D84" s="431"/>
      <c r="E84" s="431"/>
      <c r="F84" s="441"/>
      <c r="G84" s="441"/>
      <c r="H84" s="435"/>
      <c r="I84" s="466"/>
    </row>
    <row r="85" ht="18" customHeight="1" spans="1:9" x14ac:dyDescent="0.25">
      <c r="A85" s="439"/>
      <c r="B85" s="416"/>
      <c r="C85" s="416"/>
      <c r="D85" s="418"/>
      <c r="E85" s="418"/>
      <c r="F85" s="437"/>
      <c r="G85" s="437"/>
      <c r="H85" s="420"/>
      <c r="I85" s="462"/>
    </row>
    <row r="86" ht="18" customHeight="1" spans="1:9" x14ac:dyDescent="0.25">
      <c r="A86" s="428"/>
      <c r="B86" s="422"/>
      <c r="C86" s="422"/>
      <c r="D86" s="424"/>
      <c r="E86" s="424"/>
      <c r="F86" s="429"/>
      <c r="G86" s="429"/>
      <c r="H86" s="426"/>
      <c r="I86" s="427"/>
    </row>
    <row r="87" ht="18" customHeight="1" spans="1:9" x14ac:dyDescent="0.25">
      <c r="A87" s="469"/>
      <c r="B87" s="469"/>
      <c r="C87" s="422"/>
      <c r="D87" s="470"/>
      <c r="E87" s="471"/>
      <c r="F87" s="419"/>
      <c r="G87" s="419"/>
      <c r="H87" s="426"/>
      <c r="I87" s="418"/>
    </row>
    <row r="88" ht="18" customHeight="1" spans="1:9" x14ac:dyDescent="0.25">
      <c r="A88" s="472"/>
      <c r="B88" s="472"/>
      <c r="C88" s="422"/>
      <c r="D88" s="467"/>
      <c r="E88" s="468"/>
      <c r="F88" s="429"/>
      <c r="G88" s="429"/>
      <c r="H88" s="426"/>
      <c r="I88" s="424"/>
    </row>
    <row r="89" ht="18" customHeight="1" spans="1:9" x14ac:dyDescent="0.25">
      <c r="A89" s="472"/>
      <c r="B89" s="472"/>
      <c r="C89" s="422"/>
      <c r="D89" s="467"/>
      <c r="E89" s="468"/>
      <c r="F89" s="429"/>
      <c r="G89" s="429"/>
      <c r="H89" s="426"/>
      <c r="I89" s="424"/>
    </row>
    <row r="90" ht="6.95" customHeight="1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ht="14.1" customHeight="1" spans="1:9" x14ac:dyDescent="0.25">
      <c r="A91" s="40" t="s">
        <v>169</v>
      </c>
      <c r="B91" s="40"/>
      <c r="C91" s="40"/>
      <c r="D91" s="40"/>
      <c r="E91" s="40"/>
      <c r="F91" s="40"/>
      <c r="G91" s="40"/>
      <c r="H91" s="40"/>
      <c r="I91" s="40"/>
    </row>
    <row r="92" ht="14.1" customHeight="1" spans="1:9" x14ac:dyDescent="0.25">
      <c r="A92" s="40" t="s">
        <v>170</v>
      </c>
      <c r="B92" s="40"/>
      <c r="C92" s="40"/>
      <c r="D92" s="40"/>
      <c r="E92" s="40"/>
      <c r="F92" s="40"/>
      <c r="G92" s="40"/>
      <c r="H92" s="40"/>
      <c r="I92" s="40"/>
    </row>
    <row r="93" ht="14.1" customHeight="1" spans="1:9" x14ac:dyDescent="0.25">
      <c r="A93" s="40" t="s">
        <v>171</v>
      </c>
      <c r="B93" s="40"/>
      <c r="C93" s="40"/>
      <c r="D93" s="40"/>
      <c r="E93" s="40"/>
      <c r="F93" s="40"/>
      <c r="G93" s="40"/>
      <c r="H93" s="40"/>
      <c r="I93" s="40"/>
    </row>
    <row r="94" ht="14.1" customHeight="1" spans="1:9" x14ac:dyDescent="0.25">
      <c r="A94" s="40" t="s">
        <v>172</v>
      </c>
      <c r="B94" s="40"/>
      <c r="C94" s="40"/>
      <c r="D94" s="40"/>
      <c r="E94" s="40"/>
      <c r="F94" s="40"/>
      <c r="G94" s="40"/>
      <c r="H94" s="40"/>
      <c r="I94" s="40"/>
    </row>
    <row r="95" ht="14.1" customHeight="1" spans="1:9" x14ac:dyDescent="0.25">
      <c r="A95" s="40" t="s">
        <v>173</v>
      </c>
      <c r="B95" s="40"/>
      <c r="C95" s="40"/>
      <c r="D95" s="40"/>
      <c r="E95" s="40"/>
      <c r="F95" s="40"/>
      <c r="G95" s="40"/>
      <c r="H95" s="40"/>
      <c r="I95" s="40"/>
    </row>
    <row r="96" ht="14.1" customHeight="1" spans="1:9" x14ac:dyDescent="0.25">
      <c r="A96" s="40" t="s">
        <v>174</v>
      </c>
      <c r="B96" s="40"/>
      <c r="C96" s="40"/>
      <c r="D96" s="40"/>
      <c r="E96" s="40"/>
      <c r="F96" s="40"/>
      <c r="G96" s="40"/>
      <c r="H96" s="40"/>
      <c r="I96" s="40"/>
    </row>
    <row r="97" ht="12.95" customHeight="1" spans="1:9" x14ac:dyDescent="0.25">
      <c r="A97" s="40"/>
      <c r="B97" s="40"/>
      <c r="C97" s="40"/>
      <c r="D97" s="40"/>
      <c r="E97" s="40"/>
      <c r="F97" s="40"/>
      <c r="G97" s="40"/>
      <c r="H97" s="40"/>
      <c r="I97" s="40"/>
    </row>
    <row r="98" ht="12.95" customHeight="1" spans="1:9" x14ac:dyDescent="0.25">
      <c r="A98" s="40"/>
      <c r="B98" s="40"/>
      <c r="C98" s="40"/>
      <c r="D98" s="40"/>
      <c r="E98" s="40"/>
      <c r="F98" s="40"/>
      <c r="G98" s="40"/>
      <c r="H98" s="40"/>
      <c r="I98" s="40"/>
    </row>
    <row r="99" ht="12.95" customHeight="1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ht="12.95" customHeight="1" spans="1:9" x14ac:dyDescent="0.25">
      <c r="A100" s="182"/>
      <c r="B100" s="182"/>
      <c r="C100" s="3"/>
      <c r="D100" s="182"/>
      <c r="E100" s="182"/>
      <c r="F100" s="182"/>
      <c r="G100" s="3"/>
      <c r="H100" s="182"/>
      <c r="I100" s="182"/>
    </row>
    <row r="101" ht="14.1" customHeight="1" spans="1:9" x14ac:dyDescent="0.25">
      <c r="A101" s="138" t="s">
        <v>22</v>
      </c>
      <c r="B101" s="138"/>
      <c r="C101" s="40"/>
      <c r="D101" s="138" t="s">
        <v>148</v>
      </c>
      <c r="E101" s="138"/>
      <c r="F101" s="138"/>
      <c r="G101" s="40"/>
      <c r="H101" s="138" t="s">
        <v>23</v>
      </c>
      <c r="I101" s="138"/>
    </row>
  </sheetData>
  <mergeCells count="6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A101:B101"/>
    <mergeCell ref="D101:F101"/>
    <mergeCell ref="H101:I10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18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85" t="s">
        <v>57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</row>
    <row r="5" ht="4.5" customHeight="1" x14ac:dyDescent="0.25"/>
    <row r="6" ht="17.45" customHeight="1" spans="1:18" x14ac:dyDescent="0.25">
      <c r="A6" s="3" t="s">
        <v>58</v>
      </c>
      <c r="B6" s="186" t="str">
        <f>'Final Work'!모선이름</f>
        <v>YOKOHAMA TRADER</v>
      </c>
      <c r="H6" s="8" t="s">
        <v>59</v>
      </c>
      <c r="I6" s="8"/>
      <c r="J6" s="8" t="str">
        <f>'OS-OUT'!H6</f>
        <v>2612W</v>
      </c>
      <c r="K6" s="8"/>
      <c r="O6" s="186" t="s">
        <v>60</v>
      </c>
      <c r="P6" s="187">
        <f>'Final Work'!L4</f>
        <v>46219</v>
      </c>
      <c r="Q6" s="8"/>
      <c r="R6" s="8"/>
    </row>
    <row r="7" ht="11.25" customHeight="1" x14ac:dyDescent="0.25"/>
    <row r="8" ht="17.45" customHeight="1" spans="1:18" x14ac:dyDescent="0.25">
      <c r="A8" s="186" t="s">
        <v>61</v>
      </c>
      <c r="B8" s="186" t="s">
        <v>25</v>
      </c>
      <c r="C8" s="186"/>
      <c r="D8" s="186"/>
      <c r="E8" s="186"/>
      <c r="H8" s="8" t="s">
        <v>62</v>
      </c>
      <c r="I8" s="8"/>
      <c r="J8" s="8" t="s">
        <v>63</v>
      </c>
      <c r="K8" s="8"/>
      <c r="O8" s="186" t="s">
        <v>74</v>
      </c>
      <c r="P8" s="8">
        <f>'Final Work'!작업선석</f>
        <v>8</v>
      </c>
      <c r="Q8" s="8"/>
      <c r="R8" s="8"/>
    </row>
    <row r="9" ht="6.75" customHeight="1" x14ac:dyDescent="0.25"/>
    <row r="10" ht="12" customHeight="1" spans="1:18" x14ac:dyDescent="0.25">
      <c r="A10" s="191" t="s">
        <v>11</v>
      </c>
      <c r="B10" s="191" t="s">
        <v>42</v>
      </c>
      <c r="C10" s="249" t="s">
        <v>65</v>
      </c>
      <c r="D10" s="183"/>
      <c r="E10" s="250"/>
      <c r="F10" s="249" t="s">
        <v>66</v>
      </c>
      <c r="G10" s="183"/>
      <c r="H10" s="183"/>
      <c r="I10" s="250"/>
      <c r="J10" s="191" t="s">
        <v>67</v>
      </c>
      <c r="K10" s="191" t="s">
        <v>68</v>
      </c>
      <c r="L10" s="249" t="s">
        <v>75</v>
      </c>
      <c r="M10" s="183"/>
      <c r="N10" s="183"/>
      <c r="O10" s="183"/>
      <c r="P10" s="183"/>
      <c r="Q10" s="183"/>
      <c r="R10" s="250"/>
    </row>
    <row r="11" ht="12" customHeight="1" spans="1:18" x14ac:dyDescent="0.25">
      <c r="A11" s="195"/>
      <c r="B11" s="195"/>
      <c r="C11" s="251"/>
      <c r="D11" s="252"/>
      <c r="E11" s="253"/>
      <c r="F11" s="251"/>
      <c r="G11" s="252"/>
      <c r="H11" s="252"/>
      <c r="I11" s="253"/>
      <c r="J11" s="195" t="s">
        <v>51</v>
      </c>
      <c r="K11" s="195"/>
      <c r="L11" s="251"/>
      <c r="M11" s="252"/>
      <c r="N11" s="252"/>
      <c r="O11" s="252"/>
      <c r="P11" s="252"/>
      <c r="Q11" s="252"/>
      <c r="R11" s="253"/>
    </row>
    <row r="12" ht="19.9" customHeight="1" spans="1:18" x14ac:dyDescent="0.25">
      <c r="A12" s="51"/>
      <c r="B12" s="51"/>
      <c r="C12" s="255"/>
      <c r="D12" s="256"/>
      <c r="E12" s="257"/>
      <c r="F12" s="255"/>
      <c r="G12" s="256"/>
      <c r="H12" s="256"/>
      <c r="I12" s="257"/>
      <c r="J12" s="51"/>
      <c r="K12" s="51"/>
      <c r="L12" s="288"/>
      <c r="M12" s="289"/>
      <c r="N12" s="289"/>
      <c r="O12" s="289"/>
      <c r="P12" s="289"/>
      <c r="Q12" s="289"/>
      <c r="R12" s="290"/>
    </row>
    <row r="13" ht="19.9" customHeight="1" spans="1:18" x14ac:dyDescent="0.25">
      <c r="A13" s="262"/>
      <c r="B13" s="262"/>
      <c r="C13" s="155"/>
      <c r="D13" s="260"/>
      <c r="E13" s="167"/>
      <c r="F13" s="155"/>
      <c r="G13" s="260"/>
      <c r="H13" s="260"/>
      <c r="I13" s="167"/>
      <c r="J13" s="262"/>
      <c r="K13" s="262"/>
      <c r="L13" s="291"/>
      <c r="M13" s="291"/>
      <c r="N13" s="291"/>
      <c r="O13" s="291"/>
      <c r="P13" s="291"/>
      <c r="Q13" s="291"/>
      <c r="R13" s="291"/>
    </row>
    <row r="14" ht="19.9" customHeight="1" spans="1:18" x14ac:dyDescent="0.25">
      <c r="A14" s="262"/>
      <c r="B14" s="262"/>
      <c r="C14" s="155"/>
      <c r="D14" s="260"/>
      <c r="E14" s="167"/>
      <c r="F14" s="155"/>
      <c r="G14" s="260"/>
      <c r="H14" s="260"/>
      <c r="I14" s="167"/>
      <c r="J14" s="262"/>
      <c r="K14" s="262"/>
      <c r="L14" s="291"/>
      <c r="M14" s="291"/>
      <c r="N14" s="291"/>
      <c r="O14" s="291"/>
      <c r="P14" s="291"/>
      <c r="Q14" s="291"/>
      <c r="R14" s="291"/>
    </row>
    <row r="15" ht="19.9" customHeight="1" spans="1:18" x14ac:dyDescent="0.25">
      <c r="A15" s="262"/>
      <c r="B15" s="262"/>
      <c r="C15" s="155"/>
      <c r="D15" s="260"/>
      <c r="E15" s="167"/>
      <c r="F15" s="155"/>
      <c r="G15" s="260"/>
      <c r="H15" s="260"/>
      <c r="I15" s="167"/>
      <c r="J15" s="262"/>
      <c r="K15" s="262"/>
      <c r="L15" s="291"/>
      <c r="M15" s="291"/>
      <c r="N15" s="291"/>
      <c r="O15" s="291"/>
      <c r="P15" s="291"/>
      <c r="Q15" s="291"/>
      <c r="R15" s="291"/>
    </row>
    <row r="16" ht="19.9" customHeight="1" spans="1:18" x14ac:dyDescent="0.25">
      <c r="A16" s="262"/>
      <c r="B16" s="262"/>
      <c r="C16" s="155"/>
      <c r="D16" s="260"/>
      <c r="E16" s="167"/>
      <c r="F16" s="155"/>
      <c r="G16" s="260"/>
      <c r="H16" s="260"/>
      <c r="I16" s="167"/>
      <c r="J16" s="262"/>
      <c r="K16" s="262"/>
      <c r="L16" s="291"/>
      <c r="M16" s="291"/>
      <c r="N16" s="291"/>
      <c r="O16" s="291"/>
      <c r="P16" s="291"/>
      <c r="Q16" s="291"/>
      <c r="R16" s="291"/>
    </row>
    <row r="17" ht="19.9" customHeight="1" spans="1:18" x14ac:dyDescent="0.25">
      <c r="A17" s="262"/>
      <c r="B17" s="262"/>
      <c r="C17" s="155"/>
      <c r="D17" s="260"/>
      <c r="E17" s="167"/>
      <c r="F17" s="155"/>
      <c r="G17" s="260"/>
      <c r="H17" s="260"/>
      <c r="I17" s="167"/>
      <c r="J17" s="262"/>
      <c r="K17" s="262"/>
      <c r="L17" s="291"/>
      <c r="M17" s="291"/>
      <c r="N17" s="291"/>
      <c r="O17" s="291"/>
      <c r="P17" s="291"/>
      <c r="Q17" s="291"/>
      <c r="R17" s="291"/>
    </row>
    <row r="18" ht="19.9" customHeight="1" spans="1:18" x14ac:dyDescent="0.25">
      <c r="A18" s="262"/>
      <c r="B18" s="262"/>
      <c r="C18" s="155"/>
      <c r="D18" s="260"/>
      <c r="E18" s="167"/>
      <c r="F18" s="155"/>
      <c r="G18" s="260"/>
      <c r="H18" s="260"/>
      <c r="I18" s="167"/>
      <c r="J18" s="262"/>
      <c r="K18" s="262"/>
      <c r="L18" s="291"/>
      <c r="M18" s="291"/>
      <c r="N18" s="291"/>
      <c r="O18" s="291"/>
      <c r="P18" s="291"/>
      <c r="Q18" s="291"/>
      <c r="R18" s="291"/>
    </row>
    <row r="19" ht="19.9" customHeight="1" spans="1:18" x14ac:dyDescent="0.25">
      <c r="A19" s="262"/>
      <c r="B19" s="262"/>
      <c r="C19" s="155"/>
      <c r="D19" s="260"/>
      <c r="E19" s="167"/>
      <c r="F19" s="155"/>
      <c r="G19" s="260"/>
      <c r="H19" s="260"/>
      <c r="I19" s="167"/>
      <c r="J19" s="262"/>
      <c r="K19" s="262"/>
      <c r="L19" s="291"/>
      <c r="M19" s="291"/>
      <c r="N19" s="291"/>
      <c r="O19" s="291"/>
      <c r="P19" s="291"/>
      <c r="Q19" s="291"/>
      <c r="R19" s="291"/>
    </row>
    <row r="20" ht="19.9" customHeight="1" spans="1:18" x14ac:dyDescent="0.25">
      <c r="A20" s="262"/>
      <c r="B20" s="262"/>
      <c r="C20" s="155"/>
      <c r="D20" s="260"/>
      <c r="E20" s="167"/>
      <c r="F20" s="155"/>
      <c r="G20" s="260"/>
      <c r="H20" s="260"/>
      <c r="I20" s="167"/>
      <c r="J20" s="262"/>
      <c r="K20" s="262"/>
      <c r="L20" s="291"/>
      <c r="M20" s="291"/>
      <c r="N20" s="291"/>
      <c r="O20" s="291"/>
      <c r="P20" s="291"/>
      <c r="Q20" s="291"/>
      <c r="R20" s="291"/>
    </row>
    <row r="21" ht="19.9" customHeight="1" spans="1:18" x14ac:dyDescent="0.25">
      <c r="A21" s="262"/>
      <c r="B21" s="262"/>
      <c r="C21" s="155"/>
      <c r="D21" s="260"/>
      <c r="E21" s="167"/>
      <c r="F21" s="155"/>
      <c r="G21" s="260"/>
      <c r="H21" s="260"/>
      <c r="I21" s="167"/>
      <c r="J21" s="262"/>
      <c r="K21" s="262"/>
      <c r="L21" s="291"/>
      <c r="M21" s="291"/>
      <c r="N21" s="291"/>
      <c r="O21" s="291"/>
      <c r="P21" s="291"/>
      <c r="Q21" s="291"/>
      <c r="R21" s="291"/>
    </row>
    <row r="22" ht="19.9" customHeight="1" spans="1:18" x14ac:dyDescent="0.25">
      <c r="A22" s="262"/>
      <c r="B22" s="262"/>
      <c r="C22" s="155"/>
      <c r="D22" s="260"/>
      <c r="E22" s="167"/>
      <c r="F22" s="155"/>
      <c r="G22" s="260"/>
      <c r="H22" s="260"/>
      <c r="I22" s="167"/>
      <c r="J22" s="262"/>
      <c r="K22" s="262"/>
      <c r="L22" s="291"/>
      <c r="M22" s="291"/>
      <c r="N22" s="291"/>
      <c r="O22" s="291"/>
      <c r="P22" s="291"/>
      <c r="Q22" s="291"/>
      <c r="R22" s="291"/>
    </row>
    <row r="23" ht="19.9" customHeight="1" spans="1:18" x14ac:dyDescent="0.25">
      <c r="A23" s="262"/>
      <c r="B23" s="262"/>
      <c r="C23" s="155"/>
      <c r="D23" s="260"/>
      <c r="E23" s="167"/>
      <c r="F23" s="155"/>
      <c r="G23" s="260"/>
      <c r="H23" s="260"/>
      <c r="I23" s="167"/>
      <c r="J23" s="262"/>
      <c r="K23" s="262"/>
      <c r="L23" s="291"/>
      <c r="M23" s="291"/>
      <c r="N23" s="291"/>
      <c r="O23" s="291"/>
      <c r="P23" s="291"/>
      <c r="Q23" s="291"/>
      <c r="R23" s="291"/>
    </row>
    <row r="24" ht="19.9" customHeight="1" spans="1:18" x14ac:dyDescent="0.25">
      <c r="A24" s="262"/>
      <c r="B24" s="262"/>
      <c r="C24" s="155"/>
      <c r="D24" s="260"/>
      <c r="E24" s="167"/>
      <c r="F24" s="155"/>
      <c r="G24" s="260"/>
      <c r="H24" s="260"/>
      <c r="I24" s="167"/>
      <c r="J24" s="262"/>
      <c r="K24" s="262"/>
      <c r="L24" s="291"/>
      <c r="M24" s="291"/>
      <c r="N24" s="291"/>
      <c r="O24" s="291"/>
      <c r="P24" s="291"/>
      <c r="Q24" s="291"/>
      <c r="R24" s="291"/>
    </row>
    <row r="25" ht="19.9" customHeight="1" spans="1:18" x14ac:dyDescent="0.25">
      <c r="A25" s="262"/>
      <c r="B25" s="262"/>
      <c r="C25" s="155"/>
      <c r="D25" s="260"/>
      <c r="E25" s="167"/>
      <c r="F25" s="155"/>
      <c r="G25" s="260"/>
      <c r="H25" s="260"/>
      <c r="I25" s="167"/>
      <c r="J25" s="262"/>
      <c r="K25" s="262"/>
      <c r="L25" s="291"/>
      <c r="M25" s="291"/>
      <c r="N25" s="291"/>
      <c r="O25" s="291"/>
      <c r="P25" s="291"/>
      <c r="Q25" s="291"/>
      <c r="R25" s="291"/>
    </row>
    <row r="26" ht="19.9" customHeight="1" spans="1:18" x14ac:dyDescent="0.25">
      <c r="A26" s="262"/>
      <c r="B26" s="262"/>
      <c r="C26" s="155"/>
      <c r="D26" s="260"/>
      <c r="E26" s="167"/>
      <c r="F26" s="155"/>
      <c r="G26" s="260"/>
      <c r="H26" s="260"/>
      <c r="I26" s="167"/>
      <c r="J26" s="262"/>
      <c r="K26" s="262"/>
      <c r="L26" s="291"/>
      <c r="M26" s="291"/>
      <c r="N26" s="291"/>
      <c r="O26" s="291"/>
      <c r="P26" s="291"/>
      <c r="Q26" s="291"/>
      <c r="R26" s="291"/>
    </row>
    <row r="27" ht="19.9" customHeight="1" spans="1:18" x14ac:dyDescent="0.25">
      <c r="A27" s="262"/>
      <c r="B27" s="262"/>
      <c r="C27" s="155"/>
      <c r="D27" s="260"/>
      <c r="E27" s="167"/>
      <c r="F27" s="155"/>
      <c r="G27" s="260"/>
      <c r="H27" s="260"/>
      <c r="I27" s="167"/>
      <c r="J27" s="262"/>
      <c r="K27" s="262"/>
      <c r="L27" s="291"/>
      <c r="M27" s="291"/>
      <c r="N27" s="291"/>
      <c r="O27" s="291"/>
      <c r="P27" s="291"/>
      <c r="Q27" s="291"/>
      <c r="R27" s="291"/>
    </row>
    <row r="31" ht="15" customHeight="1" spans="1:18" x14ac:dyDescent="0.25">
      <c r="A31" s="182"/>
      <c r="B31" s="182"/>
      <c r="C31" s="182"/>
      <c r="D31" s="182"/>
      <c r="I31" s="182"/>
      <c r="J31" s="182"/>
      <c r="K31" s="182"/>
      <c r="O31" s="182"/>
      <c r="P31" s="182"/>
      <c r="Q31" s="182"/>
      <c r="R31" s="182"/>
    </row>
    <row r="32" spans="1:18" x14ac:dyDescent="0.25">
      <c r="A32" s="183" t="s">
        <v>22</v>
      </c>
      <c r="B32" s="183"/>
      <c r="C32" s="183"/>
      <c r="D32" s="183"/>
      <c r="I32" s="183" t="s">
        <v>56</v>
      </c>
      <c r="J32" s="183"/>
      <c r="K32" s="183"/>
      <c r="O32" s="183" t="s">
        <v>23</v>
      </c>
      <c r="P32" s="183"/>
      <c r="Q32" s="183"/>
      <c r="R32" s="18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90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8.5" style="1" customWidth="1"/>
    <col min="2" max="2" width="7" style="1" customWidth="1"/>
    <col min="3" max="3" width="7.625" style="1" customWidth="1"/>
    <col min="4" max="4" width="5.625" style="2" customWidth="1"/>
    <col min="5" max="15" width="5.625" style="1" customWidth="1"/>
    <col min="16" max="208" width="9" style="1" customWidth="1"/>
    <col min="209" max="210" width="7" style="1" customWidth="1"/>
    <col min="211" max="211" width="9.125" style="1" customWidth="1"/>
    <col min="212" max="220" width="7.125" style="1" customWidth="1"/>
    <col min="221" max="464" width="9" style="1" customWidth="1"/>
    <col min="465" max="466" width="7" style="1" customWidth="1"/>
    <col min="467" max="467" width="9.125" style="1" customWidth="1"/>
    <col min="468" max="476" width="7.125" style="1" customWidth="1"/>
    <col min="477" max="720" width="9" style="1" customWidth="1"/>
    <col min="721" max="722" width="7" style="1" customWidth="1"/>
    <col min="723" max="723" width="9.125" style="1" customWidth="1"/>
    <col min="724" max="732" width="7.125" style="1" customWidth="1"/>
    <col min="733" max="976" width="9" style="1" customWidth="1"/>
    <col min="977" max="978" width="7" style="1" customWidth="1"/>
    <col min="979" max="979" width="9.125" style="1" customWidth="1"/>
    <col min="980" max="988" width="7.125" style="1" customWidth="1"/>
    <col min="989" max="1232" width="9" style="1" customWidth="1"/>
    <col min="1233" max="1234" width="7" style="1" customWidth="1"/>
    <col min="1235" max="1235" width="9.125" style="1" customWidth="1"/>
    <col min="1236" max="1244" width="7.125" style="1" customWidth="1"/>
    <col min="1245" max="1488" width="9" style="1" customWidth="1"/>
    <col min="1489" max="1490" width="7" style="1" customWidth="1"/>
    <col min="1491" max="1491" width="9.125" style="1" customWidth="1"/>
    <col min="1492" max="1500" width="7.125" style="1" customWidth="1"/>
    <col min="1501" max="1744" width="9" style="1" customWidth="1"/>
    <col min="1745" max="1746" width="7" style="1" customWidth="1"/>
    <col min="1747" max="1747" width="9.125" style="1" customWidth="1"/>
    <col min="1748" max="1756" width="7.125" style="1" customWidth="1"/>
    <col min="1757" max="2000" width="9" style="1" customWidth="1"/>
    <col min="2001" max="2002" width="7" style="1" customWidth="1"/>
    <col min="2003" max="2003" width="9.125" style="1" customWidth="1"/>
    <col min="2004" max="2012" width="7.125" style="1" customWidth="1"/>
    <col min="2013" max="2256" width="9" style="1" customWidth="1"/>
    <col min="2257" max="2258" width="7" style="1" customWidth="1"/>
    <col min="2259" max="2259" width="9.125" style="1" customWidth="1"/>
    <col min="2260" max="2268" width="7.125" style="1" customWidth="1"/>
    <col min="2269" max="2512" width="9" style="1" customWidth="1"/>
    <col min="2513" max="2514" width="7" style="1" customWidth="1"/>
    <col min="2515" max="2515" width="9.125" style="1" customWidth="1"/>
    <col min="2516" max="2524" width="7.125" style="1" customWidth="1"/>
    <col min="2525" max="2768" width="9" style="1" customWidth="1"/>
    <col min="2769" max="2770" width="7" style="1" customWidth="1"/>
    <col min="2771" max="2771" width="9.125" style="1" customWidth="1"/>
    <col min="2772" max="2780" width="7.125" style="1" customWidth="1"/>
    <col min="2781" max="3024" width="9" style="1" customWidth="1"/>
    <col min="3025" max="3026" width="7" style="1" customWidth="1"/>
    <col min="3027" max="3027" width="9.125" style="1" customWidth="1"/>
    <col min="3028" max="3036" width="7.125" style="1" customWidth="1"/>
    <col min="3037" max="3280" width="9" style="1" customWidth="1"/>
    <col min="3281" max="3282" width="7" style="1" customWidth="1"/>
    <col min="3283" max="3283" width="9.125" style="1" customWidth="1"/>
    <col min="3284" max="3292" width="7.125" style="1" customWidth="1"/>
    <col min="3293" max="3536" width="9" style="1" customWidth="1"/>
    <col min="3537" max="3538" width="7" style="1" customWidth="1"/>
    <col min="3539" max="3539" width="9.125" style="1" customWidth="1"/>
    <col min="3540" max="3548" width="7.125" style="1" customWidth="1"/>
    <col min="3549" max="3792" width="9" style="1" customWidth="1"/>
    <col min="3793" max="3794" width="7" style="1" customWidth="1"/>
    <col min="3795" max="3795" width="9.125" style="1" customWidth="1"/>
    <col min="3796" max="3804" width="7.125" style="1" customWidth="1"/>
    <col min="3805" max="4048" width="9" style="1" customWidth="1"/>
    <col min="4049" max="4050" width="7" style="1" customWidth="1"/>
    <col min="4051" max="4051" width="9.125" style="1" customWidth="1"/>
    <col min="4052" max="4060" width="7.125" style="1" customWidth="1"/>
    <col min="4061" max="4304" width="9" style="1" customWidth="1"/>
    <col min="4305" max="4306" width="7" style="1" customWidth="1"/>
    <col min="4307" max="4307" width="9.125" style="1" customWidth="1"/>
    <col min="4308" max="4316" width="7.125" style="1" customWidth="1"/>
    <col min="4317" max="4560" width="9" style="1" customWidth="1"/>
    <col min="4561" max="4562" width="7" style="1" customWidth="1"/>
    <col min="4563" max="4563" width="9.125" style="1" customWidth="1"/>
    <col min="4564" max="4572" width="7.125" style="1" customWidth="1"/>
    <col min="4573" max="4816" width="9" style="1" customWidth="1"/>
    <col min="4817" max="4818" width="7" style="1" customWidth="1"/>
    <col min="4819" max="4819" width="9.125" style="1" customWidth="1"/>
    <col min="4820" max="4828" width="7.125" style="1" customWidth="1"/>
    <col min="4829" max="5072" width="9" style="1" customWidth="1"/>
    <col min="5073" max="5074" width="7" style="1" customWidth="1"/>
    <col min="5075" max="5075" width="9.125" style="1" customWidth="1"/>
    <col min="5076" max="5084" width="7.125" style="1" customWidth="1"/>
    <col min="5085" max="5328" width="9" style="1" customWidth="1"/>
    <col min="5329" max="5330" width="7" style="1" customWidth="1"/>
    <col min="5331" max="5331" width="9.125" style="1" customWidth="1"/>
    <col min="5332" max="5340" width="7.125" style="1" customWidth="1"/>
    <col min="5341" max="5584" width="9" style="1" customWidth="1"/>
    <col min="5585" max="5586" width="7" style="1" customWidth="1"/>
    <col min="5587" max="5587" width="9.125" style="1" customWidth="1"/>
    <col min="5588" max="5596" width="7.125" style="1" customWidth="1"/>
    <col min="5597" max="5840" width="9" style="1" customWidth="1"/>
    <col min="5841" max="5842" width="7" style="1" customWidth="1"/>
    <col min="5843" max="5843" width="9.125" style="1" customWidth="1"/>
    <col min="5844" max="5852" width="7.125" style="1" customWidth="1"/>
    <col min="5853" max="6096" width="9" style="1" customWidth="1"/>
    <col min="6097" max="6098" width="7" style="1" customWidth="1"/>
    <col min="6099" max="6099" width="9.125" style="1" customWidth="1"/>
    <col min="6100" max="6108" width="7.125" style="1" customWidth="1"/>
    <col min="6109" max="6352" width="9" style="1" customWidth="1"/>
    <col min="6353" max="6354" width="7" style="1" customWidth="1"/>
    <col min="6355" max="6355" width="9.125" style="1" customWidth="1"/>
    <col min="6356" max="6364" width="7.125" style="1" customWidth="1"/>
    <col min="6365" max="6608" width="9" style="1" customWidth="1"/>
    <col min="6609" max="6610" width="7" style="1" customWidth="1"/>
    <col min="6611" max="6611" width="9.125" style="1" customWidth="1"/>
    <col min="6612" max="6620" width="7.125" style="1" customWidth="1"/>
    <col min="6621" max="6864" width="9" style="1" customWidth="1"/>
    <col min="6865" max="6866" width="7" style="1" customWidth="1"/>
    <col min="6867" max="6867" width="9.125" style="1" customWidth="1"/>
    <col min="6868" max="6876" width="7.125" style="1" customWidth="1"/>
    <col min="6877" max="7120" width="9" style="1" customWidth="1"/>
    <col min="7121" max="7122" width="7" style="1" customWidth="1"/>
    <col min="7123" max="7123" width="9.125" style="1" customWidth="1"/>
    <col min="7124" max="7132" width="7.125" style="1" customWidth="1"/>
    <col min="7133" max="7376" width="9" style="1" customWidth="1"/>
    <col min="7377" max="7378" width="7" style="1" customWidth="1"/>
    <col min="7379" max="7379" width="9.125" style="1" customWidth="1"/>
    <col min="7380" max="7388" width="7.125" style="1" customWidth="1"/>
    <col min="7389" max="7632" width="9" style="1" customWidth="1"/>
    <col min="7633" max="7634" width="7" style="1" customWidth="1"/>
    <col min="7635" max="7635" width="9.125" style="1" customWidth="1"/>
    <col min="7636" max="7644" width="7.125" style="1" customWidth="1"/>
    <col min="7645" max="7888" width="9" style="1" customWidth="1"/>
    <col min="7889" max="7890" width="7" style="1" customWidth="1"/>
    <col min="7891" max="7891" width="9.125" style="1" customWidth="1"/>
    <col min="7892" max="7900" width="7.125" style="1" customWidth="1"/>
    <col min="7901" max="8144" width="9" style="1" customWidth="1"/>
    <col min="8145" max="8146" width="7" style="1" customWidth="1"/>
    <col min="8147" max="8147" width="9.125" style="1" customWidth="1"/>
    <col min="8148" max="8156" width="7.125" style="1" customWidth="1"/>
    <col min="8157" max="8400" width="9" style="1" customWidth="1"/>
    <col min="8401" max="8402" width="7" style="1" customWidth="1"/>
    <col min="8403" max="8403" width="9.125" style="1" customWidth="1"/>
    <col min="8404" max="8412" width="7.125" style="1" customWidth="1"/>
    <col min="8413" max="8656" width="9" style="1" customWidth="1"/>
    <col min="8657" max="8658" width="7" style="1" customWidth="1"/>
    <col min="8659" max="8659" width="9.125" style="1" customWidth="1"/>
    <col min="8660" max="8668" width="7.125" style="1" customWidth="1"/>
    <col min="8669" max="8912" width="9" style="1" customWidth="1"/>
    <col min="8913" max="8914" width="7" style="1" customWidth="1"/>
    <col min="8915" max="8915" width="9.125" style="1" customWidth="1"/>
    <col min="8916" max="8924" width="7.125" style="1" customWidth="1"/>
    <col min="8925" max="9168" width="9" style="1" customWidth="1"/>
    <col min="9169" max="9170" width="7" style="1" customWidth="1"/>
    <col min="9171" max="9171" width="9.125" style="1" customWidth="1"/>
    <col min="9172" max="9180" width="7.125" style="1" customWidth="1"/>
    <col min="9181" max="9424" width="9" style="1" customWidth="1"/>
    <col min="9425" max="9426" width="7" style="1" customWidth="1"/>
    <col min="9427" max="9427" width="9.125" style="1" customWidth="1"/>
    <col min="9428" max="9436" width="7.125" style="1" customWidth="1"/>
    <col min="9437" max="9680" width="9" style="1" customWidth="1"/>
    <col min="9681" max="9682" width="7" style="1" customWidth="1"/>
    <col min="9683" max="9683" width="9.125" style="1" customWidth="1"/>
    <col min="9684" max="9692" width="7.125" style="1" customWidth="1"/>
    <col min="9693" max="9936" width="9" style="1" customWidth="1"/>
    <col min="9937" max="9938" width="7" style="1" customWidth="1"/>
    <col min="9939" max="9939" width="9.125" style="1" customWidth="1"/>
    <col min="9940" max="9948" width="7.125" style="1" customWidth="1"/>
    <col min="9949" max="10192" width="9" style="1" customWidth="1"/>
    <col min="10193" max="10194" width="7" style="1" customWidth="1"/>
    <col min="10195" max="10195" width="9.125" style="1" customWidth="1"/>
    <col min="10196" max="10204" width="7.125" style="1" customWidth="1"/>
    <col min="10205" max="10448" width="9" style="1" customWidth="1"/>
    <col min="10449" max="10450" width="7" style="1" customWidth="1"/>
    <col min="10451" max="10451" width="9.125" style="1" customWidth="1"/>
    <col min="10452" max="10460" width="7.125" style="1" customWidth="1"/>
    <col min="10461" max="10704" width="9" style="1" customWidth="1"/>
    <col min="10705" max="10706" width="7" style="1" customWidth="1"/>
    <col min="10707" max="10707" width="9.125" style="1" customWidth="1"/>
    <col min="10708" max="10716" width="7.125" style="1" customWidth="1"/>
    <col min="10717" max="10960" width="9" style="1" customWidth="1"/>
    <col min="10961" max="10962" width="7" style="1" customWidth="1"/>
    <col min="10963" max="10963" width="9.125" style="1" customWidth="1"/>
    <col min="10964" max="10972" width="7.125" style="1" customWidth="1"/>
    <col min="10973" max="11216" width="9" style="1" customWidth="1"/>
    <col min="11217" max="11218" width="7" style="1" customWidth="1"/>
    <col min="11219" max="11219" width="9.125" style="1" customWidth="1"/>
    <col min="11220" max="11228" width="7.125" style="1" customWidth="1"/>
    <col min="11229" max="11472" width="9" style="1" customWidth="1"/>
    <col min="11473" max="11474" width="7" style="1" customWidth="1"/>
    <col min="11475" max="11475" width="9.125" style="1" customWidth="1"/>
    <col min="11476" max="11484" width="7.125" style="1" customWidth="1"/>
    <col min="11485" max="11728" width="9" style="1" customWidth="1"/>
    <col min="11729" max="11730" width="7" style="1" customWidth="1"/>
    <col min="11731" max="11731" width="9.125" style="1" customWidth="1"/>
    <col min="11732" max="11740" width="7.125" style="1" customWidth="1"/>
    <col min="11741" max="11984" width="9" style="1" customWidth="1"/>
    <col min="11985" max="11986" width="7" style="1" customWidth="1"/>
    <col min="11987" max="11987" width="9.125" style="1" customWidth="1"/>
    <col min="11988" max="11996" width="7.125" style="1" customWidth="1"/>
    <col min="11997" max="12240" width="9" style="1" customWidth="1"/>
    <col min="12241" max="12242" width="7" style="1" customWidth="1"/>
    <col min="12243" max="12243" width="9.125" style="1" customWidth="1"/>
    <col min="12244" max="12252" width="7.125" style="1" customWidth="1"/>
    <col min="12253" max="12496" width="9" style="1" customWidth="1"/>
    <col min="12497" max="12498" width="7" style="1" customWidth="1"/>
    <col min="12499" max="12499" width="9.125" style="1" customWidth="1"/>
    <col min="12500" max="12508" width="7.125" style="1" customWidth="1"/>
    <col min="12509" max="12752" width="9" style="1" customWidth="1"/>
    <col min="12753" max="12754" width="7" style="1" customWidth="1"/>
    <col min="12755" max="12755" width="9.125" style="1" customWidth="1"/>
    <col min="12756" max="12764" width="7.125" style="1" customWidth="1"/>
    <col min="12765" max="13008" width="9" style="1" customWidth="1"/>
    <col min="13009" max="13010" width="7" style="1" customWidth="1"/>
    <col min="13011" max="13011" width="9.125" style="1" customWidth="1"/>
    <col min="13012" max="13020" width="7.125" style="1" customWidth="1"/>
    <col min="13021" max="13264" width="9" style="1" customWidth="1"/>
    <col min="13265" max="13266" width="7" style="1" customWidth="1"/>
    <col min="13267" max="13267" width="9.125" style="1" customWidth="1"/>
    <col min="13268" max="13276" width="7.125" style="1" customWidth="1"/>
    <col min="13277" max="13520" width="9" style="1" customWidth="1"/>
    <col min="13521" max="13522" width="7" style="1" customWidth="1"/>
    <col min="13523" max="13523" width="9.125" style="1" customWidth="1"/>
    <col min="13524" max="13532" width="7.125" style="1" customWidth="1"/>
    <col min="13533" max="13776" width="9" style="1" customWidth="1"/>
    <col min="13777" max="13778" width="7" style="1" customWidth="1"/>
    <col min="13779" max="13779" width="9.125" style="1" customWidth="1"/>
    <col min="13780" max="13788" width="7.125" style="1" customWidth="1"/>
    <col min="13789" max="14032" width="9" style="1" customWidth="1"/>
    <col min="14033" max="14034" width="7" style="1" customWidth="1"/>
    <col min="14035" max="14035" width="9.125" style="1" customWidth="1"/>
    <col min="14036" max="14044" width="7.125" style="1" customWidth="1"/>
    <col min="14045" max="14288" width="9" style="1" customWidth="1"/>
    <col min="14289" max="14290" width="7" style="1" customWidth="1"/>
    <col min="14291" max="14291" width="9.125" style="1" customWidth="1"/>
    <col min="14292" max="14300" width="7.125" style="1" customWidth="1"/>
    <col min="14301" max="14544" width="9" style="1" customWidth="1"/>
    <col min="14545" max="14546" width="7" style="1" customWidth="1"/>
    <col min="14547" max="14547" width="9.125" style="1" customWidth="1"/>
    <col min="14548" max="14556" width="7.125" style="1" customWidth="1"/>
    <col min="14557" max="14800" width="9" style="1" customWidth="1"/>
    <col min="14801" max="14802" width="7" style="1" customWidth="1"/>
    <col min="14803" max="14803" width="9.125" style="1" customWidth="1"/>
    <col min="14804" max="14812" width="7.125" style="1" customWidth="1"/>
    <col min="14813" max="15056" width="9" style="1" customWidth="1"/>
    <col min="15057" max="15058" width="7" style="1" customWidth="1"/>
    <col min="15059" max="15059" width="9.125" style="1" customWidth="1"/>
    <col min="15060" max="15068" width="7.125" style="1" customWidth="1"/>
    <col min="15069" max="15312" width="9" style="1" customWidth="1"/>
    <col min="15313" max="15314" width="7" style="1" customWidth="1"/>
    <col min="15315" max="15315" width="9.125" style="1" customWidth="1"/>
    <col min="15316" max="15324" width="7.125" style="1" customWidth="1"/>
    <col min="15325" max="15568" width="9" style="1" customWidth="1"/>
    <col min="15569" max="15570" width="7" style="1" customWidth="1"/>
    <col min="15571" max="15571" width="9.125" style="1" customWidth="1"/>
    <col min="15572" max="15580" width="7.125" style="1" customWidth="1"/>
    <col min="15581" max="15824" width="9" style="1" customWidth="1"/>
    <col min="15825" max="15826" width="7" style="1" customWidth="1"/>
    <col min="15827" max="15827" width="9.125" style="1" customWidth="1"/>
    <col min="15828" max="15836" width="7.125" style="1" customWidth="1"/>
    <col min="15837" max="16080" width="9" style="1" customWidth="1"/>
    <col min="16081" max="16082" width="7" style="1" customWidth="1"/>
    <col min="16083" max="16083" width="9.125" style="1" customWidth="1"/>
    <col min="16084" max="16092" width="7.125" style="1" customWidth="1"/>
    <col min="16093" max="16384" width="9" style="1" customWidth="1"/>
  </cols>
  <sheetData>
    <row r="1" ht="33.7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5.1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1" t="s">
        <v>4</v>
      </c>
      <c r="G4" s="12"/>
      <c r="H4" s="12"/>
      <c r="I4" s="12"/>
      <c r="K4" s="13" t="s">
        <v>5</v>
      </c>
      <c r="L4" s="14"/>
      <c r="M4" s="12"/>
      <c r="N4" s="12"/>
      <c r="O4" s="12"/>
    </row>
    <row r="5" ht="9.75" customHeight="1" spans="4:4" x14ac:dyDescent="0.25">
      <c r="D5" s="15"/>
    </row>
    <row r="6" spans="1:15" x14ac:dyDescent="0.25">
      <c r="A6" s="8" t="s">
        <v>6</v>
      </c>
      <c r="B6" s="16"/>
      <c r="E6" s="17"/>
      <c r="F6" s="11" t="s">
        <v>7</v>
      </c>
      <c r="G6" s="12"/>
      <c r="H6" s="12"/>
      <c r="I6" s="12"/>
      <c r="K6" s="13" t="s">
        <v>8</v>
      </c>
      <c r="L6" s="18" t="s">
        <v>9</v>
      </c>
      <c r="M6" s="18"/>
      <c r="N6" s="18"/>
      <c r="O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22.9" customHeight="1" spans="1:1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("&amp;D72+E72+F72+G72+D73+E73+F73+G73&amp;")"</f>
        <v>DISCH (196)</v>
      </c>
      <c r="E8" s="25"/>
      <c r="F8" s="25"/>
      <c r="G8" s="25"/>
      <c r="H8" s="24" t="str">
        <f>+"LOAD ("&amp;H72+I72+J72+K72+H73+I73+J73+K73&amp;")"</f>
        <v>LOAD (160)</v>
      </c>
      <c r="I8" s="25"/>
      <c r="J8" s="25"/>
      <c r="K8" s="26"/>
      <c r="L8" s="27" t="str">
        <f>+"SHIFT ("&amp;L72+M72+N72+O72+L73+M73+N73+O73&amp;")"</f>
        <v>SHIFT (0)</v>
      </c>
      <c r="M8" s="28"/>
      <c r="N8" s="29"/>
      <c r="O8" s="30"/>
    </row>
    <row r="9" ht="22.9" customHeight="1" spans="1:1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</row>
    <row r="10" ht="18" customHeight="1" hidden="1" spans="1:1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8" customHeight="1" hidden="1" spans="1:15" s="40" customFormat="1" x14ac:dyDescent="0.25">
      <c r="A11" s="40"/>
      <c r="B11" s="40"/>
      <c r="C11" s="49" t="s">
        <v>18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8" customHeight="1" spans="1:15" s="40" customFormat="1" x14ac:dyDescent="0.25">
      <c r="A12" s="40"/>
      <c r="B12" s="55"/>
      <c r="C12" s="56" t="s">
        <v>17</v>
      </c>
      <c r="D12" s="57"/>
      <c r="E12" s="58"/>
      <c r="F12" s="58"/>
      <c r="G12" s="59"/>
      <c r="H12" s="57"/>
      <c r="I12" s="58"/>
      <c r="J12" s="58"/>
      <c r="K12" s="60"/>
      <c r="L12" s="61"/>
      <c r="M12" s="58"/>
      <c r="N12" s="58"/>
      <c r="O12" s="60"/>
    </row>
    <row r="13" ht="18" customHeight="1" spans="1:15" s="40" customFormat="1" x14ac:dyDescent="0.25">
      <c r="A13" s="40"/>
      <c r="B13" s="40"/>
      <c r="C13" s="49" t="s">
        <v>18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8" customHeight="1" spans="1:15" s="40" customFormat="1" x14ac:dyDescent="0.25">
      <c r="A14" s="40"/>
      <c r="B14" s="62"/>
      <c r="C14" s="63" t="s">
        <v>17</v>
      </c>
      <c r="D14" s="57"/>
      <c r="E14" s="58"/>
      <c r="F14" s="58"/>
      <c r="G14" s="59"/>
      <c r="H14" s="57"/>
      <c r="I14" s="58"/>
      <c r="J14" s="58"/>
      <c r="K14" s="60"/>
      <c r="L14" s="61"/>
      <c r="M14" s="58"/>
      <c r="N14" s="58"/>
      <c r="O14" s="60"/>
    </row>
    <row r="15" ht="18" customHeight="1" spans="1:15" s="40" customFormat="1" x14ac:dyDescent="0.25">
      <c r="A15" s="40"/>
      <c r="B15" s="4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</row>
    <row r="16" ht="18" customHeight="1" hidden="1" spans="1:15" s="40" customFormat="1" x14ac:dyDescent="0.25">
      <c r="A16" s="70"/>
      <c r="B16" s="71"/>
      <c r="C16" s="72" t="s">
        <v>17</v>
      </c>
      <c r="D16" s="73"/>
      <c r="E16" s="74"/>
      <c r="F16" s="74"/>
      <c r="G16" s="75"/>
      <c r="H16" s="73"/>
      <c r="I16" s="74"/>
      <c r="J16" s="74"/>
      <c r="K16" s="76"/>
      <c r="L16" s="77"/>
      <c r="M16" s="74"/>
      <c r="N16" s="74"/>
      <c r="O16" s="76"/>
    </row>
    <row r="17" ht="18" customHeight="1" hidden="1" spans="1:15" s="40" customFormat="1" x14ac:dyDescent="0.25">
      <c r="A17" s="40"/>
      <c r="B17" s="40"/>
      <c r="C17" s="78" t="s">
        <v>18</v>
      </c>
      <c r="D17" s="50"/>
      <c r="E17" s="51"/>
      <c r="F17" s="51"/>
      <c r="G17" s="52"/>
      <c r="H17" s="50"/>
      <c r="I17" s="51"/>
      <c r="J17" s="51"/>
      <c r="K17" s="53"/>
      <c r="L17" s="54"/>
      <c r="M17" s="51"/>
      <c r="N17" s="51"/>
      <c r="O17" s="53"/>
    </row>
    <row r="18" ht="18" customHeight="1" spans="1:15" s="40" customFormat="1" x14ac:dyDescent="0.25">
      <c r="A18" s="40"/>
      <c r="B18" s="71"/>
      <c r="C18" s="72" t="s">
        <v>17</v>
      </c>
      <c r="D18" s="73"/>
      <c r="E18" s="74"/>
      <c r="F18" s="74"/>
      <c r="G18" s="75"/>
      <c r="H18" s="73"/>
      <c r="I18" s="74"/>
      <c r="J18" s="74"/>
      <c r="K18" s="76"/>
      <c r="L18" s="77"/>
      <c r="M18" s="74"/>
      <c r="N18" s="74"/>
      <c r="O18" s="76"/>
    </row>
    <row r="19" ht="18" customHeight="1" spans="1:15" s="40" customFormat="1" x14ac:dyDescent="0.25">
      <c r="A19" s="40"/>
      <c r="B19" s="40"/>
      <c r="C19" s="78" t="s">
        <v>18</v>
      </c>
      <c r="D19" s="50"/>
      <c r="E19" s="51"/>
      <c r="F19" s="51"/>
      <c r="G19" s="52"/>
      <c r="H19" s="50"/>
      <c r="I19" s="51"/>
      <c r="J19" s="51"/>
      <c r="K19" s="53"/>
      <c r="L19" s="54"/>
      <c r="M19" s="51"/>
      <c r="N19" s="51"/>
      <c r="O19" s="53"/>
    </row>
    <row r="20" ht="18" customHeight="1" spans="1:15" s="40" customFormat="1" x14ac:dyDescent="0.25">
      <c r="A20" s="40"/>
      <c r="B20" s="55"/>
      <c r="C20" s="63" t="s">
        <v>17</v>
      </c>
      <c r="D20" s="57"/>
      <c r="E20" s="58"/>
      <c r="F20" s="58"/>
      <c r="G20" s="59"/>
      <c r="H20" s="57"/>
      <c r="I20" s="58"/>
      <c r="J20" s="58"/>
      <c r="K20" s="60"/>
      <c r="L20" s="61"/>
      <c r="M20" s="58"/>
      <c r="N20" s="58"/>
      <c r="O20" s="60"/>
    </row>
    <row r="21" ht="18" customHeight="1" spans="1:15" s="40" customFormat="1" x14ac:dyDescent="0.25">
      <c r="A21" s="40"/>
      <c r="B21" s="40"/>
      <c r="C21" s="64" t="s">
        <v>18</v>
      </c>
      <c r="D21" s="65"/>
      <c r="E21" s="66"/>
      <c r="F21" s="66"/>
      <c r="G21" s="67"/>
      <c r="H21" s="65"/>
      <c r="I21" s="66"/>
      <c r="J21" s="66"/>
      <c r="K21" s="68"/>
      <c r="L21" s="69"/>
      <c r="M21" s="66"/>
      <c r="N21" s="66"/>
      <c r="O21" s="68"/>
    </row>
    <row r="22" ht="18" customHeight="1" spans="1:15" s="40" customFormat="1" x14ac:dyDescent="0.25">
      <c r="A22" s="79"/>
      <c r="B22" s="80"/>
      <c r="C22" s="81" t="s">
        <v>17</v>
      </c>
      <c r="D22" s="82"/>
      <c r="E22" s="83"/>
      <c r="F22" s="83"/>
      <c r="G22" s="84"/>
      <c r="H22" s="82"/>
      <c r="I22" s="83"/>
      <c r="J22" s="83"/>
      <c r="K22" s="85"/>
      <c r="L22" s="86"/>
      <c r="M22" s="83"/>
      <c r="N22" s="83"/>
      <c r="O22" s="85"/>
    </row>
    <row r="23" ht="18" customHeight="1" spans="1:15" s="40" customFormat="1" x14ac:dyDescent="0.25">
      <c r="A23" s="40"/>
      <c r="B23" s="40"/>
      <c r="C23" s="78" t="s">
        <v>18</v>
      </c>
      <c r="D23" s="50"/>
      <c r="E23" s="51"/>
      <c r="F23" s="51"/>
      <c r="G23" s="52"/>
      <c r="H23" s="50"/>
      <c r="I23" s="51"/>
      <c r="J23" s="51"/>
      <c r="K23" s="53"/>
      <c r="L23" s="54"/>
      <c r="M23" s="51"/>
      <c r="N23" s="51"/>
      <c r="O23" s="53"/>
    </row>
    <row r="24" ht="18" customHeight="1" spans="1:15" s="40" customFormat="1" x14ac:dyDescent="0.25">
      <c r="A24" s="40"/>
      <c r="B24" s="62"/>
      <c r="C24" s="56" t="s">
        <v>17</v>
      </c>
      <c r="D24" s="57"/>
      <c r="E24" s="58"/>
      <c r="F24" s="58"/>
      <c r="G24" s="60"/>
      <c r="H24" s="57"/>
      <c r="I24" s="58"/>
      <c r="J24" s="58"/>
      <c r="K24" s="60"/>
      <c r="L24" s="61"/>
      <c r="M24" s="58"/>
      <c r="N24" s="58"/>
      <c r="O24" s="60"/>
    </row>
    <row r="25" ht="18" customHeight="1" spans="1:15" s="40" customFormat="1" x14ac:dyDescent="0.25">
      <c r="A25" s="40"/>
      <c r="B25" s="40"/>
      <c r="C25" s="87" t="s">
        <v>18</v>
      </c>
      <c r="D25" s="65"/>
      <c r="E25" s="66"/>
      <c r="F25" s="66"/>
      <c r="G25" s="68"/>
      <c r="H25" s="65"/>
      <c r="I25" s="66"/>
      <c r="J25" s="66"/>
      <c r="K25" s="68"/>
      <c r="L25" s="69"/>
      <c r="M25" s="66"/>
      <c r="N25" s="66"/>
      <c r="O25" s="68"/>
    </row>
    <row r="26" ht="18" customHeight="1" hidden="1" spans="1:15" s="40" customFormat="1" x14ac:dyDescent="0.25">
      <c r="A26" s="79"/>
      <c r="B26" s="88"/>
      <c r="C26" s="81" t="s">
        <v>17</v>
      </c>
      <c r="D26" s="82"/>
      <c r="E26" s="83"/>
      <c r="F26" s="83"/>
      <c r="G26" s="85"/>
      <c r="H26" s="82"/>
      <c r="I26" s="83"/>
      <c r="J26" s="83"/>
      <c r="K26" s="85"/>
      <c r="L26" s="86"/>
      <c r="M26" s="83"/>
      <c r="N26" s="83"/>
      <c r="O26" s="85"/>
    </row>
    <row r="27" ht="18" customHeight="1" hidden="1" spans="1:15" s="40" customFormat="1" x14ac:dyDescent="0.25">
      <c r="A27" s="40"/>
      <c r="B27" s="40"/>
      <c r="C27" s="78" t="s">
        <v>18</v>
      </c>
      <c r="D27" s="50"/>
      <c r="E27" s="51"/>
      <c r="F27" s="51"/>
      <c r="G27" s="53"/>
      <c r="H27" s="50"/>
      <c r="I27" s="51"/>
      <c r="J27" s="51"/>
      <c r="K27" s="53"/>
      <c r="L27" s="54"/>
      <c r="M27" s="51"/>
      <c r="N27" s="51"/>
      <c r="O27" s="53"/>
    </row>
    <row r="28" ht="18" customHeight="1" spans="1:15" s="40" customFormat="1" x14ac:dyDescent="0.25">
      <c r="A28" s="40"/>
      <c r="B28" s="55"/>
      <c r="C28" s="63" t="s">
        <v>17</v>
      </c>
      <c r="D28" s="57"/>
      <c r="E28" s="58"/>
      <c r="F28" s="58"/>
      <c r="G28" s="59"/>
      <c r="H28" s="57"/>
      <c r="I28" s="58"/>
      <c r="J28" s="58"/>
      <c r="K28" s="60"/>
      <c r="L28" s="61"/>
      <c r="M28" s="58"/>
      <c r="N28" s="58"/>
      <c r="O28" s="60"/>
    </row>
    <row r="29" ht="18" customHeight="1" spans="1:15" s="40" customFormat="1" x14ac:dyDescent="0.25">
      <c r="A29" s="40"/>
      <c r="B29" s="40"/>
      <c r="C29" s="78" t="s">
        <v>18</v>
      </c>
      <c r="D29" s="50"/>
      <c r="E29" s="51"/>
      <c r="F29" s="51"/>
      <c r="G29" s="52"/>
      <c r="H29" s="50"/>
      <c r="I29" s="51"/>
      <c r="J29" s="51"/>
      <c r="K29" s="53"/>
      <c r="L29" s="54"/>
      <c r="M29" s="51"/>
      <c r="N29" s="51"/>
      <c r="O29" s="53"/>
    </row>
    <row r="30" ht="18" customHeight="1" spans="1:15" s="40" customFormat="1" x14ac:dyDescent="0.25">
      <c r="A30" s="40"/>
      <c r="B30" s="62"/>
      <c r="C30" s="72" t="s">
        <v>17</v>
      </c>
      <c r="D30" s="73"/>
      <c r="E30" s="74"/>
      <c r="F30" s="74"/>
      <c r="G30" s="75"/>
      <c r="H30" s="73"/>
      <c r="I30" s="74"/>
      <c r="J30" s="74"/>
      <c r="K30" s="76"/>
      <c r="L30" s="77"/>
      <c r="M30" s="74"/>
      <c r="N30" s="74"/>
      <c r="O30" s="76"/>
    </row>
    <row r="31" ht="18" customHeight="1" spans="1:15" s="40" customFormat="1" x14ac:dyDescent="0.25">
      <c r="A31" s="40"/>
      <c r="B31" s="40"/>
      <c r="C31" s="64" t="s">
        <v>18</v>
      </c>
      <c r="D31" s="65"/>
      <c r="E31" s="66"/>
      <c r="F31" s="66"/>
      <c r="G31" s="67"/>
      <c r="H31" s="65"/>
      <c r="I31" s="66"/>
      <c r="J31" s="66"/>
      <c r="K31" s="68"/>
      <c r="L31" s="69"/>
      <c r="M31" s="66"/>
      <c r="N31" s="66"/>
      <c r="O31" s="68"/>
    </row>
    <row r="32" ht="18" customHeight="1" spans="1:15" s="40" customFormat="1" x14ac:dyDescent="0.25">
      <c r="A32" s="79"/>
      <c r="B32" s="80"/>
      <c r="C32" s="81" t="s">
        <v>17</v>
      </c>
      <c r="D32" s="82"/>
      <c r="E32" s="83"/>
      <c r="F32" s="83"/>
      <c r="G32" s="85"/>
      <c r="H32" s="82"/>
      <c r="I32" s="83"/>
      <c r="J32" s="83"/>
      <c r="K32" s="85"/>
      <c r="L32" s="86"/>
      <c r="M32" s="83"/>
      <c r="N32" s="83"/>
      <c r="O32" s="85"/>
    </row>
    <row r="33" ht="18" customHeight="1" spans="1:15" s="40" customFormat="1" x14ac:dyDescent="0.25">
      <c r="A33" s="40"/>
      <c r="B33" s="40"/>
      <c r="C33" s="78" t="s">
        <v>18</v>
      </c>
      <c r="D33" s="50"/>
      <c r="E33" s="51"/>
      <c r="F33" s="51"/>
      <c r="G33" s="53"/>
      <c r="H33" s="50"/>
      <c r="I33" s="51"/>
      <c r="J33" s="51"/>
      <c r="K33" s="53"/>
      <c r="L33" s="54"/>
      <c r="M33" s="51"/>
      <c r="N33" s="51"/>
      <c r="O33" s="53"/>
    </row>
    <row r="34" ht="18" customHeight="1" spans="1:15" s="40" customFormat="1" x14ac:dyDescent="0.25">
      <c r="A34" s="40"/>
      <c r="B34" s="71"/>
      <c r="C34" s="63" t="s">
        <v>17</v>
      </c>
      <c r="D34" s="57"/>
      <c r="E34" s="58"/>
      <c r="F34" s="58"/>
      <c r="G34" s="60"/>
      <c r="H34" s="57"/>
      <c r="I34" s="58"/>
      <c r="J34" s="58"/>
      <c r="K34" s="60"/>
      <c r="L34" s="61"/>
      <c r="M34" s="58"/>
      <c r="N34" s="58"/>
      <c r="O34" s="60"/>
    </row>
    <row r="35" ht="18" customHeight="1" spans="1:15" s="40" customFormat="1" x14ac:dyDescent="0.25">
      <c r="A35" s="40"/>
      <c r="B35" s="40"/>
      <c r="C35" s="78" t="s">
        <v>18</v>
      </c>
      <c r="D35" s="50"/>
      <c r="E35" s="51"/>
      <c r="F35" s="51"/>
      <c r="G35" s="53"/>
      <c r="H35" s="50"/>
      <c r="I35" s="51"/>
      <c r="J35" s="51"/>
      <c r="K35" s="53"/>
      <c r="L35" s="54"/>
      <c r="M35" s="51"/>
      <c r="N35" s="51"/>
      <c r="O35" s="53"/>
    </row>
    <row r="36" ht="18" customHeight="1" hidden="1" spans="1:15" s="40" customFormat="1" x14ac:dyDescent="0.25">
      <c r="A36" s="40"/>
      <c r="B36" s="71"/>
      <c r="C36" s="72" t="s">
        <v>17</v>
      </c>
      <c r="D36" s="73"/>
      <c r="E36" s="74"/>
      <c r="F36" s="74"/>
      <c r="G36" s="76"/>
      <c r="H36" s="73"/>
      <c r="I36" s="74"/>
      <c r="J36" s="74"/>
      <c r="K36" s="76"/>
      <c r="L36" s="77"/>
      <c r="M36" s="74"/>
      <c r="N36" s="74"/>
      <c r="O36" s="76"/>
    </row>
    <row r="37" ht="18" customHeight="1" hidden="1" spans="1:15" s="40" customFormat="1" x14ac:dyDescent="0.25">
      <c r="A37" s="40"/>
      <c r="B37" s="40"/>
      <c r="C37" s="64" t="s">
        <v>18</v>
      </c>
      <c r="D37" s="65"/>
      <c r="E37" s="66"/>
      <c r="F37" s="66"/>
      <c r="G37" s="68"/>
      <c r="H37" s="65"/>
      <c r="I37" s="66"/>
      <c r="J37" s="66"/>
      <c r="K37" s="68"/>
      <c r="L37" s="69"/>
      <c r="M37" s="66"/>
      <c r="N37" s="66"/>
      <c r="O37" s="68"/>
    </row>
    <row r="38" ht="22.9" customHeight="1" hidden="1" spans="1:15" s="40" customFormat="1" x14ac:dyDescent="0.25">
      <c r="A38" s="70"/>
      <c r="B38" s="71"/>
      <c r="C38" s="72" t="s">
        <v>17</v>
      </c>
      <c r="D38" s="73"/>
      <c r="E38" s="74"/>
      <c r="F38" s="74"/>
      <c r="G38" s="76"/>
      <c r="H38" s="73"/>
      <c r="I38" s="74"/>
      <c r="J38" s="74"/>
      <c r="K38" s="76"/>
      <c r="L38" s="77"/>
      <c r="M38" s="74"/>
      <c r="N38" s="74"/>
      <c r="O38" s="76"/>
    </row>
    <row r="39" ht="22.9" customHeight="1" hidden="1" spans="1:15" s="40" customFormat="1" x14ac:dyDescent="0.25">
      <c r="A39" s="40"/>
      <c r="B39" s="40"/>
      <c r="C39" s="78" t="s">
        <v>18</v>
      </c>
      <c r="D39" s="50"/>
      <c r="E39" s="51"/>
      <c r="F39" s="51"/>
      <c r="G39" s="53"/>
      <c r="H39" s="50"/>
      <c r="I39" s="51"/>
      <c r="J39" s="51"/>
      <c r="K39" s="53"/>
      <c r="L39" s="54"/>
      <c r="M39" s="51"/>
      <c r="N39" s="51"/>
      <c r="O39" s="53"/>
    </row>
    <row r="40" ht="22.9" customHeight="1" hidden="1" spans="1:15" s="40" customFormat="1" x14ac:dyDescent="0.25">
      <c r="A40" s="89"/>
      <c r="B40" s="55"/>
      <c r="C40" s="63" t="s">
        <v>17</v>
      </c>
      <c r="D40" s="57"/>
      <c r="E40" s="58"/>
      <c r="F40" s="58"/>
      <c r="G40" s="59"/>
      <c r="H40" s="57"/>
      <c r="I40" s="58"/>
      <c r="J40" s="58"/>
      <c r="K40" s="60"/>
      <c r="L40" s="61"/>
      <c r="M40" s="58"/>
      <c r="N40" s="58"/>
      <c r="O40" s="60"/>
    </row>
    <row r="41" ht="22.9" customHeight="1" hidden="1" spans="1:15" s="40" customFormat="1" x14ac:dyDescent="0.25">
      <c r="A41" s="40"/>
      <c r="B41" s="40"/>
      <c r="C41" s="78" t="s">
        <v>18</v>
      </c>
      <c r="D41" s="50"/>
      <c r="E41" s="51"/>
      <c r="F41" s="51"/>
      <c r="G41" s="52"/>
      <c r="H41" s="50"/>
      <c r="I41" s="51"/>
      <c r="J41" s="51"/>
      <c r="K41" s="53"/>
      <c r="L41" s="54"/>
      <c r="M41" s="51"/>
      <c r="N41" s="51"/>
      <c r="O41" s="53"/>
    </row>
    <row r="42" ht="22.9" customHeight="1" hidden="1" spans="1:15" s="40" customFormat="1" x14ac:dyDescent="0.25">
      <c r="A42" s="89"/>
      <c r="B42" s="90"/>
      <c r="C42" s="63" t="s">
        <v>17</v>
      </c>
      <c r="D42" s="57"/>
      <c r="E42" s="58"/>
      <c r="F42" s="58"/>
      <c r="G42" s="59"/>
      <c r="H42" s="57"/>
      <c r="I42" s="58"/>
      <c r="J42" s="58"/>
      <c r="K42" s="60"/>
      <c r="L42" s="61"/>
      <c r="M42" s="58"/>
      <c r="N42" s="58"/>
      <c r="O42" s="60"/>
    </row>
    <row r="43" ht="22.9" customHeight="1" hidden="1" spans="1:15" s="40" customFormat="1" x14ac:dyDescent="0.25">
      <c r="A43" s="40"/>
      <c r="B43" s="40"/>
      <c r="C43" s="78" t="s">
        <v>18</v>
      </c>
      <c r="D43" s="50"/>
      <c r="E43" s="51"/>
      <c r="F43" s="51"/>
      <c r="G43" s="52"/>
      <c r="H43" s="50"/>
      <c r="I43" s="51"/>
      <c r="J43" s="51"/>
      <c r="K43" s="53"/>
      <c r="L43" s="54"/>
      <c r="M43" s="51"/>
      <c r="N43" s="51"/>
      <c r="O43" s="53"/>
    </row>
    <row r="44" ht="22.9" customHeight="1" hidden="1" spans="1:15" s="40" customFormat="1" x14ac:dyDescent="0.25">
      <c r="A44" s="89"/>
      <c r="B44" s="55"/>
      <c r="C44" s="63" t="s">
        <v>17</v>
      </c>
      <c r="D44" s="57"/>
      <c r="E44" s="58"/>
      <c r="F44" s="58"/>
      <c r="G44" s="59"/>
      <c r="H44" s="57"/>
      <c r="I44" s="58"/>
      <c r="J44" s="58"/>
      <c r="K44" s="60"/>
      <c r="L44" s="61"/>
      <c r="M44" s="58"/>
      <c r="N44" s="58"/>
      <c r="O44" s="60"/>
    </row>
    <row r="45" ht="22.9" customHeight="1" hidden="1" spans="1:15" s="40" customFormat="1" x14ac:dyDescent="0.25">
      <c r="A45" s="40"/>
      <c r="B45" s="40"/>
      <c r="C45" s="78" t="s">
        <v>18</v>
      </c>
      <c r="D45" s="50"/>
      <c r="E45" s="51"/>
      <c r="F45" s="51"/>
      <c r="G45" s="52"/>
      <c r="H45" s="50"/>
      <c r="I45" s="51"/>
      <c r="J45" s="51"/>
      <c r="K45" s="53"/>
      <c r="L45" s="54"/>
      <c r="M45" s="51"/>
      <c r="N45" s="51"/>
      <c r="O45" s="53"/>
    </row>
    <row r="46" ht="22.9" customHeight="1" hidden="1" spans="1:15" s="40" customFormat="1" x14ac:dyDescent="0.25">
      <c r="A46" s="89"/>
      <c r="B46" s="55"/>
      <c r="C46" s="63" t="s">
        <v>17</v>
      </c>
      <c r="D46" s="57"/>
      <c r="E46" s="58"/>
      <c r="F46" s="58"/>
      <c r="G46" s="60"/>
      <c r="H46" s="57"/>
      <c r="I46" s="58"/>
      <c r="J46" s="58"/>
      <c r="K46" s="60"/>
      <c r="L46" s="61"/>
      <c r="M46" s="58"/>
      <c r="N46" s="58"/>
      <c r="O46" s="60"/>
    </row>
    <row r="47" ht="22.9" customHeight="1" hidden="1" spans="1:15" s="40" customFormat="1" x14ac:dyDescent="0.25">
      <c r="A47" s="40"/>
      <c r="B47" s="40"/>
      <c r="C47" s="78" t="s">
        <v>18</v>
      </c>
      <c r="D47" s="50"/>
      <c r="E47" s="51"/>
      <c r="F47" s="51"/>
      <c r="G47" s="53"/>
      <c r="H47" s="50"/>
      <c r="I47" s="51"/>
      <c r="J47" s="51"/>
      <c r="K47" s="53"/>
      <c r="L47" s="54"/>
      <c r="M47" s="51"/>
      <c r="N47" s="51"/>
      <c r="O47" s="53"/>
    </row>
    <row r="48" ht="22.9" customHeight="1" hidden="1" spans="1:15" s="40" customFormat="1" x14ac:dyDescent="0.25">
      <c r="A48" s="89"/>
      <c r="B48" s="55"/>
      <c r="C48" s="63" t="s">
        <v>17</v>
      </c>
      <c r="D48" s="57"/>
      <c r="E48" s="58"/>
      <c r="F48" s="58"/>
      <c r="G48" s="60"/>
      <c r="H48" s="57"/>
      <c r="I48" s="58"/>
      <c r="J48" s="58"/>
      <c r="K48" s="60"/>
      <c r="L48" s="61"/>
      <c r="M48" s="58"/>
      <c r="N48" s="58"/>
      <c r="O48" s="60"/>
    </row>
    <row r="49" ht="22.9" customHeight="1" hidden="1" spans="1:15" s="40" customFormat="1" x14ac:dyDescent="0.25">
      <c r="A49" s="40"/>
      <c r="B49" s="40"/>
      <c r="C49" s="78" t="s">
        <v>18</v>
      </c>
      <c r="D49" s="50"/>
      <c r="E49" s="51"/>
      <c r="F49" s="51"/>
      <c r="G49" s="53"/>
      <c r="H49" s="50"/>
      <c r="I49" s="51"/>
      <c r="J49" s="51"/>
      <c r="K49" s="53"/>
      <c r="L49" s="54"/>
      <c r="M49" s="51"/>
      <c r="N49" s="51"/>
      <c r="O49" s="53"/>
    </row>
    <row r="50" ht="22.9" customHeight="1" hidden="1" spans="1:15" s="40" customFormat="1" x14ac:dyDescent="0.25">
      <c r="A50" s="89"/>
      <c r="B50" s="55"/>
      <c r="C50" s="63" t="s">
        <v>17</v>
      </c>
      <c r="D50" s="57"/>
      <c r="E50" s="58"/>
      <c r="F50" s="58"/>
      <c r="G50" s="60"/>
      <c r="H50" s="57"/>
      <c r="I50" s="58"/>
      <c r="J50" s="58"/>
      <c r="K50" s="60"/>
      <c r="L50" s="61"/>
      <c r="M50" s="58"/>
      <c r="N50" s="58"/>
      <c r="O50" s="60"/>
    </row>
    <row r="51" ht="22.9" customHeight="1" hidden="1" spans="1:15" s="40" customFormat="1" x14ac:dyDescent="0.25">
      <c r="A51" s="40"/>
      <c r="B51" s="40"/>
      <c r="C51" s="78" t="s">
        <v>18</v>
      </c>
      <c r="D51" s="50"/>
      <c r="E51" s="51"/>
      <c r="F51" s="51"/>
      <c r="G51" s="53"/>
      <c r="H51" s="50"/>
      <c r="I51" s="51"/>
      <c r="J51" s="51"/>
      <c r="K51" s="53"/>
      <c r="L51" s="54"/>
      <c r="M51" s="51"/>
      <c r="N51" s="51"/>
      <c r="O51" s="53"/>
    </row>
    <row r="52" ht="22.9" customHeight="1" hidden="1" spans="1:15" s="40" customFormat="1" x14ac:dyDescent="0.25">
      <c r="A52" s="89"/>
      <c r="B52" s="55"/>
      <c r="C52" s="72" t="s">
        <v>17</v>
      </c>
      <c r="D52" s="73"/>
      <c r="E52" s="74"/>
      <c r="F52" s="74"/>
      <c r="G52" s="76"/>
      <c r="H52" s="73"/>
      <c r="I52" s="74"/>
      <c r="J52" s="74"/>
      <c r="K52" s="76"/>
      <c r="L52" s="77"/>
      <c r="M52" s="74"/>
      <c r="N52" s="74"/>
      <c r="O52" s="76"/>
    </row>
    <row r="53" ht="22.9" customHeight="1" hidden="1" spans="1:15" s="40" customFormat="1" x14ac:dyDescent="0.25">
      <c r="A53" s="40"/>
      <c r="B53" s="40"/>
      <c r="C53" s="78" t="s">
        <v>18</v>
      </c>
      <c r="D53" s="50"/>
      <c r="E53" s="51"/>
      <c r="F53" s="51"/>
      <c r="G53" s="53"/>
      <c r="H53" s="50"/>
      <c r="I53" s="51"/>
      <c r="J53" s="51"/>
      <c r="K53" s="53"/>
      <c r="L53" s="54"/>
      <c r="M53" s="51"/>
      <c r="N53" s="51"/>
      <c r="O53" s="53"/>
    </row>
    <row r="54" ht="22.9" customHeight="1" hidden="1" spans="1:15" s="40" customFormat="1" x14ac:dyDescent="0.25">
      <c r="A54" s="89"/>
      <c r="B54" s="55"/>
      <c r="C54" s="63" t="s">
        <v>17</v>
      </c>
      <c r="D54" s="57"/>
      <c r="E54" s="58"/>
      <c r="F54" s="58"/>
      <c r="G54" s="59"/>
      <c r="H54" s="57"/>
      <c r="I54" s="58"/>
      <c r="J54" s="58"/>
      <c r="K54" s="60"/>
      <c r="L54" s="61"/>
      <c r="M54" s="58"/>
      <c r="N54" s="58"/>
      <c r="O54" s="60"/>
    </row>
    <row r="55" ht="22.9" customHeight="1" hidden="1" spans="1:15" s="40" customFormat="1" x14ac:dyDescent="0.25">
      <c r="A55" s="40"/>
      <c r="B55" s="40"/>
      <c r="C55" s="78" t="s">
        <v>18</v>
      </c>
      <c r="D55" s="50"/>
      <c r="E55" s="51"/>
      <c r="F55" s="51"/>
      <c r="G55" s="52"/>
      <c r="H55" s="50"/>
      <c r="I55" s="51"/>
      <c r="J55" s="51"/>
      <c r="K55" s="53"/>
      <c r="L55" s="54"/>
      <c r="M55" s="51"/>
      <c r="N55" s="51"/>
      <c r="O55" s="53"/>
    </row>
    <row r="56" ht="22.9" customHeight="1" hidden="1" spans="1:15" s="40" customFormat="1" x14ac:dyDescent="0.25">
      <c r="A56" s="89"/>
      <c r="B56" s="90"/>
      <c r="C56" s="63" t="s">
        <v>17</v>
      </c>
      <c r="D56" s="57"/>
      <c r="E56" s="58"/>
      <c r="F56" s="58"/>
      <c r="G56" s="59"/>
      <c r="H56" s="57"/>
      <c r="I56" s="58"/>
      <c r="J56" s="58"/>
      <c r="K56" s="60"/>
      <c r="L56" s="61"/>
      <c r="M56" s="58"/>
      <c r="N56" s="58"/>
      <c r="O56" s="60"/>
    </row>
    <row r="57" ht="22.9" customHeight="1" hidden="1" spans="1:15" s="40" customFormat="1" x14ac:dyDescent="0.25">
      <c r="A57" s="40"/>
      <c r="B57" s="40"/>
      <c r="C57" s="78" t="s">
        <v>18</v>
      </c>
      <c r="D57" s="50"/>
      <c r="E57" s="51"/>
      <c r="F57" s="51"/>
      <c r="G57" s="52"/>
      <c r="H57" s="50"/>
      <c r="I57" s="51"/>
      <c r="J57" s="51"/>
      <c r="K57" s="53"/>
      <c r="L57" s="54"/>
      <c r="M57" s="51"/>
      <c r="N57" s="51"/>
      <c r="O57" s="53"/>
    </row>
    <row r="58" ht="22.9" customHeight="1" hidden="1" spans="1:15" s="40" customFormat="1" x14ac:dyDescent="0.25">
      <c r="A58" s="70"/>
      <c r="B58" s="71"/>
      <c r="C58" s="63" t="s">
        <v>17</v>
      </c>
      <c r="D58" s="57"/>
      <c r="E58" s="58"/>
      <c r="F58" s="58"/>
      <c r="G58" s="59"/>
      <c r="H58" s="57"/>
      <c r="I58" s="58"/>
      <c r="J58" s="58"/>
      <c r="K58" s="60"/>
      <c r="L58" s="61"/>
      <c r="M58" s="58"/>
      <c r="N58" s="58"/>
      <c r="O58" s="60"/>
    </row>
    <row r="59" ht="22.9" customHeight="1" hidden="1" spans="1:15" s="40" customFormat="1" x14ac:dyDescent="0.25">
      <c r="A59" s="40"/>
      <c r="B59" s="40"/>
      <c r="C59" s="78" t="s">
        <v>18</v>
      </c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22.9" customHeight="1" hidden="1" spans="1:15" s="40" customFormat="1" x14ac:dyDescent="0.25">
      <c r="A60" s="70"/>
      <c r="B60" s="71"/>
      <c r="C60" s="63" t="s">
        <v>17</v>
      </c>
      <c r="D60" s="57"/>
      <c r="E60" s="58"/>
      <c r="F60" s="58"/>
      <c r="G60" s="60"/>
      <c r="H60" s="57"/>
      <c r="I60" s="58"/>
      <c r="J60" s="58"/>
      <c r="K60" s="60"/>
      <c r="L60" s="61"/>
      <c r="M60" s="58"/>
      <c r="N60" s="58"/>
      <c r="O60" s="60"/>
    </row>
    <row r="61" ht="22.9" customHeight="1" hidden="1" spans="1:15" s="40" customFormat="1" x14ac:dyDescent="0.25">
      <c r="A61" s="40"/>
      <c r="B61" s="40"/>
      <c r="C61" s="78" t="s">
        <v>18</v>
      </c>
      <c r="D61" s="50"/>
      <c r="E61" s="51"/>
      <c r="F61" s="51"/>
      <c r="G61" s="53"/>
      <c r="H61" s="50"/>
      <c r="I61" s="51"/>
      <c r="J61" s="51"/>
      <c r="K61" s="53"/>
      <c r="L61" s="54"/>
      <c r="M61" s="51"/>
      <c r="N61" s="51"/>
      <c r="O61" s="53"/>
    </row>
    <row r="62" ht="22.9" customHeight="1" hidden="1" spans="1:15" s="40" customFormat="1" x14ac:dyDescent="0.25">
      <c r="A62" s="70"/>
      <c r="B62" s="71"/>
      <c r="C62" s="63" t="s">
        <v>17</v>
      </c>
      <c r="D62" s="57"/>
      <c r="E62" s="58"/>
      <c r="F62" s="58"/>
      <c r="G62" s="60"/>
      <c r="H62" s="57"/>
      <c r="I62" s="58"/>
      <c r="J62" s="58"/>
      <c r="K62" s="60"/>
      <c r="L62" s="61"/>
      <c r="M62" s="58"/>
      <c r="N62" s="58"/>
      <c r="O62" s="60"/>
    </row>
    <row r="63" ht="22.9" customHeight="1" hidden="1" spans="1:15" s="40" customFormat="1" x14ac:dyDescent="0.25">
      <c r="A63" s="40"/>
      <c r="B63" s="40"/>
      <c r="C63" s="78" t="s">
        <v>18</v>
      </c>
      <c r="D63" s="50"/>
      <c r="E63" s="51"/>
      <c r="F63" s="51"/>
      <c r="G63" s="53"/>
      <c r="H63" s="50"/>
      <c r="I63" s="51"/>
      <c r="J63" s="51"/>
      <c r="K63" s="53"/>
      <c r="L63" s="54"/>
      <c r="M63" s="51"/>
      <c r="N63" s="51"/>
      <c r="O63" s="53"/>
    </row>
    <row r="64" ht="22.9" customHeight="1" hidden="1" spans="1:15" s="40" customFormat="1" x14ac:dyDescent="0.25">
      <c r="A64" s="70"/>
      <c r="B64" s="71"/>
      <c r="C64" s="63" t="s">
        <v>17</v>
      </c>
      <c r="D64" s="57"/>
      <c r="E64" s="58"/>
      <c r="F64" s="58"/>
      <c r="G64" s="60"/>
      <c r="H64" s="57"/>
      <c r="I64" s="58"/>
      <c r="J64" s="58"/>
      <c r="K64" s="60"/>
      <c r="L64" s="61"/>
      <c r="M64" s="58"/>
      <c r="N64" s="58"/>
      <c r="O64" s="60"/>
    </row>
    <row r="65" ht="22.9" customHeight="1" hidden="1" spans="1:15" s="40" customFormat="1" x14ac:dyDescent="0.25">
      <c r="A65" s="40"/>
      <c r="B65" s="40"/>
      <c r="C65" s="78" t="s">
        <v>18</v>
      </c>
      <c r="D65" s="50"/>
      <c r="E65" s="51"/>
      <c r="F65" s="51"/>
      <c r="G65" s="53"/>
      <c r="H65" s="50"/>
      <c r="I65" s="51"/>
      <c r="J65" s="51"/>
      <c r="K65" s="53"/>
      <c r="L65" s="54"/>
      <c r="M65" s="51"/>
      <c r="N65" s="51"/>
      <c r="O65" s="53"/>
    </row>
    <row r="66" ht="22.9" customHeight="1" hidden="1" spans="1:15" s="40" customFormat="1" x14ac:dyDescent="0.25">
      <c r="A66" s="89"/>
      <c r="B66" s="55"/>
      <c r="C66" s="63" t="s">
        <v>17</v>
      </c>
      <c r="D66" s="57"/>
      <c r="E66" s="58"/>
      <c r="F66" s="58"/>
      <c r="G66" s="60"/>
      <c r="H66" s="57"/>
      <c r="I66" s="58"/>
      <c r="J66" s="58"/>
      <c r="K66" s="60"/>
      <c r="L66" s="61"/>
      <c r="M66" s="58"/>
      <c r="N66" s="58"/>
      <c r="O66" s="60"/>
    </row>
    <row r="67" ht="22.9" customHeight="1" hidden="1" spans="1:15" s="40" customFormat="1" x14ac:dyDescent="0.25">
      <c r="A67" s="40"/>
      <c r="B67" s="40"/>
      <c r="C67" s="64" t="s">
        <v>18</v>
      </c>
      <c r="D67" s="65"/>
      <c r="E67" s="66"/>
      <c r="F67" s="66"/>
      <c r="G67" s="68"/>
      <c r="H67" s="65"/>
      <c r="I67" s="66"/>
      <c r="J67" s="66"/>
      <c r="K67" s="68"/>
      <c r="L67" s="69"/>
      <c r="M67" s="66"/>
      <c r="N67" s="66"/>
      <c r="O67" s="68"/>
    </row>
    <row r="68" ht="22.9" customHeight="1" hidden="1" spans="1:15" s="40" customFormat="1" x14ac:dyDescent="0.25">
      <c r="A68" s="70"/>
      <c r="B68" s="71"/>
      <c r="C68" s="72" t="s">
        <v>17</v>
      </c>
      <c r="D68" s="73"/>
      <c r="E68" s="74"/>
      <c r="F68" s="74"/>
      <c r="G68" s="75"/>
      <c r="H68" s="73"/>
      <c r="I68" s="74"/>
      <c r="J68" s="74"/>
      <c r="K68" s="76"/>
      <c r="L68" s="77"/>
      <c r="M68" s="74"/>
      <c r="N68" s="74"/>
      <c r="O68" s="76"/>
    </row>
    <row r="69" ht="22.9" customHeight="1" hidden="1" spans="1:15" s="40" customFormat="1" x14ac:dyDescent="0.25">
      <c r="A69" s="40"/>
      <c r="B69" s="40"/>
      <c r="C69" s="78" t="s">
        <v>18</v>
      </c>
      <c r="D69" s="50"/>
      <c r="E69" s="51"/>
      <c r="F69" s="51"/>
      <c r="G69" s="52"/>
      <c r="H69" s="50"/>
      <c r="I69" s="51"/>
      <c r="J69" s="51"/>
      <c r="K69" s="53"/>
      <c r="L69" s="54"/>
      <c r="M69" s="51"/>
      <c r="N69" s="51"/>
      <c r="O69" s="53"/>
    </row>
    <row r="70" ht="22.9" customHeight="1" hidden="1" spans="1:15" s="40" customFormat="1" x14ac:dyDescent="0.25">
      <c r="A70" s="70"/>
      <c r="B70" s="55"/>
      <c r="C70" s="63" t="s">
        <v>17</v>
      </c>
      <c r="D70" s="57"/>
      <c r="E70" s="58"/>
      <c r="F70" s="58"/>
      <c r="G70" s="59"/>
      <c r="H70" s="57"/>
      <c r="I70" s="58"/>
      <c r="J70" s="58"/>
      <c r="K70" s="60"/>
      <c r="L70" s="61"/>
      <c r="M70" s="58"/>
      <c r="N70" s="58"/>
      <c r="O70" s="60"/>
    </row>
    <row r="71" ht="22.9" customHeight="1" hidden="1" spans="1:15" s="40" customFormat="1" x14ac:dyDescent="0.25">
      <c r="A71" s="40"/>
      <c r="B71" s="40"/>
      <c r="C71" s="91" t="s">
        <v>18</v>
      </c>
      <c r="D71" s="92"/>
      <c r="E71" s="32"/>
      <c r="F71" s="32"/>
      <c r="G71" s="93"/>
      <c r="H71" s="92"/>
      <c r="I71" s="32"/>
      <c r="J71" s="32"/>
      <c r="K71" s="94"/>
      <c r="L71" s="95"/>
      <c r="M71" s="32"/>
      <c r="N71" s="32"/>
      <c r="O71" s="94"/>
    </row>
    <row r="72" ht="22.15" customHeight="1" spans="1:15" s="40" customFormat="1" x14ac:dyDescent="0.25">
      <c r="A72" s="96" t="s">
        <v>19</v>
      </c>
      <c r="B72" s="97"/>
      <c r="C72" s="98"/>
      <c r="D72" s="99">
        <f>SUM(D34,D32,D30,D28,D26,D24,D22,D20,D18,D16,D14,D12,D10)</f>
        <v>49</v>
      </c>
      <c r="E72" s="100">
        <f t="shared" ref="E72:O72" si="0">SUM(E10,E12,E16,E18,E20,E22,E24,E26,E14,E28,E32,E34,E36,E38,E40,E42,E44,E46,E48,E50,E52,E54,E56,E58,E60,E62,E64,E66,E68,E70)</f>
        <v>0</v>
      </c>
      <c r="F72" s="100">
        <f>SUM(F34,F32,F30,F28,F26,F24,F22,F20,F18,F16,F14,F12,F10)</f>
        <v>147</v>
      </c>
      <c r="G72" s="101">
        <f t="shared" si="0"/>
        <v>0</v>
      </c>
      <c r="H72" s="99">
        <f>SUM(H34,H32,H30,H28,H26,H24,H22,H20,H18,H16,H14,H12,H10)</f>
        <v>28</v>
      </c>
      <c r="I72" s="100">
        <f t="shared" si="0"/>
        <v>0</v>
      </c>
      <c r="J72" s="100">
        <f>SUM(J34,J32,J30,J28,J26,J24,J22,J20,J18,J16,J14,J12,J10)</f>
        <v>132</v>
      </c>
      <c r="K72" s="102">
        <f t="shared" si="0"/>
        <v>0</v>
      </c>
      <c r="L72" s="103">
        <f t="shared" si="0"/>
        <v>0</v>
      </c>
      <c r="M72" s="100">
        <f t="shared" si="0"/>
        <v>0</v>
      </c>
      <c r="N72" s="100">
        <f t="shared" si="0"/>
        <v>0</v>
      </c>
      <c r="O72" s="102">
        <f t="shared" si="0"/>
        <v>0</v>
      </c>
    </row>
    <row r="73" ht="22.15" customHeight="1" spans="1:15" s="40" customFormat="1" x14ac:dyDescent="0.25">
      <c r="A73" s="104"/>
      <c r="B73" s="105"/>
      <c r="C73" s="106"/>
      <c r="D73" s="107">
        <f>SUM(D35,D33,D31,D29,D27,D25,D23,D21,D19,D17,D15,D13,D11)</f>
        <v>0</v>
      </c>
      <c r="E73" s="108">
        <f t="shared" ref="E73:O73" si="1">SUM(E11,E13,E17,E19,E21,E23,E25,E27,E15,E29,E33,E35,E37,E39,E41,E43,E45,E47,E49,E51,E53,E55,E57,E59,E61,E63,E65,E67,E69,E71)</f>
        <v>0</v>
      </c>
      <c r="F73" s="108">
        <f>SUM(F35,F33,F31,F29,F27,F25,F23,F21,F19,F17,F15,F13,F11)</f>
        <v>0</v>
      </c>
      <c r="G73" s="109">
        <f t="shared" si="1"/>
        <v>0</v>
      </c>
      <c r="H73" s="107">
        <f t="shared" si="1"/>
        <v>0</v>
      </c>
      <c r="I73" s="108">
        <f t="shared" si="1"/>
        <v>0</v>
      </c>
      <c r="J73" s="108">
        <f t="shared" si="1"/>
        <v>0</v>
      </c>
      <c r="K73" s="110">
        <f t="shared" si="1"/>
        <v>0</v>
      </c>
      <c r="L73" s="111">
        <f t="shared" si="1"/>
        <v>0</v>
      </c>
      <c r="M73" s="108">
        <f t="shared" si="1"/>
        <v>0</v>
      </c>
      <c r="N73" s="108">
        <f t="shared" si="1"/>
        <v>0</v>
      </c>
      <c r="O73" s="110">
        <f t="shared" si="1"/>
        <v>0</v>
      </c>
    </row>
    <row r="74" ht="9.75" customHeight="1" spans="1:15" x14ac:dyDescent="0.25">
      <c r="A74" s="112"/>
      <c r="B74" s="112"/>
      <c r="C74" s="113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</row>
    <row r="75" ht="13.5" customHeight="1" spans="1:15" x14ac:dyDescent="0.25">
      <c r="A75" s="115" t="s">
        <v>20</v>
      </c>
      <c r="B75" s="116"/>
      <c r="C75" s="116"/>
      <c r="D75" s="116"/>
      <c r="E75" s="116"/>
      <c r="F75" s="116"/>
      <c r="G75" s="117"/>
      <c r="H75" s="118" t="s">
        <v>21</v>
      </c>
      <c r="I75" s="119"/>
      <c r="J75" s="119"/>
      <c r="K75" s="119"/>
      <c r="L75" s="119"/>
      <c r="M75" s="119"/>
      <c r="N75" s="119"/>
      <c r="O75" s="120"/>
    </row>
    <row r="76" ht="15" customHeight="1" spans="1:15" x14ac:dyDescent="0.25">
      <c r="A76" s="121"/>
      <c r="B76" s="122"/>
      <c r="C76" s="122"/>
      <c r="D76" s="122"/>
      <c r="E76" s="122"/>
      <c r="F76" s="122"/>
      <c r="G76" s="123"/>
      <c r="H76" s="121"/>
      <c r="I76" s="122"/>
      <c r="J76" s="122"/>
      <c r="K76" s="122"/>
      <c r="L76" s="122"/>
      <c r="M76" s="122"/>
      <c r="N76" s="122"/>
      <c r="O76" s="123"/>
    </row>
    <row r="77" ht="15" customHeight="1" spans="1:15" x14ac:dyDescent="0.25">
      <c r="A77" s="124"/>
      <c r="B77" s="125"/>
      <c r="C77" s="125"/>
      <c r="D77" s="125"/>
      <c r="E77" s="125"/>
      <c r="F77" s="125"/>
      <c r="G77" s="126"/>
      <c r="H77" s="124"/>
      <c r="I77" s="125"/>
      <c r="J77" s="125"/>
      <c r="K77" s="125"/>
      <c r="L77" s="125"/>
      <c r="M77" s="125"/>
      <c r="N77" s="125"/>
      <c r="O77" s="126"/>
    </row>
    <row r="78" ht="15" customHeight="1" spans="1:15" x14ac:dyDescent="0.25">
      <c r="A78" s="127"/>
      <c r="B78" s="128"/>
      <c r="C78" s="128"/>
      <c r="D78" s="128"/>
      <c r="E78" s="128"/>
      <c r="F78" s="128"/>
      <c r="G78" s="129"/>
      <c r="H78" s="127"/>
      <c r="I78" s="128"/>
      <c r="J78" s="128"/>
      <c r="K78" s="128"/>
      <c r="L78" s="128"/>
      <c r="M78" s="128"/>
      <c r="N78" s="128"/>
      <c r="O78" s="129"/>
    </row>
    <row r="79" ht="15" customHeight="1" hidden="1" spans="1:15" x14ac:dyDescent="0.25">
      <c r="A79" s="127"/>
      <c r="B79" s="128"/>
      <c r="C79" s="128"/>
      <c r="D79" s="128"/>
      <c r="E79" s="128"/>
      <c r="F79" s="128"/>
      <c r="G79" s="129"/>
      <c r="H79" s="127"/>
      <c r="I79" s="128"/>
      <c r="J79" s="128"/>
      <c r="K79" s="128"/>
      <c r="L79" s="128"/>
      <c r="M79" s="128"/>
      <c r="N79" s="128"/>
      <c r="O79" s="129"/>
    </row>
    <row r="80" ht="15" customHeight="1" hidden="1" spans="1:15" x14ac:dyDescent="0.25">
      <c r="A80" s="124"/>
      <c r="B80" s="125"/>
      <c r="C80" s="125"/>
      <c r="D80" s="125"/>
      <c r="E80" s="125"/>
      <c r="F80" s="125"/>
      <c r="G80" s="126"/>
      <c r="H80" s="124"/>
      <c r="I80" s="125"/>
      <c r="J80" s="125"/>
      <c r="K80" s="125"/>
      <c r="L80" s="125"/>
      <c r="M80" s="125"/>
      <c r="N80" s="125"/>
      <c r="O80" s="126"/>
    </row>
    <row r="81" ht="15" customHeight="1" hidden="1" spans="1:15" x14ac:dyDescent="0.25">
      <c r="A81" s="124"/>
      <c r="B81" s="125"/>
      <c r="C81" s="125"/>
      <c r="D81" s="125"/>
      <c r="E81" s="125"/>
      <c r="F81" s="125"/>
      <c r="G81" s="126"/>
      <c r="H81" s="124"/>
      <c r="I81" s="125"/>
      <c r="J81" s="125"/>
      <c r="K81" s="125"/>
      <c r="L81" s="125"/>
      <c r="M81" s="125"/>
      <c r="N81" s="125"/>
      <c r="O81" s="126"/>
    </row>
    <row r="82" ht="15" customHeight="1" hidden="1" spans="1:15" x14ac:dyDescent="0.25">
      <c r="A82" s="127"/>
      <c r="B82" s="128"/>
      <c r="C82" s="128"/>
      <c r="D82" s="128"/>
      <c r="E82" s="128"/>
      <c r="F82" s="128"/>
      <c r="G82" s="129"/>
      <c r="H82" s="127"/>
      <c r="I82" s="128"/>
      <c r="J82" s="128"/>
      <c r="K82" s="128"/>
      <c r="L82" s="128"/>
      <c r="M82" s="128"/>
      <c r="N82" s="128"/>
      <c r="O82" s="129"/>
    </row>
    <row r="83" ht="15" customHeight="1" hidden="1" spans="1:15" x14ac:dyDescent="0.25">
      <c r="A83" s="124"/>
      <c r="B83" s="125"/>
      <c r="C83" s="125"/>
      <c r="D83" s="125"/>
      <c r="E83" s="125"/>
      <c r="F83" s="125"/>
      <c r="G83" s="126"/>
      <c r="H83" s="124"/>
      <c r="I83" s="125"/>
      <c r="J83" s="125"/>
      <c r="K83" s="125"/>
      <c r="L83" s="125"/>
      <c r="M83" s="125"/>
      <c r="N83" s="125"/>
      <c r="O83" s="126"/>
    </row>
    <row r="84" ht="15" customHeight="1" spans="1:15" x14ac:dyDescent="0.25">
      <c r="A84" s="127"/>
      <c r="B84" s="128"/>
      <c r="C84" s="128"/>
      <c r="D84" s="128"/>
      <c r="E84" s="128"/>
      <c r="F84" s="128"/>
      <c r="G84" s="129"/>
      <c r="H84" s="127"/>
      <c r="I84" s="128"/>
      <c r="J84" s="128"/>
      <c r="K84" s="128"/>
      <c r="L84" s="128"/>
      <c r="M84" s="128"/>
      <c r="N84" s="128"/>
      <c r="O84" s="129"/>
    </row>
    <row r="85" ht="15" customHeight="1" spans="1:15" x14ac:dyDescent="0.25">
      <c r="A85" s="130"/>
      <c r="B85" s="131"/>
      <c r="C85" s="131"/>
      <c r="D85" s="131"/>
      <c r="E85" s="131"/>
      <c r="F85" s="131"/>
      <c r="G85" s="132"/>
      <c r="H85" s="133"/>
      <c r="I85" s="134"/>
      <c r="J85" s="134"/>
      <c r="K85" s="134"/>
      <c r="L85" s="134"/>
      <c r="M85" s="134"/>
      <c r="N85" s="134"/>
      <c r="O85" s="135"/>
    </row>
    <row r="86" ht="17.1" customHeight="1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7.1" customHeight="1" spans="4:4" x14ac:dyDescent="0.25">
      <c r="D87" s="1"/>
    </row>
    <row r="88" ht="17.1" customHeight="1" spans="4:4" x14ac:dyDescent="0.25">
      <c r="D88" s="2"/>
    </row>
    <row r="89" ht="17.1" customHeight="1" spans="1:15" x14ac:dyDescent="0.25">
      <c r="A89" s="136"/>
      <c r="B89" s="136"/>
      <c r="C89" s="136"/>
      <c r="D89" s="137"/>
      <c r="J89" s="136"/>
      <c r="K89" s="136"/>
      <c r="L89" s="136"/>
      <c r="M89" s="136"/>
      <c r="N89" s="136"/>
      <c r="O89" s="136"/>
    </row>
    <row r="90" ht="19.5" customHeight="1" spans="1:15" x14ac:dyDescent="0.25">
      <c r="A90" s="138" t="s">
        <v>22</v>
      </c>
      <c r="B90" s="138"/>
      <c r="C90" s="138"/>
      <c r="D90" s="138"/>
      <c r="E90" s="40"/>
      <c r="F90" s="40"/>
      <c r="G90" s="40"/>
      <c r="H90" s="40"/>
      <c r="I90" s="3"/>
      <c r="J90" s="138" t="s">
        <v>23</v>
      </c>
      <c r="K90" s="138"/>
      <c r="L90" s="138"/>
      <c r="M90" s="138"/>
      <c r="N90" s="138"/>
      <c r="O90" s="138"/>
    </row>
  </sheetData>
  <mergeCells count="3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2:C73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P104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12.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90" t="s">
        <v>175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</row>
    <row r="2" ht="13.5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185" t="s">
        <v>176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</row>
    <row r="5" ht="6" customHeight="1" spans="1:36" x14ac:dyDescent="0.25">
      <c r="A5" s="473"/>
      <c r="B5" s="473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  <c r="AH5" s="473"/>
      <c r="AI5" s="473"/>
      <c r="AJ5" s="473"/>
    </row>
    <row r="6" ht="13.5" customHeight="1" spans="1:36" s="16" customFormat="1" x14ac:dyDescent="0.25">
      <c r="A6" s="243" t="s">
        <v>177</v>
      </c>
      <c r="B6" s="243"/>
      <c r="C6" s="243"/>
      <c r="D6" s="243" t="str">
        <f>'Final Work'!B4</f>
        <v>YOKOHAMA TRADER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 t="s">
        <v>4</v>
      </c>
      <c r="P6" s="40"/>
      <c r="Q6" s="40"/>
      <c r="R6" s="113" t="str">
        <f>'Final Work'!G4</f>
        <v>2611E &amp; 2612W</v>
      </c>
      <c r="S6" s="113"/>
      <c r="T6" s="113"/>
      <c r="U6" s="113"/>
      <c r="V6" s="113"/>
      <c r="W6" s="113"/>
      <c r="X6" s="40"/>
      <c r="Y6" s="113" t="s">
        <v>5</v>
      </c>
      <c r="Z6" s="113"/>
      <c r="AA6" s="113"/>
      <c r="AB6" s="474">
        <f>'Final Work'!L4</f>
        <v>46219</v>
      </c>
      <c r="AC6" s="287"/>
      <c r="AD6" s="287"/>
      <c r="AE6" s="287"/>
      <c r="AF6" s="287"/>
      <c r="AG6" s="287"/>
      <c r="AH6" s="287"/>
      <c r="AI6" s="287"/>
      <c r="AJ6" s="287"/>
    </row>
    <row r="7" ht="6" customHeight="1" spans="1:36" s="16" customFormat="1" x14ac:dyDescent="0.25">
      <c r="A7" s="475"/>
      <c r="B7" s="475"/>
      <c r="C7" s="475"/>
      <c r="D7" s="475"/>
      <c r="E7" s="475"/>
      <c r="F7" s="475"/>
      <c r="G7" s="475"/>
      <c r="H7" s="475"/>
      <c r="I7" s="475"/>
      <c r="J7" s="475"/>
      <c r="K7" s="475"/>
      <c r="L7" s="475"/>
      <c r="M7" s="475"/>
      <c r="N7" s="475"/>
      <c r="O7" s="475"/>
      <c r="P7" s="475"/>
      <c r="Q7" s="475"/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</row>
    <row r="8" ht="13.5" customHeight="1" spans="1:36" s="16" customFormat="1" x14ac:dyDescent="0.25">
      <c r="A8" s="476" t="s">
        <v>178</v>
      </c>
      <c r="B8" s="476"/>
      <c r="C8" s="476"/>
      <c r="D8" s="476" t="s">
        <v>63</v>
      </c>
      <c r="E8" s="476"/>
      <c r="F8" s="476"/>
      <c r="G8" s="476"/>
      <c r="H8" s="476"/>
      <c r="I8" s="476"/>
      <c r="J8" s="477"/>
      <c r="K8" s="477"/>
      <c r="L8" s="40"/>
      <c r="M8" s="40"/>
      <c r="N8" s="40"/>
      <c r="O8" s="476" t="s">
        <v>7</v>
      </c>
      <c r="P8" s="477"/>
      <c r="Q8" s="477"/>
      <c r="R8" s="475">
        <f>'Final Work'!G6</f>
        <v>8</v>
      </c>
      <c r="S8" s="475"/>
      <c r="T8" s="475"/>
      <c r="U8" s="475"/>
      <c r="V8" s="475"/>
      <c r="W8" s="475"/>
      <c r="X8" s="477"/>
      <c r="Y8" s="475" t="s">
        <v>179</v>
      </c>
      <c r="Z8" s="475"/>
      <c r="AA8" s="475"/>
      <c r="AB8" s="475" t="s">
        <v>25</v>
      </c>
      <c r="AC8" s="475"/>
      <c r="AD8" s="475"/>
      <c r="AE8" s="475"/>
      <c r="AF8" s="475"/>
      <c r="AG8" s="475"/>
      <c r="AH8" s="475"/>
      <c r="AI8" s="475"/>
      <c r="AJ8" s="475"/>
    </row>
    <row r="9" ht="4.5" customHeight="1" spans="1:36" x14ac:dyDescent="0.25">
      <c r="A9" s="478"/>
      <c r="B9" s="478"/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</row>
    <row r="10" ht="17.1" customHeight="1" spans="1:36" s="40" customFormat="1" x14ac:dyDescent="0.25">
      <c r="A10" s="479" t="s">
        <v>180</v>
      </c>
      <c r="B10" s="480"/>
      <c r="C10" s="480"/>
      <c r="D10" s="480"/>
      <c r="E10" s="480"/>
      <c r="F10" s="480"/>
      <c r="G10" s="480"/>
      <c r="H10" s="481" t="s">
        <v>128</v>
      </c>
      <c r="I10" s="28"/>
      <c r="J10" s="28"/>
      <c r="K10" s="28"/>
      <c r="L10" s="28"/>
      <c r="M10" s="28"/>
      <c r="N10" s="28"/>
      <c r="O10" s="30"/>
      <c r="P10" s="481" t="s">
        <v>129</v>
      </c>
      <c r="Q10" s="28"/>
      <c r="R10" s="28"/>
      <c r="S10" s="28"/>
      <c r="T10" s="28"/>
      <c r="U10" s="28"/>
      <c r="V10" s="28"/>
      <c r="W10" s="30"/>
      <c r="X10" s="27" t="s">
        <v>131</v>
      </c>
      <c r="Y10" s="28"/>
      <c r="Z10" s="30"/>
      <c r="AA10" s="27" t="s">
        <v>50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82" t="s">
        <v>181</v>
      </c>
      <c r="B11" s="483"/>
      <c r="C11" s="483"/>
      <c r="D11" s="483"/>
      <c r="E11" s="483"/>
      <c r="F11" s="483"/>
      <c r="G11" s="483"/>
      <c r="H11" s="37" t="s">
        <v>13</v>
      </c>
      <c r="I11" s="35"/>
      <c r="J11" s="35" t="s">
        <v>14</v>
      </c>
      <c r="K11" s="35"/>
      <c r="L11" s="35" t="s">
        <v>182</v>
      </c>
      <c r="M11" s="35"/>
      <c r="N11" s="35" t="s">
        <v>16</v>
      </c>
      <c r="O11" s="484"/>
      <c r="P11" s="37" t="s">
        <v>13</v>
      </c>
      <c r="Q11" s="35"/>
      <c r="R11" s="35" t="s">
        <v>14</v>
      </c>
      <c r="S11" s="35"/>
      <c r="T11" s="35" t="s">
        <v>182</v>
      </c>
      <c r="U11" s="35"/>
      <c r="V11" s="35" t="s">
        <v>16</v>
      </c>
      <c r="W11" s="484"/>
      <c r="X11" s="39"/>
      <c r="Y11" s="35"/>
      <c r="Z11" s="484"/>
      <c r="AA11" s="39"/>
      <c r="AB11" s="35"/>
      <c r="AC11" s="35"/>
      <c r="AD11" s="35"/>
      <c r="AE11" s="35"/>
      <c r="AF11" s="35"/>
      <c r="AG11" s="35"/>
      <c r="AH11" s="35"/>
      <c r="AI11" s="35"/>
      <c r="AJ11" s="484"/>
    </row>
    <row r="12" ht="17.1" customHeight="1" spans="1:42" s="40" customFormat="1" x14ac:dyDescent="0.25">
      <c r="A12" s="485" t="s">
        <v>183</v>
      </c>
      <c r="B12" s="486"/>
      <c r="C12" s="486"/>
      <c r="D12" s="255"/>
      <c r="E12" s="40"/>
      <c r="F12" s="40"/>
      <c r="G12" s="40"/>
      <c r="H12" s="487"/>
      <c r="I12" s="40"/>
      <c r="J12" s="488"/>
      <c r="K12" s="40"/>
      <c r="L12" s="489"/>
      <c r="M12" s="40"/>
      <c r="N12" s="489"/>
      <c r="O12" s="40"/>
      <c r="P12" s="487"/>
      <c r="Q12" s="40"/>
      <c r="R12" s="490"/>
      <c r="S12" s="40"/>
      <c r="T12" s="490"/>
      <c r="U12" s="40"/>
      <c r="V12" s="490"/>
      <c r="W12" s="40"/>
      <c r="X12" s="491">
        <f t="shared" ref="X12:X18" si="0">SUM(H12:W12)</f>
        <v>100</v>
      </c>
      <c r="Y12" s="488"/>
      <c r="Z12" s="492"/>
      <c r="AA12" s="493"/>
      <c r="AB12" s="494"/>
      <c r="AC12" s="494"/>
      <c r="AD12" s="494"/>
      <c r="AE12" s="494"/>
      <c r="AF12" s="494"/>
      <c r="AG12" s="494"/>
      <c r="AH12" s="494"/>
      <c r="AI12" s="494"/>
      <c r="AJ12" s="495"/>
      <c r="AK12" s="496"/>
      <c r="AL12" s="496"/>
      <c r="AM12" s="496"/>
      <c r="AN12" s="496"/>
      <c r="AO12" s="496"/>
      <c r="AP12" s="496"/>
    </row>
    <row r="13" ht="17.1" customHeight="1" spans="1:36" s="40" customFormat="1" x14ac:dyDescent="0.25">
      <c r="A13" s="497"/>
      <c r="B13" s="498"/>
      <c r="C13" s="498"/>
      <c r="D13" s="276"/>
      <c r="E13" s="40"/>
      <c r="F13" s="40"/>
      <c r="G13" s="40"/>
      <c r="H13" s="487"/>
      <c r="I13" s="40"/>
      <c r="J13" s="499"/>
      <c r="K13" s="40"/>
      <c r="L13" s="499"/>
      <c r="M13" s="40"/>
      <c r="N13" s="499"/>
      <c r="O13" s="40"/>
      <c r="P13" s="487"/>
      <c r="Q13" s="40"/>
      <c r="R13" s="500"/>
      <c r="S13" s="40"/>
      <c r="T13" s="500"/>
      <c r="U13" s="40"/>
      <c r="V13" s="500"/>
      <c r="W13" s="40"/>
      <c r="X13" s="501">
        <f t="shared" si="0"/>
        <v>47</v>
      </c>
      <c r="Y13" s="499"/>
      <c r="Z13" s="502"/>
      <c r="AA13" s="503" t="s">
        <v>184</v>
      </c>
      <c r="AB13" s="504"/>
      <c r="AC13" s="504"/>
      <c r="AD13" s="504"/>
      <c r="AE13" s="504"/>
      <c r="AF13" s="504"/>
      <c r="AG13" s="504"/>
      <c r="AH13" s="504"/>
      <c r="AI13" s="504"/>
      <c r="AJ13" s="505"/>
    </row>
    <row r="14" ht="17.1" customHeight="1" spans="1:36" s="40" customFormat="1" x14ac:dyDescent="0.25">
      <c r="A14" s="497"/>
      <c r="B14" s="498"/>
      <c r="C14" s="498"/>
      <c r="D14" s="276"/>
      <c r="E14" s="40"/>
      <c r="F14" s="40"/>
      <c r="G14" s="40"/>
      <c r="H14" s="487"/>
      <c r="I14" s="40"/>
      <c r="J14" s="500"/>
      <c r="K14" s="40"/>
      <c r="L14" s="489"/>
      <c r="M14" s="40"/>
      <c r="N14" s="489"/>
      <c r="O14" s="40"/>
      <c r="P14" s="487"/>
      <c r="Q14" s="40"/>
      <c r="R14" s="499"/>
      <c r="S14" s="40"/>
      <c r="T14" s="489"/>
      <c r="U14" s="40"/>
      <c r="V14" s="489"/>
      <c r="W14" s="40"/>
      <c r="X14" s="506">
        <f t="shared" si="0"/>
        <v>5</v>
      </c>
      <c r="Y14" s="507"/>
      <c r="Z14" s="508"/>
      <c r="AA14" s="509"/>
      <c r="AB14" s="510"/>
      <c r="AC14" s="510"/>
      <c r="AD14" s="510"/>
      <c r="AE14" s="510"/>
      <c r="AF14" s="510"/>
      <c r="AG14" s="510"/>
      <c r="AH14" s="510"/>
      <c r="AI14" s="510"/>
      <c r="AJ14" s="511"/>
    </row>
    <row r="15" ht="17.1" customHeight="1" spans="1:36" s="40" customFormat="1" x14ac:dyDescent="0.25">
      <c r="A15" s="497"/>
      <c r="B15" s="498"/>
      <c r="C15" s="498"/>
      <c r="D15" s="276"/>
      <c r="E15" s="40"/>
      <c r="F15" s="40"/>
      <c r="G15" s="40"/>
      <c r="H15" s="487"/>
      <c r="I15" s="40"/>
      <c r="J15" s="500"/>
      <c r="K15" s="40"/>
      <c r="L15" s="489"/>
      <c r="M15" s="40"/>
      <c r="N15" s="489"/>
      <c r="O15" s="40"/>
      <c r="P15" s="487"/>
      <c r="Q15" s="40"/>
      <c r="R15" s="499"/>
      <c r="S15" s="40"/>
      <c r="T15" s="489"/>
      <c r="U15" s="40"/>
      <c r="V15" s="489"/>
      <c r="W15" s="40"/>
      <c r="X15" s="506">
        <f t="shared" si="0"/>
        <v>38</v>
      </c>
      <c r="Y15" s="507"/>
      <c r="Z15" s="508"/>
      <c r="AA15" s="503" t="s">
        <v>185</v>
      </c>
      <c r="AB15" s="504"/>
      <c r="AC15" s="504"/>
      <c r="AD15" s="504"/>
      <c r="AE15" s="504"/>
      <c r="AF15" s="504"/>
      <c r="AG15" s="504"/>
      <c r="AH15" s="504"/>
      <c r="AI15" s="504"/>
      <c r="AJ15" s="505"/>
    </row>
    <row r="16" ht="17.1" customHeight="1" spans="1:36" s="40" customFormat="1" x14ac:dyDescent="0.25">
      <c r="A16" s="497"/>
      <c r="B16" s="498"/>
      <c r="C16" s="498"/>
      <c r="D16" s="276"/>
      <c r="E16" s="40"/>
      <c r="F16" s="40"/>
      <c r="G16" s="40"/>
      <c r="H16" s="506"/>
      <c r="I16" s="40"/>
      <c r="J16" s="512"/>
      <c r="K16" s="40"/>
      <c r="L16" s="512"/>
      <c r="M16" s="40"/>
      <c r="N16" s="512"/>
      <c r="O16" s="40"/>
      <c r="P16" s="506"/>
      <c r="Q16" s="40"/>
      <c r="R16" s="512"/>
      <c r="S16" s="40"/>
      <c r="T16" s="512"/>
      <c r="U16" s="40"/>
      <c r="V16" s="512"/>
      <c r="W16" s="40"/>
      <c r="X16" s="506">
        <f t="shared" ref="X16" si="1">SUM(H16:W16)</f>
        <v>6</v>
      </c>
      <c r="Y16" s="507"/>
      <c r="Z16" s="508"/>
      <c r="AA16" s="503"/>
      <c r="AB16" s="504"/>
      <c r="AC16" s="504"/>
      <c r="AD16" s="504"/>
      <c r="AE16" s="504"/>
      <c r="AF16" s="504"/>
      <c r="AG16" s="504"/>
      <c r="AH16" s="504"/>
      <c r="AI16" s="504"/>
      <c r="AJ16" s="505"/>
    </row>
    <row r="17" ht="17.1" customHeight="1" spans="1:36" s="40" customFormat="1" x14ac:dyDescent="0.25">
      <c r="A17" s="497"/>
      <c r="B17" s="498"/>
      <c r="C17" s="498"/>
      <c r="D17" s="276"/>
      <c r="E17" s="40"/>
      <c r="F17" s="40"/>
      <c r="G17" s="40"/>
      <c r="H17" s="506"/>
      <c r="I17" s="40"/>
      <c r="J17" s="512"/>
      <c r="K17" s="40"/>
      <c r="L17" s="512"/>
      <c r="M17" s="40"/>
      <c r="N17" s="512"/>
      <c r="O17" s="40"/>
      <c r="P17" s="506"/>
      <c r="Q17" s="40"/>
      <c r="R17" s="512"/>
      <c r="S17" s="40"/>
      <c r="T17" s="512"/>
      <c r="U17" s="40"/>
      <c r="V17" s="512"/>
      <c r="W17" s="40"/>
      <c r="X17" s="506">
        <f t="shared" si="0"/>
        <v>0</v>
      </c>
      <c r="Y17" s="507"/>
      <c r="Z17" s="508"/>
      <c r="AA17" s="513"/>
      <c r="AB17" s="514"/>
      <c r="AC17" s="514"/>
      <c r="AD17" s="514"/>
      <c r="AE17" s="514"/>
      <c r="AF17" s="514"/>
      <c r="AG17" s="514"/>
      <c r="AH17" s="514"/>
      <c r="AI17" s="514"/>
      <c r="AJ17" s="515"/>
    </row>
    <row r="18" ht="17.1" customHeight="1" spans="1:36" s="40" customFormat="1" x14ac:dyDescent="0.25">
      <c r="A18" s="497"/>
      <c r="B18" s="498"/>
      <c r="C18" s="498"/>
      <c r="D18" s="516"/>
      <c r="E18" s="40"/>
      <c r="F18" s="40"/>
      <c r="G18" s="40"/>
      <c r="H18" s="517"/>
      <c r="I18" s="40"/>
      <c r="J18" s="518"/>
      <c r="K18" s="40"/>
      <c r="L18" s="519"/>
      <c r="M18" s="40"/>
      <c r="N18" s="519"/>
      <c r="O18" s="40"/>
      <c r="P18" s="517"/>
      <c r="Q18" s="40"/>
      <c r="R18" s="518"/>
      <c r="S18" s="40"/>
      <c r="T18" s="519"/>
      <c r="U18" s="40"/>
      <c r="V18" s="519"/>
      <c r="W18" s="40"/>
      <c r="X18" s="520">
        <f t="shared" si="0"/>
        <v>0</v>
      </c>
      <c r="Y18" s="521"/>
      <c r="Z18" s="522"/>
      <c r="AA18" s="523"/>
      <c r="AB18" s="524"/>
      <c r="AC18" s="524"/>
      <c r="AD18" s="524"/>
      <c r="AE18" s="524"/>
      <c r="AF18" s="524"/>
      <c r="AG18" s="524"/>
      <c r="AH18" s="524"/>
      <c r="AI18" s="524"/>
      <c r="AJ18" s="525"/>
    </row>
    <row r="19" ht="17.1" customHeight="1" spans="1:36" s="40" customFormat="1" x14ac:dyDescent="0.25">
      <c r="A19" s="526"/>
      <c r="B19" s="527"/>
      <c r="C19" s="527"/>
      <c r="D19" s="66" t="s">
        <v>186</v>
      </c>
      <c r="E19" s="66"/>
      <c r="F19" s="66"/>
      <c r="G19" s="528"/>
      <c r="H19" s="529">
        <f>SUM(H12:I18)</f>
        <v>49</v>
      </c>
      <c r="I19" s="530"/>
      <c r="J19" s="531">
        <f>SUM(J12:K18)</f>
        <v>0</v>
      </c>
      <c r="K19" s="532"/>
      <c r="L19" s="531">
        <f>SUM(L12:M18)</f>
        <v>147</v>
      </c>
      <c r="M19" s="532"/>
      <c r="N19" s="531">
        <f>SUM(N12:O18)</f>
        <v>0</v>
      </c>
      <c r="O19" s="533"/>
      <c r="P19" s="529">
        <f>SUM(P12:Q18)</f>
        <v>0</v>
      </c>
      <c r="Q19" s="530"/>
      <c r="R19" s="530">
        <f>SUM(R12:S18)</f>
        <v>0</v>
      </c>
      <c r="S19" s="530"/>
      <c r="T19" s="530">
        <f>SUM(T12:U18)</f>
        <v>0</v>
      </c>
      <c r="U19" s="530"/>
      <c r="V19" s="530">
        <f>SUM(V12:W18)</f>
        <v>0</v>
      </c>
      <c r="W19" s="534"/>
      <c r="X19" s="535">
        <f>SUM(X12:Z18)</f>
        <v>196</v>
      </c>
      <c r="Y19" s="536"/>
      <c r="Z19" s="537"/>
      <c r="AA19" s="538"/>
      <c r="AB19" s="539"/>
      <c r="AC19" s="539"/>
      <c r="AD19" s="539"/>
      <c r="AE19" s="539"/>
      <c r="AF19" s="539"/>
      <c r="AG19" s="539"/>
      <c r="AH19" s="539"/>
      <c r="AI19" s="539"/>
      <c r="AJ19" s="540"/>
    </row>
    <row r="20" ht="17.1" customHeight="1" spans="1:36" s="40" customFormat="1" x14ac:dyDescent="0.25">
      <c r="A20" s="541" t="s">
        <v>187</v>
      </c>
      <c r="B20" s="542"/>
      <c r="C20" s="543"/>
      <c r="D20" s="176"/>
      <c r="E20" s="40"/>
      <c r="F20" s="40"/>
      <c r="G20" s="40"/>
      <c r="H20" s="487"/>
      <c r="I20" s="40"/>
      <c r="J20" s="500"/>
      <c r="K20" s="40"/>
      <c r="L20" s="500"/>
      <c r="M20" s="40"/>
      <c r="N20" s="500"/>
      <c r="O20" s="40"/>
      <c r="P20" s="487"/>
      <c r="Q20" s="40"/>
      <c r="R20" s="500"/>
      <c r="S20" s="40"/>
      <c r="T20" s="500"/>
      <c r="U20" s="40"/>
      <c r="V20" s="500"/>
      <c r="W20" s="40"/>
      <c r="X20" s="544">
        <f t="shared" ref="X20:X26" si="2">SUM(H20:W20)</f>
        <v>81</v>
      </c>
      <c r="Y20" s="545"/>
      <c r="Z20" s="546"/>
      <c r="AA20" s="547" t="s">
        <v>188</v>
      </c>
      <c r="AB20" s="548"/>
      <c r="AC20" s="548"/>
      <c r="AD20" s="548"/>
      <c r="AE20" s="548"/>
      <c r="AF20" s="548"/>
      <c r="AG20" s="548"/>
      <c r="AH20" s="548"/>
      <c r="AI20" s="548"/>
      <c r="AJ20" s="549"/>
    </row>
    <row r="21" ht="17.1" customHeight="1" spans="1:36" s="40" customFormat="1" x14ac:dyDescent="0.25">
      <c r="A21" s="497"/>
      <c r="B21" s="498"/>
      <c r="C21" s="550"/>
      <c r="D21" s="276"/>
      <c r="E21" s="40"/>
      <c r="F21" s="40"/>
      <c r="G21" s="40"/>
      <c r="H21" s="487"/>
      <c r="I21" s="40"/>
      <c r="J21" s="499"/>
      <c r="K21" s="40"/>
      <c r="L21" s="499"/>
      <c r="M21" s="40"/>
      <c r="N21" s="499"/>
      <c r="O21" s="40"/>
      <c r="P21" s="487"/>
      <c r="Q21" s="40"/>
      <c r="R21" s="500"/>
      <c r="S21" s="40"/>
      <c r="T21" s="500"/>
      <c r="U21" s="40"/>
      <c r="V21" s="500"/>
      <c r="W21" s="40"/>
      <c r="X21" s="501">
        <f t="shared" si="2"/>
        <v>28</v>
      </c>
      <c r="Y21" s="499"/>
      <c r="Z21" s="502"/>
      <c r="AA21" s="551"/>
      <c r="AB21" s="552"/>
      <c r="AC21" s="552"/>
      <c r="AD21" s="552"/>
      <c r="AE21" s="552"/>
      <c r="AF21" s="552"/>
      <c r="AG21" s="552"/>
      <c r="AH21" s="552"/>
      <c r="AI21" s="552"/>
      <c r="AJ21" s="553"/>
    </row>
    <row r="22" ht="17.1" customHeight="1" spans="1:36" s="40" customFormat="1" x14ac:dyDescent="0.25">
      <c r="A22" s="497"/>
      <c r="B22" s="498"/>
      <c r="C22" s="550"/>
      <c r="D22" s="177"/>
      <c r="E22" s="40"/>
      <c r="F22" s="40"/>
      <c r="G22" s="40"/>
      <c r="H22" s="520"/>
      <c r="I22" s="40"/>
      <c r="J22" s="521"/>
      <c r="K22" s="40"/>
      <c r="L22" s="521"/>
      <c r="M22" s="40"/>
      <c r="N22" s="521"/>
      <c r="O22" s="40"/>
      <c r="P22" s="520"/>
      <c r="Q22" s="40"/>
      <c r="R22" s="521"/>
      <c r="S22" s="40"/>
      <c r="T22" s="521"/>
      <c r="U22" s="40"/>
      <c r="V22" s="521"/>
      <c r="W22" s="40"/>
      <c r="X22" s="501">
        <f t="shared" si="2"/>
        <v>6</v>
      </c>
      <c r="Y22" s="499"/>
      <c r="Z22" s="502"/>
      <c r="AA22" s="554"/>
      <c r="AB22" s="555"/>
      <c r="AC22" s="555"/>
      <c r="AD22" s="555"/>
      <c r="AE22" s="555"/>
      <c r="AF22" s="555"/>
      <c r="AG22" s="555"/>
      <c r="AH22" s="555"/>
      <c r="AI22" s="555"/>
      <c r="AJ22" s="556"/>
    </row>
    <row r="23" ht="17.1" customHeight="1" spans="1:36" s="40" customFormat="1" x14ac:dyDescent="0.25">
      <c r="A23" s="497"/>
      <c r="B23" s="498"/>
      <c r="C23" s="550"/>
      <c r="D23" s="177"/>
      <c r="E23" s="40"/>
      <c r="F23" s="40"/>
      <c r="G23" s="40"/>
      <c r="H23" s="520"/>
      <c r="I23" s="40"/>
      <c r="J23" s="521"/>
      <c r="K23" s="40"/>
      <c r="L23" s="521"/>
      <c r="M23" s="40"/>
      <c r="N23" s="521"/>
      <c r="O23" s="40"/>
      <c r="P23" s="520"/>
      <c r="Q23" s="40"/>
      <c r="R23" s="521"/>
      <c r="S23" s="40"/>
      <c r="T23" s="521"/>
      <c r="U23" s="40"/>
      <c r="V23" s="521"/>
      <c r="W23" s="40"/>
      <c r="X23" s="501">
        <f t="shared" si="2"/>
        <v>39</v>
      </c>
      <c r="Y23" s="499"/>
      <c r="Z23" s="502"/>
      <c r="AA23" s="551" t="s">
        <v>189</v>
      </c>
      <c r="AB23" s="552"/>
      <c r="AC23" s="552"/>
      <c r="AD23" s="552"/>
      <c r="AE23" s="552"/>
      <c r="AF23" s="552"/>
      <c r="AG23" s="552"/>
      <c r="AH23" s="552"/>
      <c r="AI23" s="552"/>
      <c r="AJ23" s="553"/>
    </row>
    <row r="24" ht="17.1" customHeight="1" spans="1:36" s="40" customFormat="1" x14ac:dyDescent="0.25">
      <c r="A24" s="497"/>
      <c r="B24" s="498"/>
      <c r="C24" s="550"/>
      <c r="D24" s="177"/>
      <c r="E24" s="40"/>
      <c r="F24" s="40"/>
      <c r="G24" s="40"/>
      <c r="H24" s="520"/>
      <c r="I24" s="40"/>
      <c r="J24" s="521"/>
      <c r="K24" s="40"/>
      <c r="L24" s="521"/>
      <c r="M24" s="40"/>
      <c r="N24" s="521"/>
      <c r="O24" s="40"/>
      <c r="P24" s="520"/>
      <c r="Q24" s="40"/>
      <c r="R24" s="521"/>
      <c r="S24" s="40"/>
      <c r="T24" s="521"/>
      <c r="U24" s="40"/>
      <c r="V24" s="521"/>
      <c r="W24" s="40"/>
      <c r="X24" s="501">
        <f t="shared" si="2"/>
        <v>6</v>
      </c>
      <c r="Y24" s="499"/>
      <c r="Z24" s="502"/>
      <c r="AA24" s="551"/>
      <c r="AB24" s="552"/>
      <c r="AC24" s="552"/>
      <c r="AD24" s="552"/>
      <c r="AE24" s="552"/>
      <c r="AF24" s="552"/>
      <c r="AG24" s="552"/>
      <c r="AH24" s="552"/>
      <c r="AI24" s="552"/>
      <c r="AJ24" s="553"/>
    </row>
    <row r="25" ht="17.1" customHeight="1" spans="1:36" s="40" customFormat="1" x14ac:dyDescent="0.25">
      <c r="A25" s="497"/>
      <c r="B25" s="498"/>
      <c r="C25" s="550"/>
      <c r="D25" s="177"/>
      <c r="E25" s="40"/>
      <c r="F25" s="40"/>
      <c r="G25" s="40"/>
      <c r="H25" s="520"/>
      <c r="I25" s="40"/>
      <c r="J25" s="521"/>
      <c r="K25" s="40"/>
      <c r="L25" s="521"/>
      <c r="M25" s="40"/>
      <c r="N25" s="521"/>
      <c r="O25" s="40"/>
      <c r="P25" s="520"/>
      <c r="Q25" s="40"/>
      <c r="R25" s="521"/>
      <c r="S25" s="40"/>
      <c r="T25" s="521"/>
      <c r="U25" s="40"/>
      <c r="V25" s="521"/>
      <c r="W25" s="40"/>
      <c r="X25" s="501">
        <f t="shared" si="2"/>
        <v>0</v>
      </c>
      <c r="Y25" s="499"/>
      <c r="Z25" s="502"/>
      <c r="AA25" s="557"/>
      <c r="AB25" s="558"/>
      <c r="AC25" s="558"/>
      <c r="AD25" s="558"/>
      <c r="AE25" s="558"/>
      <c r="AF25" s="558"/>
      <c r="AG25" s="558"/>
      <c r="AH25" s="558"/>
      <c r="AI25" s="558"/>
      <c r="AJ25" s="559"/>
    </row>
    <row r="26" ht="17.1" customHeight="1" spans="1:36" s="40" customFormat="1" x14ac:dyDescent="0.25">
      <c r="A26" s="497"/>
      <c r="B26" s="498"/>
      <c r="C26" s="550"/>
      <c r="D26" s="560"/>
      <c r="E26" s="40"/>
      <c r="F26" s="40"/>
      <c r="G26" s="40"/>
      <c r="H26" s="520"/>
      <c r="I26" s="40"/>
      <c r="J26" s="521"/>
      <c r="K26" s="40"/>
      <c r="L26" s="521"/>
      <c r="M26" s="40"/>
      <c r="N26" s="521"/>
      <c r="O26" s="40"/>
      <c r="P26" s="520"/>
      <c r="Q26" s="40"/>
      <c r="R26" s="521"/>
      <c r="S26" s="40"/>
      <c r="T26" s="521"/>
      <c r="U26" s="40"/>
      <c r="V26" s="521"/>
      <c r="W26" s="40"/>
      <c r="X26" s="520">
        <f t="shared" si="2"/>
        <v>0</v>
      </c>
      <c r="Y26" s="521"/>
      <c r="Z26" s="522"/>
      <c r="AA26" s="561"/>
      <c r="AB26" s="562"/>
      <c r="AC26" s="562"/>
      <c r="AD26" s="562"/>
      <c r="AE26" s="562"/>
      <c r="AF26" s="562"/>
      <c r="AG26" s="562"/>
      <c r="AH26" s="562"/>
      <c r="AI26" s="562"/>
      <c r="AJ26" s="563"/>
    </row>
    <row r="27" ht="17.1" customHeight="1" spans="1:36" s="40" customFormat="1" x14ac:dyDescent="0.25">
      <c r="A27" s="526"/>
      <c r="B27" s="527"/>
      <c r="C27" s="564"/>
      <c r="D27" s="565" t="s">
        <v>186</v>
      </c>
      <c r="E27" s="565"/>
      <c r="F27" s="565"/>
      <c r="G27" s="566"/>
      <c r="H27" s="535">
        <f>SUM(H20:I26)</f>
        <v>28</v>
      </c>
      <c r="I27" s="536"/>
      <c r="J27" s="531">
        <f>SUM(J20:K26)</f>
        <v>0</v>
      </c>
      <c r="K27" s="532"/>
      <c r="L27" s="531">
        <f>SUM(L20:M26)</f>
        <v>132</v>
      </c>
      <c r="M27" s="532"/>
      <c r="N27" s="531">
        <f>SUM(N20:O26)</f>
        <v>0</v>
      </c>
      <c r="O27" s="533"/>
      <c r="P27" s="535">
        <f>SUM(P20:Q26)</f>
        <v>0</v>
      </c>
      <c r="Q27" s="536"/>
      <c r="R27" s="536">
        <f>SUM(R20:S26)</f>
        <v>0</v>
      </c>
      <c r="S27" s="536"/>
      <c r="T27" s="536">
        <f>SUM(T20:U26)</f>
        <v>0</v>
      </c>
      <c r="U27" s="536"/>
      <c r="V27" s="536">
        <f>SUM(V20:W26)</f>
        <v>0</v>
      </c>
      <c r="W27" s="537"/>
      <c r="X27" s="535">
        <f>SUM(X20:Z26)</f>
        <v>160</v>
      </c>
      <c r="Y27" s="536"/>
      <c r="Z27" s="537"/>
      <c r="AA27" s="567"/>
      <c r="AB27" s="568"/>
      <c r="AC27" s="568"/>
      <c r="AD27" s="568"/>
      <c r="AE27" s="568"/>
      <c r="AF27" s="568"/>
      <c r="AG27" s="568"/>
      <c r="AH27" s="568"/>
      <c r="AI27" s="568"/>
      <c r="AJ27" s="569"/>
    </row>
    <row r="28" ht="17.1" customHeight="1" spans="1:36" s="40" customFormat="1" x14ac:dyDescent="0.25">
      <c r="A28" s="50" t="s">
        <v>190</v>
      </c>
      <c r="B28" s="51"/>
      <c r="C28" s="51"/>
      <c r="D28" s="51" t="s">
        <v>191</v>
      </c>
      <c r="E28" s="51"/>
      <c r="F28" s="51"/>
      <c r="G28" s="176"/>
      <c r="H28" s="487"/>
      <c r="I28" s="500"/>
      <c r="J28" s="570"/>
      <c r="K28" s="571"/>
      <c r="L28" s="570"/>
      <c r="M28" s="571"/>
      <c r="N28" s="570"/>
      <c r="O28" s="572"/>
      <c r="P28" s="487"/>
      <c r="Q28" s="500"/>
      <c r="R28" s="500"/>
      <c r="S28" s="500"/>
      <c r="T28" s="500"/>
      <c r="U28" s="500"/>
      <c r="V28" s="500"/>
      <c r="W28" s="573"/>
      <c r="X28" s="489"/>
      <c r="Y28" s="500"/>
      <c r="Z28" s="573"/>
      <c r="AA28" s="574"/>
      <c r="AB28" s="575"/>
      <c r="AC28" s="575"/>
      <c r="AD28" s="575"/>
      <c r="AE28" s="575"/>
      <c r="AF28" s="575"/>
      <c r="AG28" s="575"/>
      <c r="AH28" s="575"/>
      <c r="AI28" s="575"/>
      <c r="AJ28" s="576"/>
    </row>
    <row r="29" ht="17.1" customHeight="1" spans="1:36" s="40" customFormat="1" x14ac:dyDescent="0.25">
      <c r="A29" s="37"/>
      <c r="B29" s="35"/>
      <c r="C29" s="35"/>
      <c r="D29" s="35" t="s">
        <v>191</v>
      </c>
      <c r="E29" s="35"/>
      <c r="F29" s="35"/>
      <c r="G29" s="516"/>
      <c r="H29" s="517"/>
      <c r="I29" s="518"/>
      <c r="J29" s="518"/>
      <c r="K29" s="518"/>
      <c r="L29" s="518"/>
      <c r="M29" s="518"/>
      <c r="N29" s="518"/>
      <c r="O29" s="577"/>
      <c r="P29" s="517"/>
      <c r="Q29" s="518"/>
      <c r="R29" s="518"/>
      <c r="S29" s="518"/>
      <c r="T29" s="518"/>
      <c r="U29" s="518"/>
      <c r="V29" s="518"/>
      <c r="W29" s="577"/>
      <c r="X29" s="519"/>
      <c r="Y29" s="518"/>
      <c r="Z29" s="577"/>
      <c r="AA29" s="578"/>
      <c r="AB29" s="579"/>
      <c r="AC29" s="579"/>
      <c r="AD29" s="579"/>
      <c r="AE29" s="579"/>
      <c r="AF29" s="579"/>
      <c r="AG29" s="579"/>
      <c r="AH29" s="579"/>
      <c r="AI29" s="579"/>
      <c r="AJ29" s="580"/>
    </row>
    <row r="30" ht="17.1" customHeight="1" spans="1:36" s="40" customFormat="1" x14ac:dyDescent="0.25">
      <c r="A30" s="65" t="s">
        <v>192</v>
      </c>
      <c r="B30" s="66"/>
      <c r="C30" s="66"/>
      <c r="D30" s="66"/>
      <c r="E30" s="66"/>
      <c r="F30" s="66"/>
      <c r="G30" s="581"/>
      <c r="H30" s="529">
        <f>SUM(H19+H27+H28+H29)</f>
        <v>77</v>
      </c>
      <c r="I30" s="530"/>
      <c r="J30" s="530">
        <f>SUM(J19+J27+J28+J29)</f>
        <v>0</v>
      </c>
      <c r="K30" s="530"/>
      <c r="L30" s="530">
        <f>SUM(L19+L27+L28+L29)</f>
        <v>279</v>
      </c>
      <c r="M30" s="530"/>
      <c r="N30" s="530">
        <f>SUM(N19+N27+N28+N29)</f>
        <v>0</v>
      </c>
      <c r="O30" s="534"/>
      <c r="P30" s="529">
        <f>SUM(P19+P27+P28+P29)</f>
        <v>0</v>
      </c>
      <c r="Q30" s="530"/>
      <c r="R30" s="530">
        <f>SUM(R19+R27+R28+R29)</f>
        <v>0</v>
      </c>
      <c r="S30" s="530"/>
      <c r="T30" s="530">
        <f>SUM(T19+T27+T28+T29)</f>
        <v>0</v>
      </c>
      <c r="U30" s="530"/>
      <c r="V30" s="530">
        <f>SUM(V19+V27+V28+V29)</f>
        <v>0</v>
      </c>
      <c r="W30" s="534"/>
      <c r="X30" s="582">
        <f>SUM(X19+X27+X28+X29)</f>
        <v>356</v>
      </c>
      <c r="Y30" s="530"/>
      <c r="Z30" s="534"/>
      <c r="AA30" s="583"/>
      <c r="AB30" s="584"/>
      <c r="AC30" s="584"/>
      <c r="AD30" s="584"/>
      <c r="AE30" s="584"/>
      <c r="AF30" s="584"/>
      <c r="AG30" s="584"/>
      <c r="AH30" s="584"/>
      <c r="AI30" s="584"/>
      <c r="AJ30" s="585"/>
    </row>
    <row r="31" ht="8.25" customHeight="1" x14ac:dyDescent="0.25"/>
    <row r="32" spans="1:1" x14ac:dyDescent="0.25">
      <c r="A32" s="586" t="s">
        <v>193</v>
      </c>
    </row>
    <row r="33" ht="3.75" customHeight="1" spans="1:36" x14ac:dyDescent="0.25">
      <c r="A33" s="587"/>
      <c r="B33" s="587"/>
      <c r="C33" s="587"/>
      <c r="D33" s="587"/>
      <c r="E33" s="587"/>
      <c r="F33" s="587"/>
      <c r="G33" s="587"/>
      <c r="H33" s="587"/>
      <c r="I33" s="587"/>
      <c r="J33" s="587"/>
      <c r="K33" s="587"/>
      <c r="L33" s="587"/>
      <c r="M33" s="587"/>
      <c r="N33" s="587"/>
      <c r="O33" s="587"/>
      <c r="P33" s="587"/>
      <c r="Q33" s="587"/>
      <c r="R33" s="587"/>
      <c r="S33" s="587"/>
      <c r="T33" s="587"/>
      <c r="U33" s="587"/>
      <c r="V33" s="587"/>
      <c r="W33" s="587"/>
      <c r="X33" s="587"/>
      <c r="Y33" s="587"/>
      <c r="Z33" s="587"/>
      <c r="AA33" s="587"/>
      <c r="AB33" s="587"/>
      <c r="AC33" s="587"/>
      <c r="AD33" s="587"/>
      <c r="AE33" s="587"/>
      <c r="AF33" s="587"/>
      <c r="AG33" s="587"/>
      <c r="AH33" s="587"/>
      <c r="AI33" s="587"/>
      <c r="AJ33" s="587"/>
    </row>
    <row r="34" ht="21" customHeight="1" spans="1:36" x14ac:dyDescent="0.25">
      <c r="A34" s="588" t="s">
        <v>194</v>
      </c>
      <c r="B34" s="589"/>
      <c r="C34" s="589"/>
      <c r="D34" s="590"/>
      <c r="E34" s="591" t="s">
        <v>195</v>
      </c>
      <c r="F34" s="592"/>
      <c r="G34" s="592"/>
      <c r="H34" s="592"/>
      <c r="I34" s="592"/>
      <c r="J34" s="592"/>
      <c r="K34" s="592" t="s">
        <v>196</v>
      </c>
      <c r="L34" s="592"/>
      <c r="M34" s="592"/>
      <c r="N34" s="592"/>
      <c r="O34" s="592"/>
      <c r="P34" s="593"/>
      <c r="Q34" s="591" t="s">
        <v>197</v>
      </c>
      <c r="R34" s="592"/>
      <c r="S34" s="592"/>
      <c r="T34" s="592"/>
      <c r="U34" s="592"/>
      <c r="V34" s="593"/>
      <c r="W34" s="591" t="s">
        <v>50</v>
      </c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3"/>
    </row>
    <row r="35" ht="15.75" customHeight="1" spans="1:37" s="496" customFormat="1" x14ac:dyDescent="0.25">
      <c r="A35" s="594" t="s">
        <v>198</v>
      </c>
      <c r="B35" s="595"/>
      <c r="C35" s="595"/>
      <c r="D35" s="596"/>
      <c r="E35" s="597">
        <v>0.0625</v>
      </c>
      <c r="F35" s="598"/>
      <c r="G35" s="598"/>
      <c r="H35" s="598"/>
      <c r="I35" s="598"/>
      <c r="J35" s="599"/>
      <c r="K35" s="600"/>
      <c r="L35" s="598"/>
      <c r="M35" s="598"/>
      <c r="N35" s="598"/>
      <c r="O35" s="598"/>
      <c r="P35" s="601"/>
      <c r="Q35" s="602">
        <f t="shared" ref="Q35:Q39" si="3">IF(AND(NOT(ISBLANK(K35)),NOT(ISBLANK(E35))), IF(K35&gt;E35,K35-E35,24-E35+K35), "")</f>
      </c>
      <c r="R35" s="603"/>
      <c r="S35" s="603"/>
      <c r="T35" s="603"/>
      <c r="U35" s="603"/>
      <c r="V35" s="604"/>
      <c r="W35" s="605" t="s">
        <v>199</v>
      </c>
      <c r="X35" s="606"/>
      <c r="Y35" s="606"/>
      <c r="Z35" s="606"/>
      <c r="AA35" s="606"/>
      <c r="AB35" s="606"/>
      <c r="AC35" s="606"/>
      <c r="AD35" s="606"/>
      <c r="AE35" s="606"/>
      <c r="AF35" s="606"/>
      <c r="AG35" s="606"/>
      <c r="AH35" s="606"/>
      <c r="AI35" s="606"/>
      <c r="AJ35" s="607"/>
      <c r="AK35" s="608"/>
    </row>
    <row r="36" ht="15.75" customHeight="1" spans="1:37" s="496" customFormat="1" x14ac:dyDescent="0.25">
      <c r="A36" s="609"/>
      <c r="B36" s="610"/>
      <c r="C36" s="610"/>
      <c r="D36" s="611"/>
      <c r="E36" s="612">
        <f>E35</f>
        <v>0.0625</v>
      </c>
      <c r="F36" s="613"/>
      <c r="G36" s="613"/>
      <c r="H36" s="613"/>
      <c r="I36" s="613"/>
      <c r="J36" s="614"/>
      <c r="K36" s="615">
        <v>0.14583333333212067</v>
      </c>
      <c r="L36" s="613"/>
      <c r="M36" s="613"/>
      <c r="N36" s="613"/>
      <c r="O36" s="613"/>
      <c r="P36" s="616"/>
      <c r="Q36" s="617">
        <f t="shared" si="3"/>
        <v>0.08333333333212067</v>
      </c>
      <c r="R36" s="618"/>
      <c r="S36" s="618"/>
      <c r="T36" s="618"/>
      <c r="U36" s="618"/>
      <c r="V36" s="619"/>
      <c r="W36" s="620" t="s">
        <v>200</v>
      </c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1"/>
      <c r="AJ36" s="622"/>
      <c r="AK36" s="608"/>
    </row>
    <row r="37" ht="15.75" customHeight="1" spans="1:37" s="496" customFormat="1" x14ac:dyDescent="0.25">
      <c r="A37" s="609"/>
      <c r="B37" s="610"/>
      <c r="C37" s="610"/>
      <c r="D37" s="611"/>
      <c r="E37" s="612">
        <f>K36</f>
        <v>0.14583333333212067</v>
      </c>
      <c r="F37" s="613"/>
      <c r="G37" s="613"/>
      <c r="H37" s="613"/>
      <c r="I37" s="613"/>
      <c r="J37" s="614"/>
      <c r="K37" s="615">
        <v>0.16666666666787933</v>
      </c>
      <c r="L37" s="613"/>
      <c r="M37" s="613"/>
      <c r="N37" s="613"/>
      <c r="O37" s="613"/>
      <c r="P37" s="616"/>
      <c r="Q37" s="617">
        <f t="shared" si="3"/>
        <v>0.020833333332120674</v>
      </c>
      <c r="R37" s="618"/>
      <c r="S37" s="618"/>
      <c r="T37" s="618"/>
      <c r="U37" s="618"/>
      <c r="V37" s="619"/>
      <c r="W37" s="620" t="s">
        <v>201</v>
      </c>
      <c r="X37" s="621"/>
      <c r="Y37" s="621"/>
      <c r="Z37" s="621"/>
      <c r="AA37" s="621"/>
      <c r="AB37" s="621"/>
      <c r="AC37" s="621"/>
      <c r="AD37" s="621"/>
      <c r="AE37" s="621"/>
      <c r="AF37" s="621"/>
      <c r="AG37" s="621"/>
      <c r="AH37" s="621"/>
      <c r="AI37" s="621"/>
      <c r="AJ37" s="622"/>
      <c r="AK37" s="608"/>
    </row>
    <row r="38" ht="15.75" customHeight="1" spans="1:37" s="496" customFormat="1" x14ac:dyDescent="0.25">
      <c r="A38" s="609"/>
      <c r="B38" s="610"/>
      <c r="C38" s="610"/>
      <c r="D38" s="611"/>
      <c r="E38" s="612">
        <f>K37</f>
        <v>0.16666666666787933</v>
      </c>
      <c r="F38" s="613"/>
      <c r="G38" s="613"/>
      <c r="H38" s="613"/>
      <c r="I38" s="613"/>
      <c r="J38" s="614"/>
      <c r="K38" s="615">
        <v>0.21875</v>
      </c>
      <c r="L38" s="613"/>
      <c r="M38" s="613"/>
      <c r="N38" s="613"/>
      <c r="O38" s="613"/>
      <c r="P38" s="616"/>
      <c r="Q38" s="617">
        <f t="shared" si="3"/>
        <v>0.052083333332120674</v>
      </c>
      <c r="R38" s="618"/>
      <c r="S38" s="618"/>
      <c r="T38" s="618"/>
      <c r="U38" s="618"/>
      <c r="V38" s="619"/>
      <c r="W38" s="620" t="s">
        <v>200</v>
      </c>
      <c r="X38" s="621"/>
      <c r="Y38" s="621"/>
      <c r="Z38" s="621"/>
      <c r="AA38" s="621"/>
      <c r="AB38" s="621"/>
      <c r="AC38" s="621"/>
      <c r="AD38" s="621"/>
      <c r="AE38" s="621"/>
      <c r="AF38" s="621"/>
      <c r="AG38" s="621"/>
      <c r="AH38" s="621"/>
      <c r="AI38" s="621"/>
      <c r="AJ38" s="622"/>
      <c r="AK38" s="608"/>
    </row>
    <row r="39" ht="15.75" customHeight="1" spans="1:37" s="496" customFormat="1" x14ac:dyDescent="0.25">
      <c r="A39" s="609"/>
      <c r="B39" s="610"/>
      <c r="C39" s="610"/>
      <c r="D39" s="611"/>
      <c r="E39" s="612"/>
      <c r="F39" s="613"/>
      <c r="G39" s="613"/>
      <c r="H39" s="613"/>
      <c r="I39" s="613"/>
      <c r="J39" s="614"/>
      <c r="K39" s="615">
        <f>K38</f>
        <v>0.21875</v>
      </c>
      <c r="L39" s="613"/>
      <c r="M39" s="613"/>
      <c r="N39" s="613"/>
      <c r="O39" s="613"/>
      <c r="P39" s="616"/>
      <c r="Q39" s="617">
        <f t="shared" si="3"/>
      </c>
      <c r="R39" s="618"/>
      <c r="S39" s="618"/>
      <c r="T39" s="618"/>
      <c r="U39" s="618"/>
      <c r="V39" s="619"/>
      <c r="W39" s="620" t="s">
        <v>202</v>
      </c>
      <c r="X39" s="621"/>
      <c r="Y39" s="621"/>
      <c r="Z39" s="621"/>
      <c r="AA39" s="621"/>
      <c r="AB39" s="621"/>
      <c r="AC39" s="621"/>
      <c r="AD39" s="621"/>
      <c r="AE39" s="621"/>
      <c r="AF39" s="621"/>
      <c r="AG39" s="621"/>
      <c r="AH39" s="621"/>
      <c r="AI39" s="621"/>
      <c r="AJ39" s="622"/>
      <c r="AK39" s="608"/>
    </row>
    <row r="40" ht="15.75" customHeight="1" spans="1:37" s="496" customFormat="1" x14ac:dyDescent="0.25">
      <c r="A40" s="609"/>
      <c r="B40" s="610"/>
      <c r="C40" s="610"/>
      <c r="D40" s="611"/>
      <c r="E40" s="623">
        <v>0.22222222222262644</v>
      </c>
      <c r="F40" s="624"/>
      <c r="G40" s="624"/>
      <c r="H40" s="624"/>
      <c r="I40" s="624"/>
      <c r="J40" s="625"/>
      <c r="K40" s="615"/>
      <c r="L40" s="613"/>
      <c r="M40" s="613"/>
      <c r="N40" s="613"/>
      <c r="O40" s="613"/>
      <c r="P40" s="616"/>
      <c r="Q40" s="617">
        <f t="shared" ref="Q40" si="4">IF(AND(NOT(ISBLANK(K40)),NOT(ISBLANK(E40))), IF(K40&gt;E40,K40-E40,24-E40+K40), "")</f>
      </c>
      <c r="R40" s="618"/>
      <c r="S40" s="618"/>
      <c r="T40" s="618"/>
      <c r="U40" s="618"/>
      <c r="V40" s="619"/>
      <c r="W40" s="620" t="s">
        <v>203</v>
      </c>
      <c r="X40" s="621"/>
      <c r="Y40" s="621"/>
      <c r="Z40" s="621"/>
      <c r="AA40" s="621"/>
      <c r="AB40" s="621"/>
      <c r="AC40" s="621"/>
      <c r="AD40" s="621"/>
      <c r="AE40" s="621"/>
      <c r="AF40" s="621"/>
      <c r="AG40" s="621"/>
      <c r="AH40" s="621"/>
      <c r="AI40" s="621"/>
      <c r="AJ40" s="622"/>
      <c r="AK40" s="608"/>
    </row>
    <row r="41" ht="15.75" customHeight="1" spans="1:37" s="496" customFormat="1" x14ac:dyDescent="0.25">
      <c r="A41" s="609"/>
      <c r="B41" s="610"/>
      <c r="C41" s="610"/>
      <c r="D41" s="611"/>
      <c r="E41" s="612">
        <f>E40</f>
        <v>0.22222222222262644</v>
      </c>
      <c r="F41" s="613"/>
      <c r="G41" s="613"/>
      <c r="H41" s="613"/>
      <c r="I41" s="613"/>
      <c r="J41" s="614"/>
      <c r="K41" s="615">
        <v>0.2708333333321207</v>
      </c>
      <c r="L41" s="613"/>
      <c r="M41" s="613"/>
      <c r="N41" s="613"/>
      <c r="O41" s="613"/>
      <c r="P41" s="616"/>
      <c r="Q41" s="617">
        <f t="shared" ref="Q41:Q48" si="5">IF(AND(NOT(ISBLANK(K41)),NOT(ISBLANK(E41))), IF(K41&gt;E41,K41-E41,24-E41+K41), "")</f>
        <v>0.04861111110949423</v>
      </c>
      <c r="R41" s="618"/>
      <c r="S41" s="618"/>
      <c r="T41" s="618"/>
      <c r="U41" s="618"/>
      <c r="V41" s="619"/>
      <c r="W41" s="620" t="s">
        <v>204</v>
      </c>
      <c r="X41" s="621"/>
      <c r="Y41" s="621"/>
      <c r="Z41" s="621"/>
      <c r="AA41" s="621"/>
      <c r="AB41" s="621"/>
      <c r="AC41" s="621"/>
      <c r="AD41" s="621"/>
      <c r="AE41" s="621"/>
      <c r="AF41" s="621"/>
      <c r="AG41" s="621"/>
      <c r="AH41" s="621"/>
      <c r="AI41" s="621"/>
      <c r="AJ41" s="622"/>
      <c r="AK41" s="608"/>
    </row>
    <row r="42" ht="15.75" customHeight="1" spans="1:37" s="496" customFormat="1" x14ac:dyDescent="0.25">
      <c r="A42" s="609"/>
      <c r="B42" s="610"/>
      <c r="C42" s="610"/>
      <c r="D42" s="611"/>
      <c r="E42" s="612">
        <f>K41</f>
        <v>0.2708333333321207</v>
      </c>
      <c r="F42" s="613"/>
      <c r="G42" s="613"/>
      <c r="H42" s="613"/>
      <c r="I42" s="613"/>
      <c r="J42" s="614"/>
      <c r="K42" s="615">
        <v>0.3333333333321207</v>
      </c>
      <c r="L42" s="613"/>
      <c r="M42" s="613"/>
      <c r="N42" s="613"/>
      <c r="O42" s="613"/>
      <c r="P42" s="616"/>
      <c r="Q42" s="617">
        <f t="shared" si="5"/>
        <v>0.0625</v>
      </c>
      <c r="R42" s="618"/>
      <c r="S42" s="618"/>
      <c r="T42" s="618"/>
      <c r="U42" s="618"/>
      <c r="V42" s="619"/>
      <c r="W42" s="620" t="s">
        <v>205</v>
      </c>
      <c r="X42" s="621"/>
      <c r="Y42" s="621"/>
      <c r="Z42" s="621"/>
      <c r="AA42" s="621"/>
      <c r="AB42" s="621"/>
      <c r="AC42" s="621"/>
      <c r="AD42" s="621"/>
      <c r="AE42" s="621"/>
      <c r="AF42" s="621"/>
      <c r="AG42" s="621"/>
      <c r="AH42" s="621"/>
      <c r="AI42" s="621"/>
      <c r="AJ42" s="622"/>
      <c r="AK42" s="608"/>
    </row>
    <row r="43" ht="15.75" customHeight="1" spans="1:37" s="496" customFormat="1" x14ac:dyDescent="0.25">
      <c r="A43" s="609"/>
      <c r="B43" s="610"/>
      <c r="C43" s="610"/>
      <c r="D43" s="611"/>
      <c r="E43" s="612">
        <f>K42</f>
        <v>0.3333333333321207</v>
      </c>
      <c r="F43" s="613"/>
      <c r="G43" s="613"/>
      <c r="H43" s="613"/>
      <c r="I43" s="613"/>
      <c r="J43" s="614"/>
      <c r="K43" s="615">
        <v>0.3958333333321207</v>
      </c>
      <c r="L43" s="613"/>
      <c r="M43" s="613"/>
      <c r="N43" s="613"/>
      <c r="O43" s="613"/>
      <c r="P43" s="616"/>
      <c r="Q43" s="617">
        <f t="shared" si="5"/>
        <v>0.0625</v>
      </c>
      <c r="R43" s="618"/>
      <c r="S43" s="618"/>
      <c r="T43" s="618"/>
      <c r="U43" s="618"/>
      <c r="V43" s="619"/>
      <c r="W43" s="620" t="s">
        <v>204</v>
      </c>
      <c r="X43" s="621"/>
      <c r="Y43" s="621"/>
      <c r="Z43" s="621"/>
      <c r="AA43" s="621"/>
      <c r="AB43" s="621"/>
      <c r="AC43" s="621"/>
      <c r="AD43" s="621"/>
      <c r="AE43" s="621"/>
      <c r="AF43" s="621"/>
      <c r="AG43" s="621"/>
      <c r="AH43" s="621"/>
      <c r="AI43" s="621"/>
      <c r="AJ43" s="622"/>
      <c r="AK43" s="608"/>
    </row>
    <row r="44" ht="15.75" customHeight="1" spans="1:37" s="496" customFormat="1" x14ac:dyDescent="0.25">
      <c r="A44" s="609"/>
      <c r="B44" s="610"/>
      <c r="C44" s="610"/>
      <c r="D44" s="611"/>
      <c r="E44" s="612"/>
      <c r="F44" s="613"/>
      <c r="G44" s="613"/>
      <c r="H44" s="613"/>
      <c r="I44" s="613"/>
      <c r="J44" s="614"/>
      <c r="K44" s="613">
        <f>K43</f>
        <v>0.3958333333321207</v>
      </c>
      <c r="L44" s="613"/>
      <c r="M44" s="613"/>
      <c r="N44" s="613"/>
      <c r="O44" s="613"/>
      <c r="P44" s="616"/>
      <c r="Q44" s="617">
        <f t="shared" si="5"/>
      </c>
      <c r="R44" s="618"/>
      <c r="S44" s="618"/>
      <c r="T44" s="618"/>
      <c r="U44" s="618"/>
      <c r="V44" s="619"/>
      <c r="W44" s="620" t="s">
        <v>206</v>
      </c>
      <c r="X44" s="621"/>
      <c r="Y44" s="621"/>
      <c r="Z44" s="621"/>
      <c r="AA44" s="621"/>
      <c r="AB44" s="621"/>
      <c r="AC44" s="621"/>
      <c r="AD44" s="621"/>
      <c r="AE44" s="621"/>
      <c r="AF44" s="621"/>
      <c r="AG44" s="621"/>
      <c r="AH44" s="621"/>
      <c r="AI44" s="621"/>
      <c r="AJ44" s="622"/>
      <c r="AK44" s="608"/>
    </row>
    <row r="45" ht="15.75" customHeight="1" spans="1:37" s="496" customFormat="1" x14ac:dyDescent="0.25">
      <c r="A45" s="609"/>
      <c r="B45" s="610"/>
      <c r="C45" s="610"/>
      <c r="D45" s="611"/>
      <c r="E45" s="612"/>
      <c r="F45" s="613"/>
      <c r="G45" s="613"/>
      <c r="H45" s="613"/>
      <c r="I45" s="613"/>
      <c r="J45" s="614"/>
      <c r="K45" s="613"/>
      <c r="L45" s="613"/>
      <c r="M45" s="613"/>
      <c r="N45" s="613"/>
      <c r="O45" s="613"/>
      <c r="P45" s="616"/>
      <c r="Q45" s="617">
        <f t="shared" si="5"/>
      </c>
      <c r="R45" s="618"/>
      <c r="S45" s="618"/>
      <c r="T45" s="618"/>
      <c r="U45" s="618"/>
      <c r="V45" s="619"/>
      <c r="W45" s="620"/>
      <c r="X45" s="621"/>
      <c r="Y45" s="621"/>
      <c r="Z45" s="621"/>
      <c r="AA45" s="621"/>
      <c r="AB45" s="621"/>
      <c r="AC45" s="621"/>
      <c r="AD45" s="621"/>
      <c r="AE45" s="621"/>
      <c r="AF45" s="621"/>
      <c r="AG45" s="621"/>
      <c r="AH45" s="621"/>
      <c r="AI45" s="621"/>
      <c r="AJ45" s="622"/>
      <c r="AK45" s="608"/>
    </row>
    <row r="46" ht="15.75" customHeight="1" hidden="1" spans="1:37" s="496" customFormat="1" x14ac:dyDescent="0.25">
      <c r="A46" s="609"/>
      <c r="B46" s="610"/>
      <c r="C46" s="610"/>
      <c r="D46" s="611"/>
      <c r="E46" s="612"/>
      <c r="F46" s="613"/>
      <c r="G46" s="613"/>
      <c r="H46" s="613"/>
      <c r="I46" s="613"/>
      <c r="J46" s="614"/>
      <c r="K46" s="615"/>
      <c r="L46" s="613"/>
      <c r="M46" s="613"/>
      <c r="N46" s="613"/>
      <c r="O46" s="613"/>
      <c r="P46" s="616"/>
      <c r="Q46" s="617">
        <f t="shared" si="5"/>
      </c>
      <c r="R46" s="618"/>
      <c r="S46" s="618"/>
      <c r="T46" s="618"/>
      <c r="U46" s="618"/>
      <c r="V46" s="619"/>
      <c r="W46" s="620"/>
      <c r="X46" s="621"/>
      <c r="Y46" s="621"/>
      <c r="Z46" s="621"/>
      <c r="AA46" s="621"/>
      <c r="AB46" s="621"/>
      <c r="AC46" s="621"/>
      <c r="AD46" s="621"/>
      <c r="AE46" s="621"/>
      <c r="AF46" s="621"/>
      <c r="AG46" s="621"/>
      <c r="AH46" s="621"/>
      <c r="AI46" s="621"/>
      <c r="AJ46" s="622"/>
      <c r="AK46" s="608"/>
    </row>
    <row r="47" ht="15.75" customHeight="1" hidden="1" spans="1:37" s="496" customFormat="1" x14ac:dyDescent="0.25">
      <c r="A47" s="609"/>
      <c r="B47" s="610"/>
      <c r="C47" s="610"/>
      <c r="D47" s="611"/>
      <c r="E47" s="612"/>
      <c r="F47" s="613"/>
      <c r="G47" s="613"/>
      <c r="H47" s="613"/>
      <c r="I47" s="613"/>
      <c r="J47" s="614"/>
      <c r="K47" s="615"/>
      <c r="L47" s="613"/>
      <c r="M47" s="613"/>
      <c r="N47" s="613"/>
      <c r="O47" s="613"/>
      <c r="P47" s="616"/>
      <c r="Q47" s="617">
        <f t="shared" si="5"/>
      </c>
      <c r="R47" s="618"/>
      <c r="S47" s="618"/>
      <c r="T47" s="618"/>
      <c r="U47" s="618"/>
      <c r="V47" s="619"/>
      <c r="W47" s="620"/>
      <c r="X47" s="621"/>
      <c r="Y47" s="621"/>
      <c r="Z47" s="621"/>
      <c r="AA47" s="621"/>
      <c r="AB47" s="621"/>
      <c r="AC47" s="621"/>
      <c r="AD47" s="621"/>
      <c r="AE47" s="621"/>
      <c r="AF47" s="621"/>
      <c r="AG47" s="621"/>
      <c r="AH47" s="621"/>
      <c r="AI47" s="621"/>
      <c r="AJ47" s="622"/>
      <c r="AK47" s="608"/>
    </row>
    <row r="48" ht="15.75" customHeight="1" hidden="1" spans="1:37" s="496" customFormat="1" x14ac:dyDescent="0.25">
      <c r="A48" s="609"/>
      <c r="B48" s="610"/>
      <c r="C48" s="610"/>
      <c r="D48" s="611"/>
      <c r="E48" s="612"/>
      <c r="F48" s="613"/>
      <c r="G48" s="613"/>
      <c r="H48" s="613"/>
      <c r="I48" s="613"/>
      <c r="J48" s="614"/>
      <c r="K48" s="615"/>
      <c r="L48" s="613"/>
      <c r="M48" s="613"/>
      <c r="N48" s="613"/>
      <c r="O48" s="613"/>
      <c r="P48" s="616"/>
      <c r="Q48" s="617">
        <f t="shared" si="5"/>
      </c>
      <c r="R48" s="618"/>
      <c r="S48" s="618"/>
      <c r="T48" s="618"/>
      <c r="U48" s="618"/>
      <c r="V48" s="619"/>
      <c r="W48" s="620"/>
      <c r="X48" s="621"/>
      <c r="Y48" s="621"/>
      <c r="Z48" s="621"/>
      <c r="AA48" s="621"/>
      <c r="AB48" s="621"/>
      <c r="AC48" s="621"/>
      <c r="AD48" s="621"/>
      <c r="AE48" s="621"/>
      <c r="AF48" s="621"/>
      <c r="AG48" s="621"/>
      <c r="AH48" s="621"/>
      <c r="AI48" s="621"/>
      <c r="AJ48" s="622"/>
      <c r="AK48" s="608"/>
    </row>
    <row r="49" ht="15.75" customHeight="1" spans="1:37" s="496" customFormat="1" x14ac:dyDescent="0.25">
      <c r="A49" s="609"/>
      <c r="B49" s="610"/>
      <c r="C49" s="610"/>
      <c r="D49" s="611"/>
      <c r="E49" s="612"/>
      <c r="F49" s="613"/>
      <c r="G49" s="613"/>
      <c r="H49" s="613"/>
      <c r="I49" s="613"/>
      <c r="J49" s="614"/>
      <c r="K49" s="613"/>
      <c r="L49" s="613"/>
      <c r="M49" s="613"/>
      <c r="N49" s="613"/>
      <c r="O49" s="613"/>
      <c r="P49" s="616"/>
      <c r="Q49" s="617"/>
      <c r="R49" s="618"/>
      <c r="S49" s="618"/>
      <c r="T49" s="618"/>
      <c r="U49" s="618"/>
      <c r="V49" s="619"/>
      <c r="W49" s="620"/>
      <c r="X49" s="621"/>
      <c r="Y49" s="621"/>
      <c r="Z49" s="621"/>
      <c r="AA49" s="621"/>
      <c r="AB49" s="621"/>
      <c r="AC49" s="621"/>
      <c r="AD49" s="621"/>
      <c r="AE49" s="621"/>
      <c r="AF49" s="621"/>
      <c r="AG49" s="621"/>
      <c r="AH49" s="621"/>
      <c r="AI49" s="621"/>
      <c r="AJ49" s="622"/>
      <c r="AK49" s="608"/>
    </row>
    <row r="50" ht="15.75" customHeight="1" spans="1:37" s="40" customFormat="1" x14ac:dyDescent="0.25">
      <c r="A50" s="626"/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8"/>
      <c r="Q50" s="629">
        <f>SUM(Q36:V49)</f>
        <v>0.32986111110949423</v>
      </c>
      <c r="R50" s="630"/>
      <c r="S50" s="630"/>
      <c r="T50" s="630"/>
      <c r="U50" s="630"/>
      <c r="V50" s="631"/>
      <c r="W50" s="632"/>
      <c r="X50" s="633"/>
      <c r="Y50" s="633"/>
      <c r="Z50" s="633"/>
      <c r="AA50" s="633"/>
      <c r="AB50" s="633"/>
      <c r="AC50" s="633"/>
      <c r="AD50" s="633"/>
      <c r="AE50" s="633"/>
      <c r="AF50" s="633"/>
      <c r="AG50" s="633"/>
      <c r="AH50" s="633"/>
      <c r="AI50" s="633"/>
      <c r="AJ50" s="634"/>
      <c r="AK50" s="635"/>
    </row>
    <row r="51" ht="15.75" customHeight="1" spans="1:37" s="496" customFormat="1" x14ac:dyDescent="0.25">
      <c r="A51" s="636" t="s">
        <v>207</v>
      </c>
      <c r="B51" s="637"/>
      <c r="C51" s="637"/>
      <c r="D51" s="638"/>
      <c r="E51" s="597">
        <v>0.0625</v>
      </c>
      <c r="F51" s="598"/>
      <c r="G51" s="598"/>
      <c r="H51" s="598"/>
      <c r="I51" s="598"/>
      <c r="J51" s="599"/>
      <c r="K51" s="600"/>
      <c r="L51" s="598"/>
      <c r="M51" s="598"/>
      <c r="N51" s="598"/>
      <c r="O51" s="598"/>
      <c r="P51" s="601"/>
      <c r="Q51" s="602">
        <f t="shared" ref="Q51:Q55" si="6">IF(AND(NOT(ISBLANK(K51)),NOT(ISBLANK(E51))), IF(K51&gt;E51,K51-E51,24-E51+K51), "")</f>
      </c>
      <c r="R51" s="603"/>
      <c r="S51" s="603"/>
      <c r="T51" s="603"/>
      <c r="U51" s="603"/>
      <c r="V51" s="604"/>
      <c r="W51" s="605" t="s">
        <v>199</v>
      </c>
      <c r="X51" s="606"/>
      <c r="Y51" s="606"/>
      <c r="Z51" s="606"/>
      <c r="AA51" s="606"/>
      <c r="AB51" s="606"/>
      <c r="AC51" s="606"/>
      <c r="AD51" s="606"/>
      <c r="AE51" s="606"/>
      <c r="AF51" s="606"/>
      <c r="AG51" s="606"/>
      <c r="AH51" s="606"/>
      <c r="AI51" s="606"/>
      <c r="AJ51" s="607"/>
      <c r="AK51" s="608"/>
    </row>
    <row r="52" ht="15.75" customHeight="1" spans="1:37" s="496" customFormat="1" x14ac:dyDescent="0.25">
      <c r="A52" s="639"/>
      <c r="B52" s="640"/>
      <c r="C52" s="640"/>
      <c r="D52" s="641"/>
      <c r="E52" s="612">
        <f>E51</f>
        <v>0.0625</v>
      </c>
      <c r="F52" s="613"/>
      <c r="G52" s="613"/>
      <c r="H52" s="613"/>
      <c r="I52" s="613"/>
      <c r="J52" s="614"/>
      <c r="K52" s="615">
        <v>0.14583333333212067</v>
      </c>
      <c r="L52" s="613"/>
      <c r="M52" s="613"/>
      <c r="N52" s="613"/>
      <c r="O52" s="613"/>
      <c r="P52" s="616"/>
      <c r="Q52" s="617">
        <f t="shared" si="6"/>
        <v>0.08333333333212067</v>
      </c>
      <c r="R52" s="618"/>
      <c r="S52" s="618"/>
      <c r="T52" s="618"/>
      <c r="U52" s="618"/>
      <c r="V52" s="619"/>
      <c r="W52" s="620" t="s">
        <v>200</v>
      </c>
      <c r="X52" s="621"/>
      <c r="Y52" s="621"/>
      <c r="Z52" s="621"/>
      <c r="AA52" s="621"/>
      <c r="AB52" s="621"/>
      <c r="AC52" s="621"/>
      <c r="AD52" s="621"/>
      <c r="AE52" s="621"/>
      <c r="AF52" s="621"/>
      <c r="AG52" s="621"/>
      <c r="AH52" s="621"/>
      <c r="AI52" s="621"/>
      <c r="AJ52" s="622"/>
      <c r="AK52" s="608"/>
    </row>
    <row r="53" ht="15.75" customHeight="1" spans="1:37" s="496" customFormat="1" x14ac:dyDescent="0.25">
      <c r="A53" s="609"/>
      <c r="B53" s="610"/>
      <c r="C53" s="610"/>
      <c r="D53" s="611"/>
      <c r="E53" s="612">
        <f>K52</f>
        <v>0.14583333333212067</v>
      </c>
      <c r="F53" s="613"/>
      <c r="G53" s="613"/>
      <c r="H53" s="613"/>
      <c r="I53" s="613"/>
      <c r="J53" s="614"/>
      <c r="K53" s="615">
        <v>0.16666666666787933</v>
      </c>
      <c r="L53" s="613"/>
      <c r="M53" s="613"/>
      <c r="N53" s="613"/>
      <c r="O53" s="613"/>
      <c r="P53" s="616"/>
      <c r="Q53" s="617">
        <f t="shared" si="6"/>
        <v>0.020833333332120674</v>
      </c>
      <c r="R53" s="618"/>
      <c r="S53" s="618"/>
      <c r="T53" s="618"/>
      <c r="U53" s="618"/>
      <c r="V53" s="619"/>
      <c r="W53" s="620" t="s">
        <v>201</v>
      </c>
      <c r="X53" s="621"/>
      <c r="Y53" s="621"/>
      <c r="Z53" s="621"/>
      <c r="AA53" s="621"/>
      <c r="AB53" s="621"/>
      <c r="AC53" s="621"/>
      <c r="AD53" s="621"/>
      <c r="AE53" s="621"/>
      <c r="AF53" s="621"/>
      <c r="AG53" s="621"/>
      <c r="AH53" s="621"/>
      <c r="AI53" s="621"/>
      <c r="AJ53" s="622"/>
      <c r="AK53" s="608"/>
    </row>
    <row r="54" ht="15.75" customHeight="1" spans="1:37" s="496" customFormat="1" x14ac:dyDescent="0.25">
      <c r="A54" s="609"/>
      <c r="B54" s="610"/>
      <c r="C54" s="610"/>
      <c r="D54" s="611"/>
      <c r="E54" s="612">
        <f>K53</f>
        <v>0.16666666666787933</v>
      </c>
      <c r="F54" s="613"/>
      <c r="G54" s="613"/>
      <c r="H54" s="613"/>
      <c r="I54" s="613"/>
      <c r="J54" s="614"/>
      <c r="K54" s="615">
        <v>0.1875</v>
      </c>
      <c r="L54" s="613"/>
      <c r="M54" s="613"/>
      <c r="N54" s="613"/>
      <c r="O54" s="613"/>
      <c r="P54" s="616"/>
      <c r="Q54" s="617">
        <f t="shared" si="6"/>
        <v>0.020833333332120674</v>
      </c>
      <c r="R54" s="618"/>
      <c r="S54" s="618"/>
      <c r="T54" s="618"/>
      <c r="U54" s="618"/>
      <c r="V54" s="619"/>
      <c r="W54" s="620" t="s">
        <v>200</v>
      </c>
      <c r="X54" s="621"/>
      <c r="Y54" s="621"/>
      <c r="Z54" s="621"/>
      <c r="AA54" s="621"/>
      <c r="AB54" s="621"/>
      <c r="AC54" s="621"/>
      <c r="AD54" s="621"/>
      <c r="AE54" s="621"/>
      <c r="AF54" s="621"/>
      <c r="AG54" s="621"/>
      <c r="AH54" s="621"/>
      <c r="AI54" s="621"/>
      <c r="AJ54" s="622"/>
      <c r="AK54" s="608"/>
    </row>
    <row r="55" ht="15.75" customHeight="1" spans="1:37" s="496" customFormat="1" x14ac:dyDescent="0.25">
      <c r="A55" s="609"/>
      <c r="B55" s="610"/>
      <c r="C55" s="610"/>
      <c r="D55" s="611"/>
      <c r="E55" s="612"/>
      <c r="F55" s="613"/>
      <c r="G55" s="613"/>
      <c r="H55" s="613"/>
      <c r="I55" s="613"/>
      <c r="J55" s="614"/>
      <c r="K55" s="615">
        <f>K54</f>
        <v>0.1875</v>
      </c>
      <c r="L55" s="613"/>
      <c r="M55" s="613"/>
      <c r="N55" s="613"/>
      <c r="O55" s="613"/>
      <c r="P55" s="616"/>
      <c r="Q55" s="617">
        <f t="shared" si="6"/>
      </c>
      <c r="R55" s="618"/>
      <c r="S55" s="618"/>
      <c r="T55" s="618"/>
      <c r="U55" s="618"/>
      <c r="V55" s="619"/>
      <c r="W55" s="620" t="s">
        <v>202</v>
      </c>
      <c r="X55" s="621"/>
      <c r="Y55" s="621"/>
      <c r="Z55" s="621"/>
      <c r="AA55" s="621"/>
      <c r="AB55" s="621"/>
      <c r="AC55" s="621"/>
      <c r="AD55" s="621"/>
      <c r="AE55" s="621"/>
      <c r="AF55" s="621"/>
      <c r="AG55" s="621"/>
      <c r="AH55" s="621"/>
      <c r="AI55" s="621"/>
      <c r="AJ55" s="622"/>
      <c r="AK55" s="608"/>
    </row>
    <row r="56" ht="15.75" customHeight="1" spans="1:37" s="496" customFormat="1" x14ac:dyDescent="0.25">
      <c r="A56" s="609"/>
      <c r="B56" s="610"/>
      <c r="C56" s="610"/>
      <c r="D56" s="611"/>
      <c r="E56" s="623">
        <v>0.19097222222262644</v>
      </c>
      <c r="F56" s="624"/>
      <c r="G56" s="624"/>
      <c r="H56" s="624"/>
      <c r="I56" s="624"/>
      <c r="J56" s="625"/>
      <c r="K56" s="615"/>
      <c r="L56" s="613"/>
      <c r="M56" s="613"/>
      <c r="N56" s="613"/>
      <c r="O56" s="613"/>
      <c r="P56" s="616"/>
      <c r="Q56" s="617">
        <f t="shared" ref="Q56:Q60" si="7">IF(AND(NOT(ISBLANK(K56)),NOT(ISBLANK(E56))), IF(K56&gt;E56,K56-E56,24-E56+K56), "")</f>
      </c>
      <c r="R56" s="618"/>
      <c r="S56" s="618"/>
      <c r="T56" s="618"/>
      <c r="U56" s="618"/>
      <c r="V56" s="619"/>
      <c r="W56" s="620" t="s">
        <v>203</v>
      </c>
      <c r="X56" s="621"/>
      <c r="Y56" s="621"/>
      <c r="Z56" s="621"/>
      <c r="AA56" s="621"/>
      <c r="AB56" s="621"/>
      <c r="AC56" s="621"/>
      <c r="AD56" s="621"/>
      <c r="AE56" s="621"/>
      <c r="AF56" s="621"/>
      <c r="AG56" s="621"/>
      <c r="AH56" s="621"/>
      <c r="AI56" s="621"/>
      <c r="AJ56" s="622"/>
      <c r="AK56" s="608"/>
    </row>
    <row r="57" ht="15.75" customHeight="1" spans="1:37" s="496" customFormat="1" x14ac:dyDescent="0.25">
      <c r="A57" s="609"/>
      <c r="B57" s="610"/>
      <c r="C57" s="610"/>
      <c r="D57" s="611"/>
      <c r="E57" s="612">
        <f>E56</f>
        <v>0.19097222222262644</v>
      </c>
      <c r="F57" s="613"/>
      <c r="G57" s="613"/>
      <c r="H57" s="613"/>
      <c r="I57" s="613"/>
      <c r="J57" s="614"/>
      <c r="K57" s="615">
        <v>0.2708333333321207</v>
      </c>
      <c r="L57" s="613"/>
      <c r="M57" s="613"/>
      <c r="N57" s="613"/>
      <c r="O57" s="613"/>
      <c r="P57" s="616"/>
      <c r="Q57" s="617">
        <f t="shared" si="7"/>
        <v>0.07986111110949423</v>
      </c>
      <c r="R57" s="618"/>
      <c r="S57" s="618"/>
      <c r="T57" s="618"/>
      <c r="U57" s="618"/>
      <c r="V57" s="619"/>
      <c r="W57" s="620" t="s">
        <v>204</v>
      </c>
      <c r="X57" s="621"/>
      <c r="Y57" s="621"/>
      <c r="Z57" s="621"/>
      <c r="AA57" s="621"/>
      <c r="AB57" s="621"/>
      <c r="AC57" s="621"/>
      <c r="AD57" s="621"/>
      <c r="AE57" s="621"/>
      <c r="AF57" s="621"/>
      <c r="AG57" s="621"/>
      <c r="AH57" s="621"/>
      <c r="AI57" s="621"/>
      <c r="AJ57" s="622"/>
      <c r="AK57" s="608"/>
    </row>
    <row r="58" ht="15.75" customHeight="1" spans="1:37" s="496" customFormat="1" x14ac:dyDescent="0.25">
      <c r="A58" s="609"/>
      <c r="B58" s="610"/>
      <c r="C58" s="610"/>
      <c r="D58" s="611"/>
      <c r="E58" s="612">
        <f>K57</f>
        <v>0.2708333333321207</v>
      </c>
      <c r="F58" s="613"/>
      <c r="G58" s="613"/>
      <c r="H58" s="613"/>
      <c r="I58" s="613"/>
      <c r="J58" s="614"/>
      <c r="K58" s="615">
        <v>0.3333333333321207</v>
      </c>
      <c r="L58" s="613"/>
      <c r="M58" s="613"/>
      <c r="N58" s="613"/>
      <c r="O58" s="613"/>
      <c r="P58" s="616"/>
      <c r="Q58" s="617">
        <f t="shared" si="7"/>
        <v>0.0625</v>
      </c>
      <c r="R58" s="618"/>
      <c r="S58" s="618"/>
      <c r="T58" s="618"/>
      <c r="U58" s="618"/>
      <c r="V58" s="619"/>
      <c r="W58" s="620" t="s">
        <v>205</v>
      </c>
      <c r="X58" s="621"/>
      <c r="Y58" s="621"/>
      <c r="Z58" s="621"/>
      <c r="AA58" s="621"/>
      <c r="AB58" s="621"/>
      <c r="AC58" s="621"/>
      <c r="AD58" s="621"/>
      <c r="AE58" s="621"/>
      <c r="AF58" s="621"/>
      <c r="AG58" s="621"/>
      <c r="AH58" s="621"/>
      <c r="AI58" s="621"/>
      <c r="AJ58" s="622"/>
      <c r="AK58" s="608"/>
    </row>
    <row r="59" ht="15.75" customHeight="1" spans="1:37" s="496" customFormat="1" x14ac:dyDescent="0.25">
      <c r="A59" s="609"/>
      <c r="B59" s="610"/>
      <c r="C59" s="610"/>
      <c r="D59" s="611"/>
      <c r="E59" s="612">
        <f>K58</f>
        <v>0.3333333333321207</v>
      </c>
      <c r="F59" s="613"/>
      <c r="G59" s="613"/>
      <c r="H59" s="613"/>
      <c r="I59" s="613"/>
      <c r="J59" s="614"/>
      <c r="K59" s="615">
        <v>0.37152777777737356</v>
      </c>
      <c r="L59" s="613"/>
      <c r="M59" s="613"/>
      <c r="N59" s="613"/>
      <c r="O59" s="613"/>
      <c r="P59" s="616"/>
      <c r="Q59" s="617">
        <f t="shared" si="7"/>
        <v>0.038194444445252884</v>
      </c>
      <c r="R59" s="618"/>
      <c r="S59" s="618"/>
      <c r="T59" s="618"/>
      <c r="U59" s="618"/>
      <c r="V59" s="619"/>
      <c r="W59" s="620" t="s">
        <v>204</v>
      </c>
      <c r="X59" s="621"/>
      <c r="Y59" s="621"/>
      <c r="Z59" s="621"/>
      <c r="AA59" s="621"/>
      <c r="AB59" s="621"/>
      <c r="AC59" s="621"/>
      <c r="AD59" s="621"/>
      <c r="AE59" s="621"/>
      <c r="AF59" s="621"/>
      <c r="AG59" s="621"/>
      <c r="AH59" s="621"/>
      <c r="AI59" s="621"/>
      <c r="AJ59" s="622"/>
      <c r="AK59" s="608"/>
    </row>
    <row r="60" ht="15.75" customHeight="1" spans="1:37" s="496" customFormat="1" x14ac:dyDescent="0.25">
      <c r="A60" s="609"/>
      <c r="B60" s="610"/>
      <c r="C60" s="610"/>
      <c r="D60" s="611"/>
      <c r="E60" s="612"/>
      <c r="F60" s="613"/>
      <c r="G60" s="613"/>
      <c r="H60" s="613"/>
      <c r="I60" s="613"/>
      <c r="J60" s="614"/>
      <c r="K60" s="613">
        <f>K59</f>
        <v>0.37152777777737356</v>
      </c>
      <c r="L60" s="613"/>
      <c r="M60" s="613"/>
      <c r="N60" s="613"/>
      <c r="O60" s="613"/>
      <c r="P60" s="616"/>
      <c r="Q60" s="617">
        <f t="shared" si="7"/>
      </c>
      <c r="R60" s="618"/>
      <c r="S60" s="618"/>
      <c r="T60" s="618"/>
      <c r="U60" s="618"/>
      <c r="V60" s="619"/>
      <c r="W60" s="620" t="s">
        <v>206</v>
      </c>
      <c r="X60" s="621"/>
      <c r="Y60" s="621"/>
      <c r="Z60" s="621"/>
      <c r="AA60" s="621"/>
      <c r="AB60" s="621"/>
      <c r="AC60" s="621"/>
      <c r="AD60" s="621"/>
      <c r="AE60" s="621"/>
      <c r="AF60" s="621"/>
      <c r="AG60" s="621"/>
      <c r="AH60" s="621"/>
      <c r="AI60" s="621"/>
      <c r="AJ60" s="622"/>
      <c r="AK60" s="608"/>
    </row>
    <row r="61" ht="15.75" customHeight="1" spans="1:37" s="496" customFormat="1" x14ac:dyDescent="0.25">
      <c r="A61" s="609"/>
      <c r="B61" s="610"/>
      <c r="C61" s="610"/>
      <c r="D61" s="611"/>
      <c r="E61" s="612"/>
      <c r="F61" s="613"/>
      <c r="G61" s="613"/>
      <c r="H61" s="613"/>
      <c r="I61" s="613"/>
      <c r="J61" s="614"/>
      <c r="K61" s="613"/>
      <c r="L61" s="613"/>
      <c r="M61" s="613"/>
      <c r="N61" s="613"/>
      <c r="O61" s="613"/>
      <c r="P61" s="616"/>
      <c r="Q61" s="617">
        <f t="shared" ref="Q61:Q63" si="8">IF(AND(NOT(ISBLANK(K61)),NOT(ISBLANK(E61))), IF(K61&gt;E61,K61-E61,24-E61+K61), "")</f>
      </c>
      <c r="R61" s="618"/>
      <c r="S61" s="618"/>
      <c r="T61" s="618"/>
      <c r="U61" s="618"/>
      <c r="V61" s="619"/>
      <c r="W61" s="620"/>
      <c r="X61" s="621"/>
      <c r="Y61" s="621"/>
      <c r="Z61" s="621"/>
      <c r="AA61" s="621"/>
      <c r="AB61" s="621"/>
      <c r="AC61" s="621"/>
      <c r="AD61" s="621"/>
      <c r="AE61" s="621"/>
      <c r="AF61" s="621"/>
      <c r="AG61" s="621"/>
      <c r="AH61" s="621"/>
      <c r="AI61" s="621"/>
      <c r="AJ61" s="622"/>
      <c r="AK61" s="608"/>
    </row>
    <row r="62" ht="15.75" customHeight="1" hidden="1" spans="1:37" s="496" customFormat="1" x14ac:dyDescent="0.25">
      <c r="A62" s="609"/>
      <c r="B62" s="610"/>
      <c r="C62" s="610"/>
      <c r="D62" s="611"/>
      <c r="E62" s="612"/>
      <c r="F62" s="613"/>
      <c r="G62" s="613"/>
      <c r="H62" s="613"/>
      <c r="I62" s="613"/>
      <c r="J62" s="614"/>
      <c r="K62" s="615"/>
      <c r="L62" s="613"/>
      <c r="M62" s="613"/>
      <c r="N62" s="613"/>
      <c r="O62" s="613"/>
      <c r="P62" s="616"/>
      <c r="Q62" s="617">
        <f t="shared" si="8"/>
      </c>
      <c r="R62" s="618"/>
      <c r="S62" s="618"/>
      <c r="T62" s="618"/>
      <c r="U62" s="618"/>
      <c r="V62" s="619"/>
      <c r="W62" s="620"/>
      <c r="X62" s="621"/>
      <c r="Y62" s="621"/>
      <c r="Z62" s="621"/>
      <c r="AA62" s="621"/>
      <c r="AB62" s="621"/>
      <c r="AC62" s="621"/>
      <c r="AD62" s="621"/>
      <c r="AE62" s="621"/>
      <c r="AF62" s="621"/>
      <c r="AG62" s="621"/>
      <c r="AH62" s="621"/>
      <c r="AI62" s="621"/>
      <c r="AJ62" s="622"/>
      <c r="AK62" s="608"/>
    </row>
    <row r="63" ht="15.75" customHeight="1" hidden="1" spans="1:37" s="496" customFormat="1" x14ac:dyDescent="0.25">
      <c r="A63" s="609"/>
      <c r="B63" s="610"/>
      <c r="C63" s="610"/>
      <c r="D63" s="611"/>
      <c r="E63" s="612"/>
      <c r="F63" s="613"/>
      <c r="G63" s="613"/>
      <c r="H63" s="613"/>
      <c r="I63" s="613"/>
      <c r="J63" s="614"/>
      <c r="K63" s="615"/>
      <c r="L63" s="613"/>
      <c r="M63" s="613"/>
      <c r="N63" s="613"/>
      <c r="O63" s="613"/>
      <c r="P63" s="616"/>
      <c r="Q63" s="617">
        <f t="shared" si="8"/>
      </c>
      <c r="R63" s="618"/>
      <c r="S63" s="618"/>
      <c r="T63" s="618"/>
      <c r="U63" s="618"/>
      <c r="V63" s="619"/>
      <c r="W63" s="620"/>
      <c r="X63" s="621"/>
      <c r="Y63" s="621"/>
      <c r="Z63" s="621"/>
      <c r="AA63" s="621"/>
      <c r="AB63" s="621"/>
      <c r="AC63" s="621"/>
      <c r="AD63" s="621"/>
      <c r="AE63" s="621"/>
      <c r="AF63" s="621"/>
      <c r="AG63" s="621"/>
      <c r="AH63" s="621"/>
      <c r="AI63" s="621"/>
      <c r="AJ63" s="622"/>
      <c r="AK63" s="608"/>
    </row>
    <row r="64" ht="15.75" customHeight="1" hidden="1" spans="1:37" s="496" customFormat="1" x14ac:dyDescent="0.25">
      <c r="A64" s="639"/>
      <c r="B64" s="640"/>
      <c r="C64" s="640"/>
      <c r="D64" s="641"/>
      <c r="E64" s="642"/>
      <c r="F64" s="643"/>
      <c r="G64" s="643"/>
      <c r="H64" s="643"/>
      <c r="I64" s="643"/>
      <c r="J64" s="644"/>
      <c r="K64" s="645"/>
      <c r="L64" s="643"/>
      <c r="M64" s="643"/>
      <c r="N64" s="643"/>
      <c r="O64" s="643"/>
      <c r="P64" s="646"/>
      <c r="Q64" s="647"/>
      <c r="R64" s="648"/>
      <c r="S64" s="648"/>
      <c r="T64" s="648"/>
      <c r="U64" s="648"/>
      <c r="V64" s="649"/>
      <c r="W64" s="620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1"/>
      <c r="AJ64" s="622"/>
      <c r="AK64" s="608"/>
    </row>
    <row r="65" ht="15.75" customHeight="1" spans="1:37" s="496" customFormat="1" x14ac:dyDescent="0.25">
      <c r="A65" s="650"/>
      <c r="B65" s="651"/>
      <c r="C65" s="651"/>
      <c r="D65" s="652"/>
      <c r="E65" s="653"/>
      <c r="F65" s="654"/>
      <c r="G65" s="654"/>
      <c r="H65" s="654"/>
      <c r="I65" s="654"/>
      <c r="J65" s="655"/>
      <c r="K65" s="656"/>
      <c r="L65" s="654"/>
      <c r="M65" s="654"/>
      <c r="N65" s="654"/>
      <c r="O65" s="654"/>
      <c r="P65" s="657"/>
      <c r="Q65" s="658">
        <f t="shared" ref="Q65" si="9">IF(AND(NOT(ISBLANK(K65)),NOT(ISBLANK(E65))), IF(K65&gt;E65,K65-E65,24-E65+K65), "")</f>
      </c>
      <c r="R65" s="659"/>
      <c r="S65" s="659"/>
      <c r="T65" s="659"/>
      <c r="U65" s="659"/>
      <c r="V65" s="660"/>
      <c r="W65" s="661"/>
      <c r="X65" s="662"/>
      <c r="Y65" s="662"/>
      <c r="Z65" s="662"/>
      <c r="AA65" s="662"/>
      <c r="AB65" s="662"/>
      <c r="AC65" s="662"/>
      <c r="AD65" s="662"/>
      <c r="AE65" s="662"/>
      <c r="AF65" s="662"/>
      <c r="AG65" s="662"/>
      <c r="AH65" s="662"/>
      <c r="AI65" s="662"/>
      <c r="AJ65" s="663"/>
      <c r="AK65" s="608"/>
    </row>
    <row r="66" ht="15.75" customHeight="1" spans="1:37" s="496" customFormat="1" x14ac:dyDescent="0.25">
      <c r="A66" s="626"/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29">
        <f>SUM(Q51:V65)</f>
        <v>0.3055555555547471</v>
      </c>
      <c r="R66" s="630"/>
      <c r="S66" s="630"/>
      <c r="T66" s="630"/>
      <c r="U66" s="630"/>
      <c r="V66" s="631"/>
      <c r="W66" s="664"/>
      <c r="X66" s="665"/>
      <c r="Y66" s="665"/>
      <c r="Z66" s="665"/>
      <c r="AA66" s="665"/>
      <c r="AB66" s="665"/>
      <c r="AC66" s="665"/>
      <c r="AD66" s="665"/>
      <c r="AE66" s="665"/>
      <c r="AF66" s="665"/>
      <c r="AG66" s="665"/>
      <c r="AH66" s="665"/>
      <c r="AI66" s="665"/>
      <c r="AJ66" s="666"/>
      <c r="AK66" s="608"/>
    </row>
    <row r="67" ht="15.75" customHeight="1" hidden="1" spans="1:37" s="496" customFormat="1" x14ac:dyDescent="0.25">
      <c r="A67" s="636" t="s">
        <v>208</v>
      </c>
      <c r="B67" s="637"/>
      <c r="C67" s="637"/>
      <c r="D67" s="638"/>
      <c r="E67" s="667"/>
      <c r="F67" s="668"/>
      <c r="G67" s="668"/>
      <c r="H67" s="668"/>
      <c r="I67" s="668"/>
      <c r="J67" s="669"/>
      <c r="K67" s="600"/>
      <c r="L67" s="598"/>
      <c r="M67" s="598"/>
      <c r="N67" s="598"/>
      <c r="O67" s="598"/>
      <c r="P67" s="601"/>
      <c r="Q67" s="602"/>
      <c r="R67" s="603"/>
      <c r="S67" s="603"/>
      <c r="T67" s="603"/>
      <c r="U67" s="603"/>
      <c r="V67" s="604"/>
      <c r="W67" s="605"/>
      <c r="X67" s="606"/>
      <c r="Y67" s="606"/>
      <c r="Z67" s="606"/>
      <c r="AA67" s="606"/>
      <c r="AB67" s="606"/>
      <c r="AC67" s="606"/>
      <c r="AD67" s="606"/>
      <c r="AE67" s="606"/>
      <c r="AF67" s="606"/>
      <c r="AG67" s="606"/>
      <c r="AH67" s="606"/>
      <c r="AI67" s="606"/>
      <c r="AJ67" s="607"/>
      <c r="AK67" s="608"/>
    </row>
    <row r="68" ht="15.75" customHeight="1" hidden="1" spans="1:37" s="496" customFormat="1" x14ac:dyDescent="0.25">
      <c r="A68" s="639"/>
      <c r="B68" s="640"/>
      <c r="C68" s="640"/>
      <c r="D68" s="641"/>
      <c r="E68" s="612"/>
      <c r="F68" s="613"/>
      <c r="G68" s="613"/>
      <c r="H68" s="613"/>
      <c r="I68" s="613"/>
      <c r="J68" s="614"/>
      <c r="K68" s="615"/>
      <c r="L68" s="613"/>
      <c r="M68" s="613"/>
      <c r="N68" s="613"/>
      <c r="O68" s="613"/>
      <c r="P68" s="616"/>
      <c r="Q68" s="617"/>
      <c r="R68" s="618"/>
      <c r="S68" s="618"/>
      <c r="T68" s="618"/>
      <c r="U68" s="618"/>
      <c r="V68" s="619"/>
      <c r="W68" s="620"/>
      <c r="X68" s="621"/>
      <c r="Y68" s="621"/>
      <c r="Z68" s="621"/>
      <c r="AA68" s="621"/>
      <c r="AB68" s="621"/>
      <c r="AC68" s="621"/>
      <c r="AD68" s="621"/>
      <c r="AE68" s="621"/>
      <c r="AF68" s="621"/>
      <c r="AG68" s="621"/>
      <c r="AH68" s="621"/>
      <c r="AI68" s="621"/>
      <c r="AJ68" s="622"/>
      <c r="AK68" s="608"/>
    </row>
    <row r="69" ht="15.75" customHeight="1" hidden="1" spans="1:37" s="496" customFormat="1" x14ac:dyDescent="0.25">
      <c r="A69" s="609"/>
      <c r="B69" s="610"/>
      <c r="C69" s="610"/>
      <c r="D69" s="611"/>
      <c r="E69" s="612"/>
      <c r="F69" s="613"/>
      <c r="G69" s="613"/>
      <c r="H69" s="613"/>
      <c r="I69" s="613"/>
      <c r="J69" s="614"/>
      <c r="K69" s="615"/>
      <c r="L69" s="613"/>
      <c r="M69" s="613"/>
      <c r="N69" s="613"/>
      <c r="O69" s="613"/>
      <c r="P69" s="616"/>
      <c r="Q69" s="617"/>
      <c r="R69" s="618"/>
      <c r="S69" s="618"/>
      <c r="T69" s="618"/>
      <c r="U69" s="618"/>
      <c r="V69" s="619"/>
      <c r="W69" s="620"/>
      <c r="X69" s="621"/>
      <c r="Y69" s="621"/>
      <c r="Z69" s="621"/>
      <c r="AA69" s="621"/>
      <c r="AB69" s="621"/>
      <c r="AC69" s="621"/>
      <c r="AD69" s="621"/>
      <c r="AE69" s="621"/>
      <c r="AF69" s="621"/>
      <c r="AG69" s="621"/>
      <c r="AH69" s="621"/>
      <c r="AI69" s="621"/>
      <c r="AJ69" s="622"/>
      <c r="AK69" s="608"/>
    </row>
    <row r="70" ht="15.75" customHeight="1" hidden="1" spans="1:37" s="496" customFormat="1" x14ac:dyDescent="0.25">
      <c r="A70" s="609"/>
      <c r="B70" s="610"/>
      <c r="C70" s="610"/>
      <c r="D70" s="611"/>
      <c r="E70" s="612"/>
      <c r="F70" s="613"/>
      <c r="G70" s="613"/>
      <c r="H70" s="613"/>
      <c r="I70" s="613"/>
      <c r="J70" s="614"/>
      <c r="K70" s="615"/>
      <c r="L70" s="613"/>
      <c r="M70" s="613"/>
      <c r="N70" s="613"/>
      <c r="O70" s="613"/>
      <c r="P70" s="616"/>
      <c r="Q70" s="617"/>
      <c r="R70" s="618"/>
      <c r="S70" s="618"/>
      <c r="T70" s="618"/>
      <c r="U70" s="618"/>
      <c r="V70" s="619"/>
      <c r="W70" s="620"/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1"/>
      <c r="AJ70" s="622"/>
      <c r="AK70" s="608"/>
    </row>
    <row r="71" ht="15.75" customHeight="1" hidden="1" spans="1:37" s="496" customFormat="1" x14ac:dyDescent="0.25">
      <c r="A71" s="609"/>
      <c r="B71" s="610"/>
      <c r="C71" s="610"/>
      <c r="D71" s="611"/>
      <c r="E71" s="612"/>
      <c r="F71" s="613"/>
      <c r="G71" s="613"/>
      <c r="H71" s="613"/>
      <c r="I71" s="613"/>
      <c r="J71" s="614"/>
      <c r="K71" s="615"/>
      <c r="L71" s="613"/>
      <c r="M71" s="613"/>
      <c r="N71" s="613"/>
      <c r="O71" s="613"/>
      <c r="P71" s="616"/>
      <c r="Q71" s="617"/>
      <c r="R71" s="618"/>
      <c r="S71" s="618"/>
      <c r="T71" s="618"/>
      <c r="U71" s="618"/>
      <c r="V71" s="619"/>
      <c r="W71" s="620"/>
      <c r="X71" s="621"/>
      <c r="Y71" s="621"/>
      <c r="Z71" s="621"/>
      <c r="AA71" s="621"/>
      <c r="AB71" s="621"/>
      <c r="AC71" s="621"/>
      <c r="AD71" s="621"/>
      <c r="AE71" s="621"/>
      <c r="AF71" s="621"/>
      <c r="AG71" s="621"/>
      <c r="AH71" s="621"/>
      <c r="AI71" s="621"/>
      <c r="AJ71" s="622"/>
      <c r="AK71" s="608"/>
    </row>
    <row r="72" ht="15.75" customHeight="1" hidden="1" spans="1:37" s="496" customFormat="1" x14ac:dyDescent="0.25">
      <c r="A72" s="609"/>
      <c r="B72" s="610"/>
      <c r="C72" s="610"/>
      <c r="D72" s="611"/>
      <c r="E72" s="612"/>
      <c r="F72" s="613"/>
      <c r="G72" s="613"/>
      <c r="H72" s="613"/>
      <c r="I72" s="613"/>
      <c r="J72" s="614"/>
      <c r="K72" s="615"/>
      <c r="L72" s="613"/>
      <c r="M72" s="613"/>
      <c r="N72" s="613"/>
      <c r="O72" s="613"/>
      <c r="P72" s="616"/>
      <c r="Q72" s="617"/>
      <c r="R72" s="618"/>
      <c r="S72" s="618"/>
      <c r="T72" s="618"/>
      <c r="U72" s="618"/>
      <c r="V72" s="619"/>
      <c r="W72" s="620"/>
      <c r="X72" s="621"/>
      <c r="Y72" s="621"/>
      <c r="Z72" s="621"/>
      <c r="AA72" s="621"/>
      <c r="AB72" s="621"/>
      <c r="AC72" s="621"/>
      <c r="AD72" s="621"/>
      <c r="AE72" s="621"/>
      <c r="AF72" s="621"/>
      <c r="AG72" s="621"/>
      <c r="AH72" s="621"/>
      <c r="AI72" s="621"/>
      <c r="AJ72" s="622"/>
      <c r="AK72" s="608"/>
    </row>
    <row r="73" ht="15.75" customHeight="1" hidden="1" spans="1:37" s="496" customFormat="1" x14ac:dyDescent="0.25">
      <c r="A73" s="609"/>
      <c r="B73" s="610"/>
      <c r="C73" s="610"/>
      <c r="D73" s="611"/>
      <c r="E73" s="612"/>
      <c r="F73" s="613"/>
      <c r="G73" s="613"/>
      <c r="H73" s="613"/>
      <c r="I73" s="613"/>
      <c r="J73" s="614"/>
      <c r="K73" s="615"/>
      <c r="L73" s="613"/>
      <c r="M73" s="613"/>
      <c r="N73" s="613"/>
      <c r="O73" s="613"/>
      <c r="P73" s="616"/>
      <c r="Q73" s="617"/>
      <c r="R73" s="618"/>
      <c r="S73" s="618"/>
      <c r="T73" s="618"/>
      <c r="U73" s="618"/>
      <c r="V73" s="619"/>
      <c r="W73" s="620"/>
      <c r="X73" s="621"/>
      <c r="Y73" s="621"/>
      <c r="Z73" s="621"/>
      <c r="AA73" s="621"/>
      <c r="AB73" s="621"/>
      <c r="AC73" s="621"/>
      <c r="AD73" s="621"/>
      <c r="AE73" s="621"/>
      <c r="AF73" s="621"/>
      <c r="AG73" s="621"/>
      <c r="AH73" s="621"/>
      <c r="AI73" s="621"/>
      <c r="AJ73" s="622"/>
      <c r="AK73" s="608"/>
    </row>
    <row r="74" ht="15.75" customHeight="1" hidden="1" spans="1:37" s="496" customFormat="1" x14ac:dyDescent="0.25">
      <c r="A74" s="609"/>
      <c r="B74" s="610"/>
      <c r="C74" s="610"/>
      <c r="D74" s="611"/>
      <c r="E74" s="612"/>
      <c r="F74" s="613"/>
      <c r="G74" s="613"/>
      <c r="H74" s="613"/>
      <c r="I74" s="613"/>
      <c r="J74" s="614"/>
      <c r="K74" s="615"/>
      <c r="L74" s="613"/>
      <c r="M74" s="613"/>
      <c r="N74" s="613"/>
      <c r="O74" s="613"/>
      <c r="P74" s="616"/>
      <c r="Q74" s="617"/>
      <c r="R74" s="618"/>
      <c r="S74" s="618"/>
      <c r="T74" s="618"/>
      <c r="U74" s="618"/>
      <c r="V74" s="619"/>
      <c r="W74" s="620"/>
      <c r="X74" s="621"/>
      <c r="Y74" s="621"/>
      <c r="Z74" s="621"/>
      <c r="AA74" s="621"/>
      <c r="AB74" s="621"/>
      <c r="AC74" s="621"/>
      <c r="AD74" s="621"/>
      <c r="AE74" s="621"/>
      <c r="AF74" s="621"/>
      <c r="AG74" s="621"/>
      <c r="AH74" s="621"/>
      <c r="AI74" s="621"/>
      <c r="AJ74" s="622"/>
      <c r="AK74" s="608"/>
    </row>
    <row r="75" ht="15.75" customHeight="1" hidden="1" spans="1:37" s="496" customFormat="1" x14ac:dyDescent="0.25">
      <c r="A75" s="609"/>
      <c r="B75" s="610"/>
      <c r="C75" s="610"/>
      <c r="D75" s="611"/>
      <c r="E75" s="612"/>
      <c r="F75" s="613"/>
      <c r="G75" s="613"/>
      <c r="H75" s="613"/>
      <c r="I75" s="613"/>
      <c r="J75" s="614"/>
      <c r="K75" s="615"/>
      <c r="L75" s="613"/>
      <c r="M75" s="613"/>
      <c r="N75" s="613"/>
      <c r="O75" s="613"/>
      <c r="P75" s="616"/>
      <c r="Q75" s="617">
        <f t="shared" ref="Q75" si="10">IF(AND(NOT(ISBLANK(K75)),NOT(ISBLANK(E75))), IF(K75&gt;E75,K75-E75,24-E75+K75), "")</f>
      </c>
      <c r="R75" s="618"/>
      <c r="S75" s="618"/>
      <c r="T75" s="618"/>
      <c r="U75" s="618"/>
      <c r="V75" s="619"/>
      <c r="W75" s="620"/>
      <c r="X75" s="621"/>
      <c r="Y75" s="621"/>
      <c r="Z75" s="621"/>
      <c r="AA75" s="621"/>
      <c r="AB75" s="621"/>
      <c r="AC75" s="621"/>
      <c r="AD75" s="621"/>
      <c r="AE75" s="621"/>
      <c r="AF75" s="621"/>
      <c r="AG75" s="621"/>
      <c r="AH75" s="621"/>
      <c r="AI75" s="621"/>
      <c r="AJ75" s="622"/>
      <c r="AK75" s="608"/>
    </row>
    <row r="76" ht="15.75" customHeight="1" hidden="1" spans="1:37" s="496" customFormat="1" x14ac:dyDescent="0.25">
      <c r="A76" s="609"/>
      <c r="B76" s="610"/>
      <c r="C76" s="610"/>
      <c r="D76" s="611"/>
      <c r="E76" s="612"/>
      <c r="F76" s="613"/>
      <c r="G76" s="613"/>
      <c r="H76" s="613"/>
      <c r="I76" s="613"/>
      <c r="J76" s="614"/>
      <c r="K76" s="615"/>
      <c r="L76" s="613"/>
      <c r="M76" s="613"/>
      <c r="N76" s="613"/>
      <c r="O76" s="613"/>
      <c r="P76" s="616"/>
      <c r="Q76" s="617">
        <f t="shared" ref="Q76" si="11">IF(AND(NOT(ISBLANK(K76)),NOT(ISBLANK(E76))), IF(K76&gt;E76,K76-E76,24-E76+K76), "")</f>
      </c>
      <c r="R76" s="618"/>
      <c r="S76" s="618"/>
      <c r="T76" s="618"/>
      <c r="U76" s="618"/>
      <c r="V76" s="619"/>
      <c r="W76" s="620"/>
      <c r="X76" s="621"/>
      <c r="Y76" s="621"/>
      <c r="Z76" s="621"/>
      <c r="AA76" s="621"/>
      <c r="AB76" s="621"/>
      <c r="AC76" s="621"/>
      <c r="AD76" s="621"/>
      <c r="AE76" s="621"/>
      <c r="AF76" s="621"/>
      <c r="AG76" s="621"/>
      <c r="AH76" s="621"/>
      <c r="AI76" s="621"/>
      <c r="AJ76" s="622"/>
      <c r="AK76" s="608"/>
    </row>
    <row r="77" ht="15.75" customHeight="1" hidden="1" spans="1:37" s="496" customFormat="1" x14ac:dyDescent="0.25">
      <c r="A77" s="609"/>
      <c r="B77" s="610"/>
      <c r="C77" s="610"/>
      <c r="D77" s="611"/>
      <c r="E77" s="612"/>
      <c r="F77" s="613"/>
      <c r="G77" s="613"/>
      <c r="H77" s="613"/>
      <c r="I77" s="613"/>
      <c r="J77" s="614"/>
      <c r="K77" s="613"/>
      <c r="L77" s="613"/>
      <c r="M77" s="613"/>
      <c r="N77" s="613"/>
      <c r="O77" s="613"/>
      <c r="P77" s="616"/>
      <c r="Q77" s="617">
        <f t="shared" ref="Q77:Q82" si="12">IF(AND(NOT(ISBLANK(K77)),NOT(ISBLANK(E77))), IF(K77&gt;E77,K77-E77,24-E77+K77), "")</f>
      </c>
      <c r="R77" s="618"/>
      <c r="S77" s="618"/>
      <c r="T77" s="618"/>
      <c r="U77" s="618"/>
      <c r="V77" s="619"/>
      <c r="W77" s="620"/>
      <c r="X77" s="621"/>
      <c r="Y77" s="621"/>
      <c r="Z77" s="621"/>
      <c r="AA77" s="621"/>
      <c r="AB77" s="621"/>
      <c r="AC77" s="621"/>
      <c r="AD77" s="621"/>
      <c r="AE77" s="621"/>
      <c r="AF77" s="621"/>
      <c r="AG77" s="621"/>
      <c r="AH77" s="621"/>
      <c r="AI77" s="621"/>
      <c r="AJ77" s="622"/>
      <c r="AK77" s="608"/>
    </row>
    <row r="78" ht="15.75" customHeight="1" hidden="1" spans="1:37" s="496" customFormat="1" x14ac:dyDescent="0.25">
      <c r="A78" s="609"/>
      <c r="B78" s="610"/>
      <c r="C78" s="610"/>
      <c r="D78" s="611"/>
      <c r="E78" s="612"/>
      <c r="F78" s="613"/>
      <c r="G78" s="613"/>
      <c r="H78" s="613"/>
      <c r="I78" s="613"/>
      <c r="J78" s="614"/>
      <c r="K78" s="613"/>
      <c r="L78" s="613"/>
      <c r="M78" s="613"/>
      <c r="N78" s="613"/>
      <c r="O78" s="613"/>
      <c r="P78" s="616"/>
      <c r="Q78" s="617">
        <f t="shared" si="12"/>
      </c>
      <c r="R78" s="618"/>
      <c r="S78" s="618"/>
      <c r="T78" s="618"/>
      <c r="U78" s="618"/>
      <c r="V78" s="619"/>
      <c r="W78" s="670"/>
      <c r="X78" s="671"/>
      <c r="Y78" s="671"/>
      <c r="Z78" s="671"/>
      <c r="AA78" s="671"/>
      <c r="AB78" s="671"/>
      <c r="AC78" s="671"/>
      <c r="AD78" s="671"/>
      <c r="AE78" s="671"/>
      <c r="AF78" s="671"/>
      <c r="AG78" s="671"/>
      <c r="AH78" s="671"/>
      <c r="AI78" s="671"/>
      <c r="AJ78" s="672"/>
      <c r="AK78" s="608"/>
    </row>
    <row r="79" ht="15.75" customHeight="1" hidden="1" spans="1:37" s="496" customFormat="1" x14ac:dyDescent="0.25">
      <c r="A79" s="609"/>
      <c r="B79" s="610"/>
      <c r="C79" s="610"/>
      <c r="D79" s="611"/>
      <c r="E79" s="612"/>
      <c r="F79" s="613"/>
      <c r="G79" s="613"/>
      <c r="H79" s="613"/>
      <c r="I79" s="613"/>
      <c r="J79" s="614"/>
      <c r="K79" s="613"/>
      <c r="L79" s="613"/>
      <c r="M79" s="613"/>
      <c r="N79" s="613"/>
      <c r="O79" s="613"/>
      <c r="P79" s="616"/>
      <c r="Q79" s="617">
        <f t="shared" si="12"/>
      </c>
      <c r="R79" s="618"/>
      <c r="S79" s="618"/>
      <c r="T79" s="618"/>
      <c r="U79" s="618"/>
      <c r="V79" s="619"/>
      <c r="W79" s="620"/>
      <c r="X79" s="621"/>
      <c r="Y79" s="621"/>
      <c r="Z79" s="621"/>
      <c r="AA79" s="621"/>
      <c r="AB79" s="621"/>
      <c r="AC79" s="621"/>
      <c r="AD79" s="621"/>
      <c r="AE79" s="621"/>
      <c r="AF79" s="621"/>
      <c r="AG79" s="621"/>
      <c r="AH79" s="621"/>
      <c r="AI79" s="621"/>
      <c r="AJ79" s="622"/>
      <c r="AK79" s="608"/>
    </row>
    <row r="80" ht="15.75" customHeight="1" hidden="1" spans="1:37" s="496" customFormat="1" x14ac:dyDescent="0.25">
      <c r="A80" s="609"/>
      <c r="B80" s="610"/>
      <c r="C80" s="610"/>
      <c r="D80" s="611"/>
      <c r="E80" s="612"/>
      <c r="F80" s="613"/>
      <c r="G80" s="613"/>
      <c r="H80" s="613"/>
      <c r="I80" s="613"/>
      <c r="J80" s="614"/>
      <c r="K80" s="613"/>
      <c r="L80" s="613"/>
      <c r="M80" s="613"/>
      <c r="N80" s="613"/>
      <c r="O80" s="613"/>
      <c r="P80" s="616"/>
      <c r="Q80" s="617">
        <f t="shared" ref="Q80" si="13">IF(AND(NOT(ISBLANK(K80)),NOT(ISBLANK(E80))), IF(K80&gt;E80,K80-E80,24-E80+K80), "")</f>
      </c>
      <c r="R80" s="618"/>
      <c r="S80" s="618"/>
      <c r="T80" s="618"/>
      <c r="U80" s="618"/>
      <c r="V80" s="619"/>
      <c r="W80" s="620"/>
      <c r="X80" s="621"/>
      <c r="Y80" s="621"/>
      <c r="Z80" s="621"/>
      <c r="AA80" s="621"/>
      <c r="AB80" s="621"/>
      <c r="AC80" s="621"/>
      <c r="AD80" s="621"/>
      <c r="AE80" s="621"/>
      <c r="AF80" s="621"/>
      <c r="AG80" s="621"/>
      <c r="AH80" s="621"/>
      <c r="AI80" s="621"/>
      <c r="AJ80" s="622"/>
      <c r="AK80" s="608"/>
    </row>
    <row r="81" ht="15.75" customHeight="1" hidden="1" spans="1:37" s="496" customFormat="1" x14ac:dyDescent="0.25">
      <c r="A81" s="609"/>
      <c r="B81" s="610"/>
      <c r="C81" s="610"/>
      <c r="D81" s="611"/>
      <c r="E81" s="612"/>
      <c r="F81" s="613"/>
      <c r="G81" s="613"/>
      <c r="H81" s="613"/>
      <c r="I81" s="613"/>
      <c r="J81" s="614"/>
      <c r="K81" s="615"/>
      <c r="L81" s="613"/>
      <c r="M81" s="613"/>
      <c r="N81" s="613"/>
      <c r="O81" s="613"/>
      <c r="P81" s="616"/>
      <c r="Q81" s="617">
        <f t="shared" si="12"/>
      </c>
      <c r="R81" s="618"/>
      <c r="S81" s="618"/>
      <c r="T81" s="618"/>
      <c r="U81" s="618"/>
      <c r="V81" s="619"/>
      <c r="W81" s="620"/>
      <c r="X81" s="621"/>
      <c r="Y81" s="621"/>
      <c r="Z81" s="621"/>
      <c r="AA81" s="621"/>
      <c r="AB81" s="621"/>
      <c r="AC81" s="621"/>
      <c r="AD81" s="621"/>
      <c r="AE81" s="621"/>
      <c r="AF81" s="621"/>
      <c r="AG81" s="621"/>
      <c r="AH81" s="621"/>
      <c r="AI81" s="621"/>
      <c r="AJ81" s="622"/>
      <c r="AK81" s="608"/>
    </row>
    <row r="82" ht="15.75" customHeight="1" hidden="1" spans="1:37" s="496" customFormat="1" x14ac:dyDescent="0.25">
      <c r="A82" s="609"/>
      <c r="B82" s="610"/>
      <c r="C82" s="610"/>
      <c r="D82" s="611"/>
      <c r="E82" s="612"/>
      <c r="F82" s="613"/>
      <c r="G82" s="613"/>
      <c r="H82" s="613"/>
      <c r="I82" s="613"/>
      <c r="J82" s="614"/>
      <c r="K82" s="615"/>
      <c r="L82" s="613"/>
      <c r="M82" s="613"/>
      <c r="N82" s="613"/>
      <c r="O82" s="613"/>
      <c r="P82" s="616"/>
      <c r="Q82" s="617">
        <f t="shared" si="12"/>
      </c>
      <c r="R82" s="618"/>
      <c r="S82" s="618"/>
      <c r="T82" s="618"/>
      <c r="U82" s="618"/>
      <c r="V82" s="619"/>
      <c r="W82" s="620"/>
      <c r="X82" s="621"/>
      <c r="Y82" s="621"/>
      <c r="Z82" s="621"/>
      <c r="AA82" s="621"/>
      <c r="AB82" s="621"/>
      <c r="AC82" s="621"/>
      <c r="AD82" s="621"/>
      <c r="AE82" s="621"/>
      <c r="AF82" s="621"/>
      <c r="AG82" s="621"/>
      <c r="AH82" s="621"/>
      <c r="AI82" s="621"/>
      <c r="AJ82" s="622"/>
      <c r="AK82" s="608"/>
    </row>
    <row r="83" ht="15.75" customHeight="1" hidden="1" spans="1:37" s="496" customFormat="1" x14ac:dyDescent="0.25">
      <c r="A83" s="609"/>
      <c r="B83" s="610"/>
      <c r="C83" s="610"/>
      <c r="D83" s="611"/>
      <c r="E83" s="612"/>
      <c r="F83" s="613"/>
      <c r="G83" s="613"/>
      <c r="H83" s="613"/>
      <c r="I83" s="613"/>
      <c r="J83" s="614"/>
      <c r="K83" s="613"/>
      <c r="L83" s="613"/>
      <c r="M83" s="613"/>
      <c r="N83" s="613"/>
      <c r="O83" s="613"/>
      <c r="P83" s="616"/>
      <c r="Q83" s="617">
        <f t="shared" ref="Q83" si="14">IF(AND(NOT(ISBLANK(K83)),NOT(ISBLANK(E83))), IF(K83&gt;E83,K83-E83,24-E83+K83), "")</f>
      </c>
      <c r="R83" s="618"/>
      <c r="S83" s="618"/>
      <c r="T83" s="618"/>
      <c r="U83" s="618"/>
      <c r="V83" s="619"/>
      <c r="W83" s="670"/>
      <c r="X83" s="671"/>
      <c r="Y83" s="671"/>
      <c r="Z83" s="671"/>
      <c r="AA83" s="671"/>
      <c r="AB83" s="671"/>
      <c r="AC83" s="671"/>
      <c r="AD83" s="671"/>
      <c r="AE83" s="671"/>
      <c r="AF83" s="671"/>
      <c r="AG83" s="671"/>
      <c r="AH83" s="671"/>
      <c r="AI83" s="671"/>
      <c r="AJ83" s="672"/>
      <c r="AK83" s="608"/>
    </row>
    <row r="84" ht="15.75" customHeight="1" hidden="1" spans="1:37" s="496" customFormat="1" x14ac:dyDescent="0.25">
      <c r="A84" s="650"/>
      <c r="B84" s="651"/>
      <c r="C84" s="651"/>
      <c r="D84" s="652"/>
      <c r="E84" s="653"/>
      <c r="F84" s="654"/>
      <c r="G84" s="654"/>
      <c r="H84" s="654"/>
      <c r="I84" s="654"/>
      <c r="J84" s="655"/>
      <c r="K84" s="654"/>
      <c r="L84" s="654"/>
      <c r="M84" s="654"/>
      <c r="N84" s="654"/>
      <c r="O84" s="654"/>
      <c r="P84" s="657"/>
      <c r="Q84" s="658"/>
      <c r="R84" s="659"/>
      <c r="S84" s="659"/>
      <c r="T84" s="659"/>
      <c r="U84" s="659"/>
      <c r="V84" s="660"/>
      <c r="W84" s="661"/>
      <c r="X84" s="662"/>
      <c r="Y84" s="662"/>
      <c r="Z84" s="662"/>
      <c r="AA84" s="662"/>
      <c r="AB84" s="662"/>
      <c r="AC84" s="662"/>
      <c r="AD84" s="662"/>
      <c r="AE84" s="662"/>
      <c r="AF84" s="662"/>
      <c r="AG84" s="662"/>
      <c r="AH84" s="662"/>
      <c r="AI84" s="662"/>
      <c r="AJ84" s="663"/>
      <c r="AK84" s="608"/>
    </row>
    <row r="85" ht="15.75" customHeight="1" hidden="1" spans="1:37" s="496" customFormat="1" x14ac:dyDescent="0.25">
      <c r="A85" s="626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7"/>
      <c r="P85" s="628"/>
      <c r="Q85" s="629">
        <f>SUM(Q68:V84)</f>
        <v>0</v>
      </c>
      <c r="R85" s="630"/>
      <c r="S85" s="630"/>
      <c r="T85" s="630"/>
      <c r="U85" s="630"/>
      <c r="V85" s="631"/>
      <c r="W85" s="664"/>
      <c r="X85" s="665"/>
      <c r="Y85" s="665"/>
      <c r="Z85" s="665"/>
      <c r="AA85" s="665"/>
      <c r="AB85" s="665"/>
      <c r="AC85" s="665"/>
      <c r="AD85" s="665"/>
      <c r="AE85" s="665"/>
      <c r="AF85" s="665"/>
      <c r="AG85" s="665"/>
      <c r="AH85" s="665"/>
      <c r="AI85" s="665"/>
      <c r="AJ85" s="666"/>
      <c r="AK85" s="608"/>
    </row>
    <row r="86" ht="15.75" customHeight="1" hidden="1" spans="1:37" s="496" customFormat="1" x14ac:dyDescent="0.25">
      <c r="A86" s="636" t="s">
        <v>209</v>
      </c>
      <c r="B86" s="637"/>
      <c r="C86" s="637"/>
      <c r="D86" s="638"/>
      <c r="E86" s="667"/>
      <c r="F86" s="668"/>
      <c r="G86" s="668"/>
      <c r="H86" s="668"/>
      <c r="I86" s="668"/>
      <c r="J86" s="669"/>
      <c r="K86" s="600"/>
      <c r="L86" s="598"/>
      <c r="M86" s="598"/>
      <c r="N86" s="598"/>
      <c r="O86" s="598"/>
      <c r="P86" s="601"/>
      <c r="Q86" s="602"/>
      <c r="R86" s="603"/>
      <c r="S86" s="603"/>
      <c r="T86" s="603"/>
      <c r="U86" s="603"/>
      <c r="V86" s="604"/>
      <c r="W86" s="605"/>
      <c r="X86" s="606"/>
      <c r="Y86" s="606"/>
      <c r="Z86" s="606"/>
      <c r="AA86" s="606"/>
      <c r="AB86" s="606"/>
      <c r="AC86" s="606"/>
      <c r="AD86" s="606"/>
      <c r="AE86" s="606"/>
      <c r="AF86" s="606"/>
      <c r="AG86" s="606"/>
      <c r="AH86" s="606"/>
      <c r="AI86" s="606"/>
      <c r="AJ86" s="607"/>
      <c r="AK86" s="608"/>
    </row>
    <row r="87" ht="15.75" customHeight="1" hidden="1" spans="1:37" s="496" customFormat="1" x14ac:dyDescent="0.25">
      <c r="A87" s="639"/>
      <c r="B87" s="640"/>
      <c r="C87" s="640"/>
      <c r="D87" s="641"/>
      <c r="E87" s="612"/>
      <c r="F87" s="613"/>
      <c r="G87" s="613"/>
      <c r="H87" s="613"/>
      <c r="I87" s="613"/>
      <c r="J87" s="614"/>
      <c r="K87" s="615"/>
      <c r="L87" s="613"/>
      <c r="M87" s="613"/>
      <c r="N87" s="613"/>
      <c r="O87" s="613"/>
      <c r="P87" s="616"/>
      <c r="Q87" s="617"/>
      <c r="R87" s="618"/>
      <c r="S87" s="618"/>
      <c r="T87" s="618"/>
      <c r="U87" s="618"/>
      <c r="V87" s="619"/>
      <c r="W87" s="620"/>
      <c r="X87" s="621"/>
      <c r="Y87" s="621"/>
      <c r="Z87" s="621"/>
      <c r="AA87" s="621"/>
      <c r="AB87" s="621"/>
      <c r="AC87" s="621"/>
      <c r="AD87" s="621"/>
      <c r="AE87" s="621"/>
      <c r="AF87" s="621"/>
      <c r="AG87" s="621"/>
      <c r="AH87" s="621"/>
      <c r="AI87" s="621"/>
      <c r="AJ87" s="622"/>
      <c r="AK87" s="608"/>
    </row>
    <row r="88" ht="15.75" customHeight="1" hidden="1" spans="1:37" s="496" customFormat="1" x14ac:dyDescent="0.25">
      <c r="A88" s="609"/>
      <c r="B88" s="610"/>
      <c r="C88" s="610"/>
      <c r="D88" s="611"/>
      <c r="E88" s="612"/>
      <c r="F88" s="613"/>
      <c r="G88" s="613"/>
      <c r="H88" s="613"/>
      <c r="I88" s="613"/>
      <c r="J88" s="614"/>
      <c r="K88" s="615"/>
      <c r="L88" s="613"/>
      <c r="M88" s="613"/>
      <c r="N88" s="613"/>
      <c r="O88" s="613"/>
      <c r="P88" s="616"/>
      <c r="Q88" s="617"/>
      <c r="R88" s="618"/>
      <c r="S88" s="618"/>
      <c r="T88" s="618"/>
      <c r="U88" s="618"/>
      <c r="V88" s="619"/>
      <c r="W88" s="620"/>
      <c r="X88" s="621"/>
      <c r="Y88" s="621"/>
      <c r="Z88" s="621"/>
      <c r="AA88" s="621"/>
      <c r="AB88" s="621"/>
      <c r="AC88" s="621"/>
      <c r="AD88" s="621"/>
      <c r="AE88" s="621"/>
      <c r="AF88" s="621"/>
      <c r="AG88" s="621"/>
      <c r="AH88" s="621"/>
      <c r="AI88" s="621"/>
      <c r="AJ88" s="622"/>
      <c r="AK88" s="608"/>
    </row>
    <row r="89" ht="15.75" customHeight="1" hidden="1" spans="1:37" s="496" customFormat="1" x14ac:dyDescent="0.25">
      <c r="A89" s="609"/>
      <c r="B89" s="610"/>
      <c r="C89" s="610"/>
      <c r="D89" s="611"/>
      <c r="E89" s="612"/>
      <c r="F89" s="613"/>
      <c r="G89" s="613"/>
      <c r="H89" s="613"/>
      <c r="I89" s="613"/>
      <c r="J89" s="614"/>
      <c r="K89" s="615"/>
      <c r="L89" s="613"/>
      <c r="M89" s="613"/>
      <c r="N89" s="613"/>
      <c r="O89" s="613"/>
      <c r="P89" s="616"/>
      <c r="Q89" s="617"/>
      <c r="R89" s="618"/>
      <c r="S89" s="618"/>
      <c r="T89" s="618"/>
      <c r="U89" s="618"/>
      <c r="V89" s="619"/>
      <c r="W89" s="620"/>
      <c r="X89" s="621"/>
      <c r="Y89" s="621"/>
      <c r="Z89" s="621"/>
      <c r="AA89" s="621"/>
      <c r="AB89" s="621"/>
      <c r="AC89" s="621"/>
      <c r="AD89" s="621"/>
      <c r="AE89" s="621"/>
      <c r="AF89" s="621"/>
      <c r="AG89" s="621"/>
      <c r="AH89" s="621"/>
      <c r="AI89" s="621"/>
      <c r="AJ89" s="622"/>
      <c r="AK89" s="608"/>
    </row>
    <row r="90" ht="15.75" customHeight="1" hidden="1" spans="1:37" s="496" customFormat="1" x14ac:dyDescent="0.25">
      <c r="A90" s="609"/>
      <c r="B90" s="610"/>
      <c r="C90" s="610"/>
      <c r="D90" s="611"/>
      <c r="E90" s="612"/>
      <c r="F90" s="613"/>
      <c r="G90" s="613"/>
      <c r="H90" s="613"/>
      <c r="I90" s="613"/>
      <c r="J90" s="614"/>
      <c r="K90" s="615"/>
      <c r="L90" s="613"/>
      <c r="M90" s="613"/>
      <c r="N90" s="613"/>
      <c r="O90" s="613"/>
      <c r="P90" s="616"/>
      <c r="Q90" s="617"/>
      <c r="R90" s="618"/>
      <c r="S90" s="618"/>
      <c r="T90" s="618"/>
      <c r="U90" s="618"/>
      <c r="V90" s="619"/>
      <c r="W90" s="620"/>
      <c r="X90" s="621"/>
      <c r="Y90" s="621"/>
      <c r="Z90" s="621"/>
      <c r="AA90" s="621"/>
      <c r="AB90" s="621"/>
      <c r="AC90" s="621"/>
      <c r="AD90" s="621"/>
      <c r="AE90" s="621"/>
      <c r="AF90" s="621"/>
      <c r="AG90" s="621"/>
      <c r="AH90" s="621"/>
      <c r="AI90" s="621"/>
      <c r="AJ90" s="622"/>
      <c r="AK90" s="608"/>
    </row>
    <row r="91" ht="15.75" customHeight="1" hidden="1" spans="1:37" s="496" customFormat="1" x14ac:dyDescent="0.25">
      <c r="A91" s="609"/>
      <c r="B91" s="610"/>
      <c r="C91" s="610"/>
      <c r="D91" s="611"/>
      <c r="E91" s="612"/>
      <c r="F91" s="613"/>
      <c r="G91" s="613"/>
      <c r="H91" s="613"/>
      <c r="I91" s="613"/>
      <c r="J91" s="614"/>
      <c r="K91" s="615"/>
      <c r="L91" s="613"/>
      <c r="M91" s="613"/>
      <c r="N91" s="613"/>
      <c r="O91" s="613"/>
      <c r="P91" s="616"/>
      <c r="Q91" s="617"/>
      <c r="R91" s="618"/>
      <c r="S91" s="618"/>
      <c r="T91" s="618"/>
      <c r="U91" s="618"/>
      <c r="V91" s="619"/>
      <c r="W91" s="620"/>
      <c r="X91" s="621"/>
      <c r="Y91" s="621"/>
      <c r="Z91" s="621"/>
      <c r="AA91" s="621"/>
      <c r="AB91" s="621"/>
      <c r="AC91" s="621"/>
      <c r="AD91" s="621"/>
      <c r="AE91" s="621"/>
      <c r="AF91" s="621"/>
      <c r="AG91" s="621"/>
      <c r="AH91" s="621"/>
      <c r="AI91" s="621"/>
      <c r="AJ91" s="622"/>
      <c r="AK91" s="608"/>
    </row>
    <row r="92" ht="15.75" customHeight="1" hidden="1" spans="1:37" s="496" customFormat="1" x14ac:dyDescent="0.25">
      <c r="A92" s="609"/>
      <c r="B92" s="610"/>
      <c r="C92" s="610"/>
      <c r="D92" s="611"/>
      <c r="E92" s="612"/>
      <c r="F92" s="613"/>
      <c r="G92" s="613"/>
      <c r="H92" s="613"/>
      <c r="I92" s="613"/>
      <c r="J92" s="614"/>
      <c r="K92" s="615"/>
      <c r="L92" s="613"/>
      <c r="M92" s="613"/>
      <c r="N92" s="613"/>
      <c r="O92" s="613"/>
      <c r="P92" s="616"/>
      <c r="Q92" s="617"/>
      <c r="R92" s="618"/>
      <c r="S92" s="618"/>
      <c r="T92" s="618"/>
      <c r="U92" s="618"/>
      <c r="V92" s="619"/>
      <c r="W92" s="620"/>
      <c r="X92" s="621"/>
      <c r="Y92" s="621"/>
      <c r="Z92" s="621"/>
      <c r="AA92" s="621"/>
      <c r="AB92" s="621"/>
      <c r="AC92" s="621"/>
      <c r="AD92" s="621"/>
      <c r="AE92" s="621"/>
      <c r="AF92" s="621"/>
      <c r="AG92" s="621"/>
      <c r="AH92" s="621"/>
      <c r="AI92" s="621"/>
      <c r="AJ92" s="622"/>
      <c r="AK92" s="608"/>
    </row>
    <row r="93" ht="15.75" customHeight="1" hidden="1" spans="1:37" s="496" customFormat="1" x14ac:dyDescent="0.25">
      <c r="A93" s="609"/>
      <c r="B93" s="610"/>
      <c r="C93" s="610"/>
      <c r="D93" s="611"/>
      <c r="E93" s="612"/>
      <c r="F93" s="613"/>
      <c r="G93" s="613"/>
      <c r="H93" s="613"/>
      <c r="I93" s="613"/>
      <c r="J93" s="614"/>
      <c r="K93" s="615"/>
      <c r="L93" s="613"/>
      <c r="M93" s="613"/>
      <c r="N93" s="613"/>
      <c r="O93" s="613"/>
      <c r="P93" s="616"/>
      <c r="Q93" s="617"/>
      <c r="R93" s="618"/>
      <c r="S93" s="618"/>
      <c r="T93" s="618"/>
      <c r="U93" s="618"/>
      <c r="V93" s="619"/>
      <c r="W93" s="620"/>
      <c r="X93" s="621"/>
      <c r="Y93" s="621"/>
      <c r="Z93" s="621"/>
      <c r="AA93" s="621"/>
      <c r="AB93" s="621"/>
      <c r="AC93" s="621"/>
      <c r="AD93" s="621"/>
      <c r="AE93" s="621"/>
      <c r="AF93" s="621"/>
      <c r="AG93" s="621"/>
      <c r="AH93" s="621"/>
      <c r="AI93" s="621"/>
      <c r="AJ93" s="622"/>
      <c r="AK93" s="608"/>
    </row>
    <row r="94" ht="15.75" customHeight="1" hidden="1" spans="1:37" s="496" customFormat="1" x14ac:dyDescent="0.25">
      <c r="A94" s="609"/>
      <c r="B94" s="610"/>
      <c r="C94" s="610"/>
      <c r="D94" s="611"/>
      <c r="E94" s="612"/>
      <c r="F94" s="613"/>
      <c r="G94" s="613"/>
      <c r="H94" s="613"/>
      <c r="I94" s="613"/>
      <c r="J94" s="614"/>
      <c r="K94" s="613"/>
      <c r="L94" s="613"/>
      <c r="M94" s="613"/>
      <c r="N94" s="613"/>
      <c r="O94" s="613"/>
      <c r="P94" s="616"/>
      <c r="Q94" s="617">
        <f t="shared" ref="Q94:Q95" si="15">IF(AND(NOT(ISBLANK(K94)),NOT(ISBLANK(E94))), IF(K94&gt;E94,K94-E94,24-E94+K94), "")</f>
      </c>
      <c r="R94" s="618"/>
      <c r="S94" s="618"/>
      <c r="T94" s="618"/>
      <c r="U94" s="618"/>
      <c r="V94" s="619"/>
      <c r="W94" s="620"/>
      <c r="X94" s="621"/>
      <c r="Y94" s="621"/>
      <c r="Z94" s="621"/>
      <c r="AA94" s="621"/>
      <c r="AB94" s="621"/>
      <c r="AC94" s="621"/>
      <c r="AD94" s="621"/>
      <c r="AE94" s="621"/>
      <c r="AF94" s="621"/>
      <c r="AG94" s="621"/>
      <c r="AH94" s="621"/>
      <c r="AI94" s="621"/>
      <c r="AJ94" s="622"/>
      <c r="AK94" s="608"/>
    </row>
    <row r="95" ht="15.75" customHeight="1" hidden="1" spans="1:37" s="496" customFormat="1" x14ac:dyDescent="0.25">
      <c r="A95" s="609"/>
      <c r="B95" s="610"/>
      <c r="C95" s="610"/>
      <c r="D95" s="611"/>
      <c r="E95" s="612"/>
      <c r="F95" s="613"/>
      <c r="G95" s="613"/>
      <c r="H95" s="613"/>
      <c r="I95" s="613"/>
      <c r="J95" s="614"/>
      <c r="K95" s="613"/>
      <c r="L95" s="613"/>
      <c r="M95" s="613"/>
      <c r="N95" s="613"/>
      <c r="O95" s="613"/>
      <c r="P95" s="616"/>
      <c r="Q95" s="617">
        <f t="shared" si="15"/>
      </c>
      <c r="R95" s="618"/>
      <c r="S95" s="618"/>
      <c r="T95" s="618"/>
      <c r="U95" s="618"/>
      <c r="V95" s="619"/>
      <c r="W95" s="620"/>
      <c r="X95" s="621"/>
      <c r="Y95" s="621"/>
      <c r="Z95" s="621"/>
      <c r="AA95" s="621"/>
      <c r="AB95" s="621"/>
      <c r="AC95" s="621"/>
      <c r="AD95" s="621"/>
      <c r="AE95" s="621"/>
      <c r="AF95" s="621"/>
      <c r="AG95" s="621"/>
      <c r="AH95" s="621"/>
      <c r="AI95" s="621"/>
      <c r="AJ95" s="622"/>
      <c r="AK95" s="608"/>
    </row>
    <row r="96" ht="15.75" customHeight="1" hidden="1" spans="1:37" s="496" customFormat="1" x14ac:dyDescent="0.25">
      <c r="A96" s="609"/>
      <c r="B96" s="610"/>
      <c r="C96" s="610"/>
      <c r="D96" s="611"/>
      <c r="E96" s="612"/>
      <c r="F96" s="613"/>
      <c r="G96" s="613"/>
      <c r="H96" s="613"/>
      <c r="I96" s="613"/>
      <c r="J96" s="614"/>
      <c r="K96" s="613"/>
      <c r="L96" s="613"/>
      <c r="M96" s="613"/>
      <c r="N96" s="613"/>
      <c r="O96" s="613"/>
      <c r="P96" s="616"/>
      <c r="Q96" s="617">
        <f t="shared" ref="Q96:Q97" si="16">IF(AND(NOT(ISBLANK(K96)),NOT(ISBLANK(E96))), IF(K96&gt;E96,K96-E96,24-E96+K96), "")</f>
      </c>
      <c r="R96" s="618"/>
      <c r="S96" s="618"/>
      <c r="T96" s="618"/>
      <c r="U96" s="618"/>
      <c r="V96" s="619"/>
      <c r="W96" s="620"/>
      <c r="X96" s="621"/>
      <c r="Y96" s="621"/>
      <c r="Z96" s="621"/>
      <c r="AA96" s="621"/>
      <c r="AB96" s="621"/>
      <c r="AC96" s="621"/>
      <c r="AD96" s="621"/>
      <c r="AE96" s="621"/>
      <c r="AF96" s="621"/>
      <c r="AG96" s="621"/>
      <c r="AH96" s="621"/>
      <c r="AI96" s="621"/>
      <c r="AJ96" s="622"/>
      <c r="AK96" s="608"/>
    </row>
    <row r="97" ht="15.75" customHeight="1" hidden="1" spans="1:37" s="496" customFormat="1" x14ac:dyDescent="0.25">
      <c r="A97" s="609"/>
      <c r="B97" s="610"/>
      <c r="C97" s="610"/>
      <c r="D97" s="611"/>
      <c r="E97" s="612"/>
      <c r="F97" s="613"/>
      <c r="G97" s="613"/>
      <c r="H97" s="613"/>
      <c r="I97" s="613"/>
      <c r="J97" s="614"/>
      <c r="K97" s="613"/>
      <c r="L97" s="613"/>
      <c r="M97" s="613"/>
      <c r="N97" s="613"/>
      <c r="O97" s="613"/>
      <c r="P97" s="616"/>
      <c r="Q97" s="617">
        <f t="shared" si="16"/>
      </c>
      <c r="R97" s="618"/>
      <c r="S97" s="618"/>
      <c r="T97" s="618"/>
      <c r="U97" s="618"/>
      <c r="V97" s="619"/>
      <c r="W97" s="670"/>
      <c r="X97" s="671"/>
      <c r="Y97" s="671"/>
      <c r="Z97" s="671"/>
      <c r="AA97" s="671"/>
      <c r="AB97" s="671"/>
      <c r="AC97" s="671"/>
      <c r="AD97" s="671"/>
      <c r="AE97" s="671"/>
      <c r="AF97" s="671"/>
      <c r="AG97" s="671"/>
      <c r="AH97" s="671"/>
      <c r="AI97" s="671"/>
      <c r="AJ97" s="672"/>
      <c r="AK97" s="608"/>
    </row>
    <row r="98" ht="15.75" customHeight="1" hidden="1" spans="1:37" s="496" customFormat="1" x14ac:dyDescent="0.25">
      <c r="A98" s="609"/>
      <c r="B98" s="610"/>
      <c r="C98" s="610"/>
      <c r="D98" s="611"/>
      <c r="E98" s="612"/>
      <c r="F98" s="613"/>
      <c r="G98" s="613"/>
      <c r="H98" s="613"/>
      <c r="I98" s="613"/>
      <c r="J98" s="614"/>
      <c r="K98" s="613"/>
      <c r="L98" s="613"/>
      <c r="M98" s="613"/>
      <c r="N98" s="613"/>
      <c r="O98" s="613"/>
      <c r="P98" s="616"/>
      <c r="Q98" s="617">
        <f t="shared" ref="Q98:Q99" si="17">IF(AND(NOT(ISBLANK(K98)),NOT(ISBLANK(E98))), IF(K98&gt;E98,K98-E98,24-E98+K98), "")</f>
      </c>
      <c r="R98" s="618"/>
      <c r="S98" s="618"/>
      <c r="T98" s="618"/>
      <c r="U98" s="618"/>
      <c r="V98" s="619"/>
      <c r="W98" s="620"/>
      <c r="X98" s="621"/>
      <c r="Y98" s="621"/>
      <c r="Z98" s="621"/>
      <c r="AA98" s="621"/>
      <c r="AB98" s="621"/>
      <c r="AC98" s="621"/>
      <c r="AD98" s="621"/>
      <c r="AE98" s="621"/>
      <c r="AF98" s="621"/>
      <c r="AG98" s="621"/>
      <c r="AH98" s="621"/>
      <c r="AI98" s="621"/>
      <c r="AJ98" s="622"/>
      <c r="AK98" s="608"/>
    </row>
    <row r="99" ht="15.75" customHeight="1" hidden="1" spans="1:37" s="496" customFormat="1" x14ac:dyDescent="0.25">
      <c r="A99" s="609"/>
      <c r="B99" s="610"/>
      <c r="C99" s="610"/>
      <c r="D99" s="611"/>
      <c r="E99" s="612"/>
      <c r="F99" s="613"/>
      <c r="G99" s="613"/>
      <c r="H99" s="613"/>
      <c r="I99" s="613"/>
      <c r="J99" s="614"/>
      <c r="K99" s="613"/>
      <c r="L99" s="613"/>
      <c r="M99" s="613"/>
      <c r="N99" s="613"/>
      <c r="O99" s="613"/>
      <c r="P99" s="616"/>
      <c r="Q99" s="617">
        <f t="shared" si="17"/>
      </c>
      <c r="R99" s="618"/>
      <c r="S99" s="618"/>
      <c r="T99" s="618"/>
      <c r="U99" s="618"/>
      <c r="V99" s="619"/>
      <c r="W99" s="670"/>
      <c r="X99" s="671"/>
      <c r="Y99" s="671"/>
      <c r="Z99" s="671"/>
      <c r="AA99" s="671"/>
      <c r="AB99" s="671"/>
      <c r="AC99" s="671"/>
      <c r="AD99" s="671"/>
      <c r="AE99" s="671"/>
      <c r="AF99" s="671"/>
      <c r="AG99" s="671"/>
      <c r="AH99" s="671"/>
      <c r="AI99" s="671"/>
      <c r="AJ99" s="672"/>
      <c r="AK99" s="608"/>
    </row>
    <row r="100" ht="15.75" customHeight="1" hidden="1" spans="1:37" s="496" customFormat="1" x14ac:dyDescent="0.25">
      <c r="A100" s="609"/>
      <c r="B100" s="610"/>
      <c r="C100" s="610"/>
      <c r="D100" s="611"/>
      <c r="E100" s="612"/>
      <c r="F100" s="613"/>
      <c r="G100" s="613"/>
      <c r="H100" s="613"/>
      <c r="I100" s="613"/>
      <c r="J100" s="614"/>
      <c r="K100" s="615"/>
      <c r="L100" s="613"/>
      <c r="M100" s="613"/>
      <c r="N100" s="613"/>
      <c r="O100" s="613"/>
      <c r="P100" s="616"/>
      <c r="Q100" s="617">
        <f t="shared" ref="Q100:Q103" si="18">IF(AND(NOT(ISBLANK(K100)),NOT(ISBLANK(E100))), IF(K100&gt;E100,K100-E100,24-E100+K100), "")</f>
      </c>
      <c r="R100" s="618"/>
      <c r="S100" s="618"/>
      <c r="T100" s="618"/>
      <c r="U100" s="618"/>
      <c r="V100" s="619"/>
      <c r="W100" s="620"/>
      <c r="X100" s="621"/>
      <c r="Y100" s="621"/>
      <c r="Z100" s="621"/>
      <c r="AA100" s="621"/>
      <c r="AB100" s="621"/>
      <c r="AC100" s="621"/>
      <c r="AD100" s="621"/>
      <c r="AE100" s="621"/>
      <c r="AF100" s="621"/>
      <c r="AG100" s="621"/>
      <c r="AH100" s="621"/>
      <c r="AI100" s="621"/>
      <c r="AJ100" s="622"/>
      <c r="AK100" s="608"/>
    </row>
    <row r="101" ht="15.75" customHeight="1" hidden="1" spans="1:37" s="496" customFormat="1" x14ac:dyDescent="0.25">
      <c r="A101" s="609"/>
      <c r="B101" s="610"/>
      <c r="C101" s="610"/>
      <c r="D101" s="611"/>
      <c r="E101" s="612"/>
      <c r="F101" s="613"/>
      <c r="G101" s="613"/>
      <c r="H101" s="613"/>
      <c r="I101" s="613"/>
      <c r="J101" s="614"/>
      <c r="K101" s="615"/>
      <c r="L101" s="613"/>
      <c r="M101" s="613"/>
      <c r="N101" s="613"/>
      <c r="O101" s="613"/>
      <c r="P101" s="616"/>
      <c r="Q101" s="617">
        <f t="shared" si="18"/>
      </c>
      <c r="R101" s="618"/>
      <c r="S101" s="618"/>
      <c r="T101" s="618"/>
      <c r="U101" s="618"/>
      <c r="V101" s="619"/>
      <c r="W101" s="620"/>
      <c r="X101" s="621"/>
      <c r="Y101" s="621"/>
      <c r="Z101" s="621"/>
      <c r="AA101" s="621"/>
      <c r="AB101" s="621"/>
      <c r="AC101" s="621"/>
      <c r="AD101" s="621"/>
      <c r="AE101" s="621"/>
      <c r="AF101" s="621"/>
      <c r="AG101" s="621"/>
      <c r="AH101" s="621"/>
      <c r="AI101" s="621"/>
      <c r="AJ101" s="622"/>
      <c r="AK101" s="608"/>
    </row>
    <row r="102" ht="15.75" customHeight="1" hidden="1" spans="1:37" s="496" customFormat="1" x14ac:dyDescent="0.25">
      <c r="A102" s="609"/>
      <c r="B102" s="610"/>
      <c r="C102" s="610"/>
      <c r="D102" s="611"/>
      <c r="E102" s="612"/>
      <c r="F102" s="613"/>
      <c r="G102" s="613"/>
      <c r="H102" s="613"/>
      <c r="I102" s="613"/>
      <c r="J102" s="614"/>
      <c r="K102" s="613"/>
      <c r="L102" s="613"/>
      <c r="M102" s="613"/>
      <c r="N102" s="613"/>
      <c r="O102" s="613"/>
      <c r="P102" s="616"/>
      <c r="Q102" s="617">
        <f t="shared" si="18"/>
      </c>
      <c r="R102" s="618"/>
      <c r="S102" s="618"/>
      <c r="T102" s="618"/>
      <c r="U102" s="618"/>
      <c r="V102" s="619"/>
      <c r="W102" s="670"/>
      <c r="X102" s="671"/>
      <c r="Y102" s="671"/>
      <c r="Z102" s="671"/>
      <c r="AA102" s="671"/>
      <c r="AB102" s="671"/>
      <c r="AC102" s="671"/>
      <c r="AD102" s="671"/>
      <c r="AE102" s="671"/>
      <c r="AF102" s="671"/>
      <c r="AG102" s="671"/>
      <c r="AH102" s="671"/>
      <c r="AI102" s="671"/>
      <c r="AJ102" s="672"/>
      <c r="AK102" s="608"/>
    </row>
    <row r="103" ht="15.75" customHeight="1" hidden="1" spans="1:37" s="496" customFormat="1" x14ac:dyDescent="0.25">
      <c r="A103" s="609"/>
      <c r="B103" s="610"/>
      <c r="C103" s="610"/>
      <c r="D103" s="611"/>
      <c r="E103" s="612"/>
      <c r="F103" s="613"/>
      <c r="G103" s="613"/>
      <c r="H103" s="613"/>
      <c r="I103" s="613"/>
      <c r="J103" s="614"/>
      <c r="K103" s="613"/>
      <c r="L103" s="613"/>
      <c r="M103" s="613"/>
      <c r="N103" s="613"/>
      <c r="O103" s="613"/>
      <c r="P103" s="616"/>
      <c r="Q103" s="617">
        <f t="shared" si="18"/>
      </c>
      <c r="R103" s="618"/>
      <c r="S103" s="618"/>
      <c r="T103" s="618"/>
      <c r="U103" s="618"/>
      <c r="V103" s="619"/>
      <c r="W103" s="620"/>
      <c r="X103" s="621"/>
      <c r="Y103" s="621"/>
      <c r="Z103" s="621"/>
      <c r="AA103" s="621"/>
      <c r="AB103" s="621"/>
      <c r="AC103" s="621"/>
      <c r="AD103" s="621"/>
      <c r="AE103" s="621"/>
      <c r="AF103" s="621"/>
      <c r="AG103" s="621"/>
      <c r="AH103" s="621"/>
      <c r="AI103" s="621"/>
      <c r="AJ103" s="622"/>
      <c r="AK103" s="608"/>
    </row>
    <row r="104" ht="15.75" customHeight="1" hidden="1" spans="1:37" s="40" customFormat="1" x14ac:dyDescent="0.25">
      <c r="A104" s="626"/>
      <c r="B104" s="627"/>
      <c r="C104" s="627"/>
      <c r="D104" s="627"/>
      <c r="E104" s="627"/>
      <c r="F104" s="627"/>
      <c r="G104" s="627"/>
      <c r="H104" s="627"/>
      <c r="I104" s="627"/>
      <c r="J104" s="627"/>
      <c r="K104" s="627"/>
      <c r="L104" s="627"/>
      <c r="M104" s="627"/>
      <c r="N104" s="627"/>
      <c r="O104" s="627"/>
      <c r="P104" s="628"/>
      <c r="Q104" s="629">
        <f>SUM(Q86:V103)</f>
        <v>0</v>
      </c>
      <c r="R104" s="630"/>
      <c r="S104" s="630"/>
      <c r="T104" s="630"/>
      <c r="U104" s="630"/>
      <c r="V104" s="631"/>
      <c r="W104" s="632"/>
      <c r="X104" s="633"/>
      <c r="Y104" s="633"/>
      <c r="Z104" s="633"/>
      <c r="AA104" s="633"/>
      <c r="AB104" s="633"/>
      <c r="AC104" s="633"/>
      <c r="AD104" s="633"/>
      <c r="AE104" s="633"/>
      <c r="AF104" s="633"/>
      <c r="AG104" s="633"/>
      <c r="AH104" s="633"/>
      <c r="AI104" s="633"/>
      <c r="AJ104" s="634"/>
      <c r="AK104" s="635"/>
    </row>
  </sheetData>
  <mergeCells count="463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P104"/>
    <mergeCell ref="Q104:V104"/>
    <mergeCell ref="W104:AJ104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85" t="s">
        <v>57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</row>
    <row r="5" ht="4.5" customHeight="1" x14ac:dyDescent="0.25"/>
    <row r="6" ht="17.45" customHeight="1" spans="1:18" x14ac:dyDescent="0.25">
      <c r="A6" s="186" t="s">
        <v>58</v>
      </c>
      <c r="B6" s="186" t="str">
        <f>'Final Work'!모선이름</f>
        <v>YOKOHAMA TRADER</v>
      </c>
      <c r="H6" s="8" t="s">
        <v>59</v>
      </c>
      <c r="I6" s="8"/>
      <c r="J6" s="8" t="str">
        <f>'OS-IN'!H6</f>
        <v>2611E</v>
      </c>
      <c r="K6" s="8"/>
      <c r="O6" s="186" t="s">
        <v>60</v>
      </c>
      <c r="P6" s="187">
        <f>'OS-IN'!L6</f>
        <v>46219</v>
      </c>
      <c r="Q6" s="8"/>
      <c r="R6" s="8"/>
    </row>
    <row r="7" ht="11.25" customHeight="1" x14ac:dyDescent="0.25"/>
    <row r="8" ht="17.45" customHeight="1" spans="1:18" x14ac:dyDescent="0.25">
      <c r="A8" s="186" t="s">
        <v>61</v>
      </c>
      <c r="B8" s="186" t="s">
        <v>25</v>
      </c>
      <c r="C8" s="186"/>
      <c r="D8" s="186"/>
      <c r="E8" s="186"/>
      <c r="H8" s="8" t="s">
        <v>62</v>
      </c>
      <c r="I8" s="8"/>
      <c r="J8" s="8" t="s">
        <v>63</v>
      </c>
      <c r="K8" s="8"/>
      <c r="O8" s="186" t="s">
        <v>64</v>
      </c>
      <c r="P8" s="8">
        <f>'Final Work'!G6</f>
        <v>8</v>
      </c>
      <c r="Q8" s="8"/>
      <c r="R8" s="8"/>
    </row>
    <row r="9" ht="6.75" customHeight="1" x14ac:dyDescent="0.25"/>
    <row r="10" ht="12" customHeight="1" spans="1:18" x14ac:dyDescent="0.25">
      <c r="A10" s="188" t="s">
        <v>11</v>
      </c>
      <c r="B10" s="188" t="s">
        <v>42</v>
      </c>
      <c r="C10" s="249" t="s">
        <v>65</v>
      </c>
      <c r="D10" s="183"/>
      <c r="E10" s="250"/>
      <c r="F10" s="188" t="s">
        <v>66</v>
      </c>
      <c r="G10" s="188"/>
      <c r="H10" s="188"/>
      <c r="I10" s="188"/>
      <c r="J10" s="191" t="s">
        <v>67</v>
      </c>
      <c r="K10" s="188" t="s">
        <v>68</v>
      </c>
      <c r="L10" s="188" t="s">
        <v>69</v>
      </c>
      <c r="M10" s="188"/>
      <c r="N10" s="188"/>
      <c r="O10" s="188"/>
      <c r="P10" s="188"/>
      <c r="Q10" s="188"/>
      <c r="R10" s="188"/>
    </row>
    <row r="11" ht="12" customHeight="1" spans="1:18" x14ac:dyDescent="0.25">
      <c r="A11" s="192"/>
      <c r="B11" s="192"/>
      <c r="C11" s="251"/>
      <c r="D11" s="252"/>
      <c r="E11" s="253"/>
      <c r="F11" s="192"/>
      <c r="G11" s="192"/>
      <c r="H11" s="192"/>
      <c r="I11" s="192"/>
      <c r="J11" s="195" t="s">
        <v>51</v>
      </c>
      <c r="K11" s="192"/>
      <c r="L11" s="192"/>
      <c r="M11" s="192"/>
      <c r="N11" s="192"/>
      <c r="O11" s="192"/>
      <c r="P11" s="192"/>
      <c r="Q11" s="192"/>
      <c r="R11" s="192"/>
    </row>
    <row r="12" ht="19.9" customHeight="1" spans="1:18" s="3" customFormat="1" x14ac:dyDescent="0.25">
      <c r="A12" s="51"/>
      <c r="B12" s="254"/>
      <c r="C12" s="255"/>
      <c r="D12" s="256"/>
      <c r="E12" s="257"/>
      <c r="F12" s="255"/>
      <c r="G12" s="256"/>
      <c r="H12" s="256"/>
      <c r="I12" s="257"/>
      <c r="J12" s="258"/>
      <c r="K12" s="258"/>
      <c r="L12" s="255"/>
      <c r="M12" s="256"/>
      <c r="N12" s="256"/>
      <c r="O12" s="256"/>
      <c r="P12" s="256"/>
      <c r="Q12" s="256"/>
      <c r="R12" s="257"/>
    </row>
    <row r="13" ht="19.9" customHeight="1" spans="1:18" s="3" customFormat="1" x14ac:dyDescent="0.25">
      <c r="A13" s="51"/>
      <c r="B13" s="51"/>
      <c r="C13" s="176"/>
      <c r="D13" s="52"/>
      <c r="E13" s="54"/>
      <c r="F13" s="176"/>
      <c r="G13" s="52"/>
      <c r="H13" s="52"/>
      <c r="I13" s="54"/>
      <c r="J13" s="259"/>
      <c r="K13" s="259"/>
      <c r="L13" s="176"/>
      <c r="M13" s="52"/>
      <c r="N13" s="52"/>
      <c r="O13" s="52"/>
      <c r="P13" s="52"/>
      <c r="Q13" s="52"/>
      <c r="R13" s="54"/>
    </row>
    <row r="14" ht="19.9" customHeight="1" spans="1:18" s="3" customFormat="1" x14ac:dyDescent="0.25">
      <c r="A14" s="51"/>
      <c r="B14" s="51"/>
      <c r="C14" s="155"/>
      <c r="D14" s="260"/>
      <c r="E14" s="167"/>
      <c r="F14" s="176"/>
      <c r="G14" s="52"/>
      <c r="H14" s="52"/>
      <c r="I14" s="54"/>
      <c r="J14" s="259"/>
      <c r="K14" s="259"/>
      <c r="L14" s="261"/>
      <c r="M14" s="261"/>
      <c r="N14" s="261"/>
      <c r="O14" s="261"/>
      <c r="P14" s="261"/>
      <c r="Q14" s="261"/>
      <c r="R14" s="261"/>
    </row>
    <row r="15" ht="19.9" customHeight="1" spans="1:18" s="3" customFormat="1" x14ac:dyDescent="0.25">
      <c r="A15" s="262"/>
      <c r="B15" s="262"/>
      <c r="C15" s="155"/>
      <c r="D15" s="260"/>
      <c r="E15" s="167"/>
      <c r="F15" s="155"/>
      <c r="G15" s="260"/>
      <c r="H15" s="260"/>
      <c r="I15" s="167"/>
      <c r="J15" s="262"/>
      <c r="K15" s="262"/>
      <c r="L15" s="263"/>
      <c r="M15" s="263"/>
      <c r="N15" s="263"/>
      <c r="O15" s="263"/>
      <c r="P15" s="263"/>
      <c r="Q15" s="263"/>
      <c r="R15" s="263"/>
    </row>
    <row r="16" ht="19.9" customHeight="1" spans="1:18" s="3" customFormat="1" x14ac:dyDescent="0.25">
      <c r="A16" s="262"/>
      <c r="B16" s="262"/>
      <c r="C16" s="155"/>
      <c r="D16" s="260"/>
      <c r="E16" s="167"/>
      <c r="F16" s="155"/>
      <c r="G16" s="260"/>
      <c r="H16" s="260"/>
      <c r="I16" s="167"/>
      <c r="J16" s="262"/>
      <c r="K16" s="262"/>
      <c r="L16" s="263"/>
      <c r="M16" s="263"/>
      <c r="N16" s="263"/>
      <c r="O16" s="263"/>
      <c r="P16" s="263"/>
      <c r="Q16" s="263"/>
      <c r="R16" s="263"/>
    </row>
    <row r="17" ht="19.9" customHeight="1" spans="1:18" s="3" customFormat="1" x14ac:dyDescent="0.25">
      <c r="A17" s="262"/>
      <c r="B17" s="262"/>
      <c r="C17" s="155"/>
      <c r="D17" s="260"/>
      <c r="E17" s="167"/>
      <c r="F17" s="155"/>
      <c r="G17" s="260"/>
      <c r="H17" s="260"/>
      <c r="I17" s="167"/>
      <c r="J17" s="262"/>
      <c r="K17" s="262"/>
      <c r="L17" s="263"/>
      <c r="M17" s="263"/>
      <c r="N17" s="263"/>
      <c r="O17" s="263"/>
      <c r="P17" s="263"/>
      <c r="Q17" s="263"/>
      <c r="R17" s="263"/>
    </row>
    <row r="18" ht="19.9" customHeight="1" spans="1:18" s="3" customFormat="1" x14ac:dyDescent="0.25">
      <c r="A18" s="262"/>
      <c r="B18" s="262"/>
      <c r="C18" s="155"/>
      <c r="D18" s="260"/>
      <c r="E18" s="167"/>
      <c r="F18" s="155"/>
      <c r="G18" s="260"/>
      <c r="H18" s="260"/>
      <c r="I18" s="167"/>
      <c r="J18" s="262"/>
      <c r="K18" s="262"/>
      <c r="L18" s="263"/>
      <c r="M18" s="263"/>
      <c r="N18" s="263"/>
      <c r="O18" s="263"/>
      <c r="P18" s="263"/>
      <c r="Q18" s="263"/>
      <c r="R18" s="263"/>
    </row>
    <row r="19" ht="19.9" customHeight="1" spans="1:18" s="3" customFormat="1" x14ac:dyDescent="0.25">
      <c r="A19" s="262"/>
      <c r="B19" s="262"/>
      <c r="C19" s="155"/>
      <c r="D19" s="260"/>
      <c r="E19" s="167"/>
      <c r="F19" s="155"/>
      <c r="G19" s="260"/>
      <c r="H19" s="260"/>
      <c r="I19" s="167"/>
      <c r="J19" s="262"/>
      <c r="K19" s="262"/>
      <c r="L19" s="263"/>
      <c r="M19" s="263"/>
      <c r="N19" s="263"/>
      <c r="O19" s="263"/>
      <c r="P19" s="263"/>
      <c r="Q19" s="263"/>
      <c r="R19" s="263"/>
    </row>
    <row r="20" ht="19.9" customHeight="1" spans="1:18" s="3" customFormat="1" x14ac:dyDescent="0.25">
      <c r="A20" s="262"/>
      <c r="B20" s="262"/>
      <c r="C20" s="155"/>
      <c r="D20" s="260"/>
      <c r="E20" s="167"/>
      <c r="F20" s="155"/>
      <c r="G20" s="260"/>
      <c r="H20" s="260"/>
      <c r="I20" s="167"/>
      <c r="J20" s="262"/>
      <c r="K20" s="262"/>
      <c r="L20" s="263"/>
      <c r="M20" s="263"/>
      <c r="N20" s="263"/>
      <c r="O20" s="263"/>
      <c r="P20" s="263"/>
      <c r="Q20" s="263"/>
      <c r="R20" s="263"/>
    </row>
    <row r="21" ht="19.9" customHeight="1" spans="1:18" s="3" customFormat="1" x14ac:dyDescent="0.25">
      <c r="A21" s="262"/>
      <c r="B21" s="262"/>
      <c r="C21" s="155"/>
      <c r="D21" s="260"/>
      <c r="E21" s="167"/>
      <c r="F21" s="155"/>
      <c r="G21" s="260"/>
      <c r="H21" s="260"/>
      <c r="I21" s="167"/>
      <c r="J21" s="262"/>
      <c r="K21" s="262"/>
      <c r="L21" s="263"/>
      <c r="M21" s="263"/>
      <c r="N21" s="263"/>
      <c r="O21" s="263"/>
      <c r="P21" s="263"/>
      <c r="Q21" s="263"/>
      <c r="R21" s="263"/>
    </row>
    <row r="22" ht="19.9" customHeight="1" spans="1:18" s="3" customFormat="1" x14ac:dyDescent="0.25">
      <c r="A22" s="262"/>
      <c r="B22" s="262"/>
      <c r="C22" s="155"/>
      <c r="D22" s="260"/>
      <c r="E22" s="167"/>
      <c r="F22" s="155"/>
      <c r="G22" s="260"/>
      <c r="H22" s="260"/>
      <c r="I22" s="167"/>
      <c r="J22" s="262"/>
      <c r="K22" s="262"/>
      <c r="L22" s="263"/>
      <c r="M22" s="263"/>
      <c r="N22" s="263"/>
      <c r="O22" s="263"/>
      <c r="P22" s="263"/>
      <c r="Q22" s="263"/>
      <c r="R22" s="263"/>
    </row>
    <row r="23" ht="19.9" customHeight="1" spans="1:18" s="3" customFormat="1" x14ac:dyDescent="0.25">
      <c r="A23" s="262"/>
      <c r="B23" s="262"/>
      <c r="C23" s="155"/>
      <c r="D23" s="260"/>
      <c r="E23" s="167"/>
      <c r="F23" s="155"/>
      <c r="G23" s="260"/>
      <c r="H23" s="260"/>
      <c r="I23" s="167"/>
      <c r="J23" s="262"/>
      <c r="K23" s="262"/>
      <c r="L23" s="263"/>
      <c r="M23" s="263"/>
      <c r="N23" s="263"/>
      <c r="O23" s="263"/>
      <c r="P23" s="263"/>
      <c r="Q23" s="263"/>
      <c r="R23" s="263"/>
    </row>
    <row r="24" ht="19.9" customHeight="1" spans="1:18" s="3" customFormat="1" x14ac:dyDescent="0.25">
      <c r="A24" s="262"/>
      <c r="B24" s="262"/>
      <c r="C24" s="155"/>
      <c r="D24" s="260"/>
      <c r="E24" s="167"/>
      <c r="F24" s="155"/>
      <c r="G24" s="260"/>
      <c r="H24" s="260"/>
      <c r="I24" s="167"/>
      <c r="J24" s="262"/>
      <c r="K24" s="262"/>
      <c r="L24" s="263"/>
      <c r="M24" s="263"/>
      <c r="N24" s="263"/>
      <c r="O24" s="263"/>
      <c r="P24" s="263"/>
      <c r="Q24" s="263"/>
      <c r="R24" s="263"/>
    </row>
    <row r="25" ht="19.9" customHeight="1" spans="1:18" s="3" customFormat="1" x14ac:dyDescent="0.25">
      <c r="A25" s="262"/>
      <c r="B25" s="262"/>
      <c r="C25" s="155"/>
      <c r="D25" s="260"/>
      <c r="E25" s="167"/>
      <c r="F25" s="155"/>
      <c r="G25" s="260"/>
      <c r="H25" s="260"/>
      <c r="I25" s="167"/>
      <c r="J25" s="262"/>
      <c r="K25" s="262"/>
      <c r="L25" s="263"/>
      <c r="M25" s="263"/>
      <c r="N25" s="263"/>
      <c r="O25" s="263"/>
      <c r="P25" s="263"/>
      <c r="Q25" s="263"/>
      <c r="R25" s="263"/>
    </row>
    <row r="26" ht="19.9" customHeight="1" spans="1:18" s="3" customFormat="1" x14ac:dyDescent="0.25">
      <c r="A26" s="262"/>
      <c r="B26" s="262"/>
      <c r="C26" s="155"/>
      <c r="D26" s="260"/>
      <c r="E26" s="167"/>
      <c r="F26" s="155"/>
      <c r="G26" s="260"/>
      <c r="H26" s="260"/>
      <c r="I26" s="167"/>
      <c r="J26" s="262"/>
      <c r="K26" s="262"/>
      <c r="L26" s="263"/>
      <c r="M26" s="263"/>
      <c r="N26" s="263"/>
      <c r="O26" s="263"/>
      <c r="P26" s="263"/>
      <c r="Q26" s="263"/>
      <c r="R26" s="263"/>
    </row>
    <row r="27" ht="19.9" customHeight="1" spans="1:18" s="3" customFormat="1" x14ac:dyDescent="0.25">
      <c r="A27" s="262"/>
      <c r="B27" s="262"/>
      <c r="C27" s="155"/>
      <c r="D27" s="260"/>
      <c r="E27" s="167"/>
      <c r="F27" s="155"/>
      <c r="G27" s="260"/>
      <c r="H27" s="260"/>
      <c r="I27" s="167"/>
      <c r="J27" s="262"/>
      <c r="K27" s="262"/>
      <c r="L27" s="263"/>
      <c r="M27" s="263"/>
      <c r="N27" s="263"/>
      <c r="O27" s="263"/>
      <c r="P27" s="263"/>
      <c r="Q27" s="263"/>
      <c r="R27" s="263"/>
    </row>
    <row r="31" ht="15" customHeight="1" spans="1:18" s="3" customFormat="1" x14ac:dyDescent="0.25">
      <c r="A31" s="182"/>
      <c r="B31" s="182"/>
      <c r="C31" s="182"/>
      <c r="D31" s="182"/>
      <c r="I31" s="182"/>
      <c r="J31" s="182"/>
      <c r="K31" s="182"/>
      <c r="O31" s="182"/>
      <c r="P31" s="182"/>
      <c r="Q31" s="182"/>
      <c r="R31" s="182"/>
    </row>
    <row r="32" spans="1:18" s="3" customFormat="1" x14ac:dyDescent="0.25">
      <c r="A32" s="183" t="s">
        <v>22</v>
      </c>
      <c r="B32" s="183"/>
      <c r="C32" s="183"/>
      <c r="D32" s="183"/>
      <c r="I32" s="183" t="s">
        <v>56</v>
      </c>
      <c r="J32" s="183"/>
      <c r="K32" s="183"/>
      <c r="O32" s="183" t="s">
        <v>23</v>
      </c>
      <c r="P32" s="183"/>
      <c r="Q32" s="183"/>
      <c r="R32" s="18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workbookViewId="0" zoomScale="80" zoomScaleNormal="80">
      <selection activeCell="R9" sqref="R9"/>
    </sheetView>
  </sheetViews>
  <sheetFormatPr defaultRowHeight="12" outlineLevelRow="0" outlineLevelCol="0" x14ac:dyDescent="0" customHeight="1"/>
  <cols>
    <col min="1" max="1" width="6.625" style="292" customWidth="1"/>
    <col min="2" max="2" width="7.125" style="292" customWidth="1"/>
    <col min="3" max="5" width="6.625" style="292" customWidth="1"/>
    <col min="6" max="6" width="7.125" style="292" customWidth="1"/>
    <col min="7" max="7" width="6.625" style="292" customWidth="1"/>
    <col min="8" max="12" width="7.125" style="292" customWidth="1"/>
    <col min="13" max="13" width="6.625" style="292" customWidth="1"/>
    <col min="14" max="256" width="9" style="292" customWidth="1"/>
    <col min="257" max="257" width="7" style="292" customWidth="1"/>
    <col min="258" max="258" width="7.5" style="292" customWidth="1"/>
    <col min="259" max="259" width="6.75" style="292" customWidth="1"/>
    <col min="260" max="260" width="6.875" style="292" customWidth="1"/>
    <col min="261" max="261" width="7" style="292" customWidth="1"/>
    <col min="262" max="262" width="7.5" style="292" customWidth="1"/>
    <col min="263" max="263" width="6.625" style="292" customWidth="1"/>
    <col min="264" max="268" width="7.125" style="292" customWidth="1"/>
    <col min="269" max="269" width="6.75" style="292" customWidth="1"/>
    <col min="270" max="512" width="9" style="292" customWidth="1"/>
    <col min="513" max="513" width="7" style="292" customWidth="1"/>
    <col min="514" max="514" width="7.5" style="292" customWidth="1"/>
    <col min="515" max="515" width="6.75" style="292" customWidth="1"/>
    <col min="516" max="516" width="6.875" style="292" customWidth="1"/>
    <col min="517" max="517" width="7" style="292" customWidth="1"/>
    <col min="518" max="518" width="7.5" style="292" customWidth="1"/>
    <col min="519" max="519" width="6.625" style="292" customWidth="1"/>
    <col min="520" max="524" width="7.125" style="292" customWidth="1"/>
    <col min="525" max="525" width="6.75" style="292" customWidth="1"/>
    <col min="526" max="768" width="9" style="292" customWidth="1"/>
    <col min="769" max="769" width="7" style="292" customWidth="1"/>
    <col min="770" max="770" width="7.5" style="292" customWidth="1"/>
    <col min="771" max="771" width="6.75" style="292" customWidth="1"/>
    <col min="772" max="772" width="6.875" style="292" customWidth="1"/>
    <col min="773" max="773" width="7" style="292" customWidth="1"/>
    <col min="774" max="774" width="7.5" style="292" customWidth="1"/>
    <col min="775" max="775" width="6.625" style="292" customWidth="1"/>
    <col min="776" max="780" width="7.125" style="292" customWidth="1"/>
    <col min="781" max="781" width="6.75" style="292" customWidth="1"/>
    <col min="782" max="1024" width="9" style="292" customWidth="1"/>
    <col min="1025" max="1025" width="7" style="292" customWidth="1"/>
    <col min="1026" max="1026" width="7.5" style="292" customWidth="1"/>
    <col min="1027" max="1027" width="6.75" style="292" customWidth="1"/>
    <col min="1028" max="1028" width="6.875" style="292" customWidth="1"/>
    <col min="1029" max="1029" width="7" style="292" customWidth="1"/>
    <col min="1030" max="1030" width="7.5" style="292" customWidth="1"/>
    <col min="1031" max="1031" width="6.625" style="292" customWidth="1"/>
    <col min="1032" max="1036" width="7.125" style="292" customWidth="1"/>
    <col min="1037" max="1037" width="6.75" style="292" customWidth="1"/>
    <col min="1038" max="1280" width="9" style="292" customWidth="1"/>
    <col min="1281" max="1281" width="7" style="292" customWidth="1"/>
    <col min="1282" max="1282" width="7.5" style="292" customWidth="1"/>
    <col min="1283" max="1283" width="6.75" style="292" customWidth="1"/>
    <col min="1284" max="1284" width="6.875" style="292" customWidth="1"/>
    <col min="1285" max="1285" width="7" style="292" customWidth="1"/>
    <col min="1286" max="1286" width="7.5" style="292" customWidth="1"/>
    <col min="1287" max="1287" width="6.625" style="292" customWidth="1"/>
    <col min="1288" max="1292" width="7.125" style="292" customWidth="1"/>
    <col min="1293" max="1293" width="6.75" style="292" customWidth="1"/>
    <col min="1294" max="1536" width="9" style="292" customWidth="1"/>
    <col min="1537" max="1537" width="7" style="292" customWidth="1"/>
    <col min="1538" max="1538" width="7.5" style="292" customWidth="1"/>
    <col min="1539" max="1539" width="6.75" style="292" customWidth="1"/>
    <col min="1540" max="1540" width="6.875" style="292" customWidth="1"/>
    <col min="1541" max="1541" width="7" style="292" customWidth="1"/>
    <col min="1542" max="1542" width="7.5" style="292" customWidth="1"/>
    <col min="1543" max="1543" width="6.625" style="292" customWidth="1"/>
    <col min="1544" max="1548" width="7.125" style="292" customWidth="1"/>
    <col min="1549" max="1549" width="6.75" style="292" customWidth="1"/>
    <col min="1550" max="1792" width="9" style="292" customWidth="1"/>
    <col min="1793" max="1793" width="7" style="292" customWidth="1"/>
    <col min="1794" max="1794" width="7.5" style="292" customWidth="1"/>
    <col min="1795" max="1795" width="6.75" style="292" customWidth="1"/>
    <col min="1796" max="1796" width="6.875" style="292" customWidth="1"/>
    <col min="1797" max="1797" width="7" style="292" customWidth="1"/>
    <col min="1798" max="1798" width="7.5" style="292" customWidth="1"/>
    <col min="1799" max="1799" width="6.625" style="292" customWidth="1"/>
    <col min="1800" max="1804" width="7.125" style="292" customWidth="1"/>
    <col min="1805" max="1805" width="6.75" style="292" customWidth="1"/>
    <col min="1806" max="2048" width="9" style="292" customWidth="1"/>
    <col min="2049" max="2049" width="7" style="292" customWidth="1"/>
    <col min="2050" max="2050" width="7.5" style="292" customWidth="1"/>
    <col min="2051" max="2051" width="6.75" style="292" customWidth="1"/>
    <col min="2052" max="2052" width="6.875" style="292" customWidth="1"/>
    <col min="2053" max="2053" width="7" style="292" customWidth="1"/>
    <col min="2054" max="2054" width="7.5" style="292" customWidth="1"/>
    <col min="2055" max="2055" width="6.625" style="292" customWidth="1"/>
    <col min="2056" max="2060" width="7.125" style="292" customWidth="1"/>
    <col min="2061" max="2061" width="6.75" style="292" customWidth="1"/>
    <col min="2062" max="2304" width="9" style="292" customWidth="1"/>
    <col min="2305" max="2305" width="7" style="292" customWidth="1"/>
    <col min="2306" max="2306" width="7.5" style="292" customWidth="1"/>
    <col min="2307" max="2307" width="6.75" style="292" customWidth="1"/>
    <col min="2308" max="2308" width="6.875" style="292" customWidth="1"/>
    <col min="2309" max="2309" width="7" style="292" customWidth="1"/>
    <col min="2310" max="2310" width="7.5" style="292" customWidth="1"/>
    <col min="2311" max="2311" width="6.625" style="292" customWidth="1"/>
    <col min="2312" max="2316" width="7.125" style="292" customWidth="1"/>
    <col min="2317" max="2317" width="6.75" style="292" customWidth="1"/>
    <col min="2318" max="2560" width="9" style="292" customWidth="1"/>
    <col min="2561" max="2561" width="7" style="292" customWidth="1"/>
    <col min="2562" max="2562" width="7.5" style="292" customWidth="1"/>
    <col min="2563" max="2563" width="6.75" style="292" customWidth="1"/>
    <col min="2564" max="2564" width="6.875" style="292" customWidth="1"/>
    <col min="2565" max="2565" width="7" style="292" customWidth="1"/>
    <col min="2566" max="2566" width="7.5" style="292" customWidth="1"/>
    <col min="2567" max="2567" width="6.625" style="292" customWidth="1"/>
    <col min="2568" max="2572" width="7.125" style="292" customWidth="1"/>
    <col min="2573" max="2573" width="6.75" style="292" customWidth="1"/>
    <col min="2574" max="2816" width="9" style="292" customWidth="1"/>
    <col min="2817" max="2817" width="7" style="292" customWidth="1"/>
    <col min="2818" max="2818" width="7.5" style="292" customWidth="1"/>
    <col min="2819" max="2819" width="6.75" style="292" customWidth="1"/>
    <col min="2820" max="2820" width="6.875" style="292" customWidth="1"/>
    <col min="2821" max="2821" width="7" style="292" customWidth="1"/>
    <col min="2822" max="2822" width="7.5" style="292" customWidth="1"/>
    <col min="2823" max="2823" width="6.625" style="292" customWidth="1"/>
    <col min="2824" max="2828" width="7.125" style="292" customWidth="1"/>
    <col min="2829" max="2829" width="6.75" style="292" customWidth="1"/>
    <col min="2830" max="3072" width="9" style="292" customWidth="1"/>
    <col min="3073" max="3073" width="7" style="292" customWidth="1"/>
    <col min="3074" max="3074" width="7.5" style="292" customWidth="1"/>
    <col min="3075" max="3075" width="6.75" style="292" customWidth="1"/>
    <col min="3076" max="3076" width="6.875" style="292" customWidth="1"/>
    <col min="3077" max="3077" width="7" style="292" customWidth="1"/>
    <col min="3078" max="3078" width="7.5" style="292" customWidth="1"/>
    <col min="3079" max="3079" width="6.625" style="292" customWidth="1"/>
    <col min="3080" max="3084" width="7.125" style="292" customWidth="1"/>
    <col min="3085" max="3085" width="6.75" style="292" customWidth="1"/>
    <col min="3086" max="3328" width="9" style="292" customWidth="1"/>
    <col min="3329" max="3329" width="7" style="292" customWidth="1"/>
    <col min="3330" max="3330" width="7.5" style="292" customWidth="1"/>
    <col min="3331" max="3331" width="6.75" style="292" customWidth="1"/>
    <col min="3332" max="3332" width="6.875" style="292" customWidth="1"/>
    <col min="3333" max="3333" width="7" style="292" customWidth="1"/>
    <col min="3334" max="3334" width="7.5" style="292" customWidth="1"/>
    <col min="3335" max="3335" width="6.625" style="292" customWidth="1"/>
    <col min="3336" max="3340" width="7.125" style="292" customWidth="1"/>
    <col min="3341" max="3341" width="6.75" style="292" customWidth="1"/>
    <col min="3342" max="3584" width="9" style="292" customWidth="1"/>
    <col min="3585" max="3585" width="7" style="292" customWidth="1"/>
    <col min="3586" max="3586" width="7.5" style="292" customWidth="1"/>
    <col min="3587" max="3587" width="6.75" style="292" customWidth="1"/>
    <col min="3588" max="3588" width="6.875" style="292" customWidth="1"/>
    <col min="3589" max="3589" width="7" style="292" customWidth="1"/>
    <col min="3590" max="3590" width="7.5" style="292" customWidth="1"/>
    <col min="3591" max="3591" width="6.625" style="292" customWidth="1"/>
    <col min="3592" max="3596" width="7.125" style="292" customWidth="1"/>
    <col min="3597" max="3597" width="6.75" style="292" customWidth="1"/>
    <col min="3598" max="3840" width="9" style="292" customWidth="1"/>
    <col min="3841" max="3841" width="7" style="292" customWidth="1"/>
    <col min="3842" max="3842" width="7.5" style="292" customWidth="1"/>
    <col min="3843" max="3843" width="6.75" style="292" customWidth="1"/>
    <col min="3844" max="3844" width="6.875" style="292" customWidth="1"/>
    <col min="3845" max="3845" width="7" style="292" customWidth="1"/>
    <col min="3846" max="3846" width="7.5" style="292" customWidth="1"/>
    <col min="3847" max="3847" width="6.625" style="292" customWidth="1"/>
    <col min="3848" max="3852" width="7.125" style="292" customWidth="1"/>
    <col min="3853" max="3853" width="6.75" style="292" customWidth="1"/>
    <col min="3854" max="4096" width="9" style="292" customWidth="1"/>
    <col min="4097" max="4097" width="7" style="292" customWidth="1"/>
    <col min="4098" max="4098" width="7.5" style="292" customWidth="1"/>
    <col min="4099" max="4099" width="6.75" style="292" customWidth="1"/>
    <col min="4100" max="4100" width="6.875" style="292" customWidth="1"/>
    <col min="4101" max="4101" width="7" style="292" customWidth="1"/>
    <col min="4102" max="4102" width="7.5" style="292" customWidth="1"/>
    <col min="4103" max="4103" width="6.625" style="292" customWidth="1"/>
    <col min="4104" max="4108" width="7.125" style="292" customWidth="1"/>
    <col min="4109" max="4109" width="6.75" style="292" customWidth="1"/>
    <col min="4110" max="4352" width="9" style="292" customWidth="1"/>
    <col min="4353" max="4353" width="7" style="292" customWidth="1"/>
    <col min="4354" max="4354" width="7.5" style="292" customWidth="1"/>
    <col min="4355" max="4355" width="6.75" style="292" customWidth="1"/>
    <col min="4356" max="4356" width="6.875" style="292" customWidth="1"/>
    <col min="4357" max="4357" width="7" style="292" customWidth="1"/>
    <col min="4358" max="4358" width="7.5" style="292" customWidth="1"/>
    <col min="4359" max="4359" width="6.625" style="292" customWidth="1"/>
    <col min="4360" max="4364" width="7.125" style="292" customWidth="1"/>
    <col min="4365" max="4365" width="6.75" style="292" customWidth="1"/>
    <col min="4366" max="4608" width="9" style="292" customWidth="1"/>
    <col min="4609" max="4609" width="7" style="292" customWidth="1"/>
    <col min="4610" max="4610" width="7.5" style="292" customWidth="1"/>
    <col min="4611" max="4611" width="6.75" style="292" customWidth="1"/>
    <col min="4612" max="4612" width="6.875" style="292" customWidth="1"/>
    <col min="4613" max="4613" width="7" style="292" customWidth="1"/>
    <col min="4614" max="4614" width="7.5" style="292" customWidth="1"/>
    <col min="4615" max="4615" width="6.625" style="292" customWidth="1"/>
    <col min="4616" max="4620" width="7.125" style="292" customWidth="1"/>
    <col min="4621" max="4621" width="6.75" style="292" customWidth="1"/>
    <col min="4622" max="4864" width="9" style="292" customWidth="1"/>
    <col min="4865" max="4865" width="7" style="292" customWidth="1"/>
    <col min="4866" max="4866" width="7.5" style="292" customWidth="1"/>
    <col min="4867" max="4867" width="6.75" style="292" customWidth="1"/>
    <col min="4868" max="4868" width="6.875" style="292" customWidth="1"/>
    <col min="4869" max="4869" width="7" style="292" customWidth="1"/>
    <col min="4870" max="4870" width="7.5" style="292" customWidth="1"/>
    <col min="4871" max="4871" width="6.625" style="292" customWidth="1"/>
    <col min="4872" max="4876" width="7.125" style="292" customWidth="1"/>
    <col min="4877" max="4877" width="6.75" style="292" customWidth="1"/>
    <col min="4878" max="5120" width="9" style="292" customWidth="1"/>
    <col min="5121" max="5121" width="7" style="292" customWidth="1"/>
    <col min="5122" max="5122" width="7.5" style="292" customWidth="1"/>
    <col min="5123" max="5123" width="6.75" style="292" customWidth="1"/>
    <col min="5124" max="5124" width="6.875" style="292" customWidth="1"/>
    <col min="5125" max="5125" width="7" style="292" customWidth="1"/>
    <col min="5126" max="5126" width="7.5" style="292" customWidth="1"/>
    <col min="5127" max="5127" width="6.625" style="292" customWidth="1"/>
    <col min="5128" max="5132" width="7.125" style="292" customWidth="1"/>
    <col min="5133" max="5133" width="6.75" style="292" customWidth="1"/>
    <col min="5134" max="5376" width="9" style="292" customWidth="1"/>
    <col min="5377" max="5377" width="7" style="292" customWidth="1"/>
    <col min="5378" max="5378" width="7.5" style="292" customWidth="1"/>
    <col min="5379" max="5379" width="6.75" style="292" customWidth="1"/>
    <col min="5380" max="5380" width="6.875" style="292" customWidth="1"/>
    <col min="5381" max="5381" width="7" style="292" customWidth="1"/>
    <col min="5382" max="5382" width="7.5" style="292" customWidth="1"/>
    <col min="5383" max="5383" width="6.625" style="292" customWidth="1"/>
    <col min="5384" max="5388" width="7.125" style="292" customWidth="1"/>
    <col min="5389" max="5389" width="6.75" style="292" customWidth="1"/>
    <col min="5390" max="5632" width="9" style="292" customWidth="1"/>
    <col min="5633" max="5633" width="7" style="292" customWidth="1"/>
    <col min="5634" max="5634" width="7.5" style="292" customWidth="1"/>
    <col min="5635" max="5635" width="6.75" style="292" customWidth="1"/>
    <col min="5636" max="5636" width="6.875" style="292" customWidth="1"/>
    <col min="5637" max="5637" width="7" style="292" customWidth="1"/>
    <col min="5638" max="5638" width="7.5" style="292" customWidth="1"/>
    <col min="5639" max="5639" width="6.625" style="292" customWidth="1"/>
    <col min="5640" max="5644" width="7.125" style="292" customWidth="1"/>
    <col min="5645" max="5645" width="6.75" style="292" customWidth="1"/>
    <col min="5646" max="5888" width="9" style="292" customWidth="1"/>
    <col min="5889" max="5889" width="7" style="292" customWidth="1"/>
    <col min="5890" max="5890" width="7.5" style="292" customWidth="1"/>
    <col min="5891" max="5891" width="6.75" style="292" customWidth="1"/>
    <col min="5892" max="5892" width="6.875" style="292" customWidth="1"/>
    <col min="5893" max="5893" width="7" style="292" customWidth="1"/>
    <col min="5894" max="5894" width="7.5" style="292" customWidth="1"/>
    <col min="5895" max="5895" width="6.625" style="292" customWidth="1"/>
    <col min="5896" max="5900" width="7.125" style="292" customWidth="1"/>
    <col min="5901" max="5901" width="6.75" style="292" customWidth="1"/>
    <col min="5902" max="6144" width="9" style="292" customWidth="1"/>
    <col min="6145" max="6145" width="7" style="292" customWidth="1"/>
    <col min="6146" max="6146" width="7.5" style="292" customWidth="1"/>
    <col min="6147" max="6147" width="6.75" style="292" customWidth="1"/>
    <col min="6148" max="6148" width="6.875" style="292" customWidth="1"/>
    <col min="6149" max="6149" width="7" style="292" customWidth="1"/>
    <col min="6150" max="6150" width="7.5" style="292" customWidth="1"/>
    <col min="6151" max="6151" width="6.625" style="292" customWidth="1"/>
    <col min="6152" max="6156" width="7.125" style="292" customWidth="1"/>
    <col min="6157" max="6157" width="6.75" style="292" customWidth="1"/>
    <col min="6158" max="6400" width="9" style="292" customWidth="1"/>
    <col min="6401" max="6401" width="7" style="292" customWidth="1"/>
    <col min="6402" max="6402" width="7.5" style="292" customWidth="1"/>
    <col min="6403" max="6403" width="6.75" style="292" customWidth="1"/>
    <col min="6404" max="6404" width="6.875" style="292" customWidth="1"/>
    <col min="6405" max="6405" width="7" style="292" customWidth="1"/>
    <col min="6406" max="6406" width="7.5" style="292" customWidth="1"/>
    <col min="6407" max="6407" width="6.625" style="292" customWidth="1"/>
    <col min="6408" max="6412" width="7.125" style="292" customWidth="1"/>
    <col min="6413" max="6413" width="6.75" style="292" customWidth="1"/>
    <col min="6414" max="6656" width="9" style="292" customWidth="1"/>
    <col min="6657" max="6657" width="7" style="292" customWidth="1"/>
    <col min="6658" max="6658" width="7.5" style="292" customWidth="1"/>
    <col min="6659" max="6659" width="6.75" style="292" customWidth="1"/>
    <col min="6660" max="6660" width="6.875" style="292" customWidth="1"/>
    <col min="6661" max="6661" width="7" style="292" customWidth="1"/>
    <col min="6662" max="6662" width="7.5" style="292" customWidth="1"/>
    <col min="6663" max="6663" width="6.625" style="292" customWidth="1"/>
    <col min="6664" max="6668" width="7.125" style="292" customWidth="1"/>
    <col min="6669" max="6669" width="6.75" style="292" customWidth="1"/>
    <col min="6670" max="6912" width="9" style="292" customWidth="1"/>
    <col min="6913" max="6913" width="7" style="292" customWidth="1"/>
    <col min="6914" max="6914" width="7.5" style="292" customWidth="1"/>
    <col min="6915" max="6915" width="6.75" style="292" customWidth="1"/>
    <col min="6916" max="6916" width="6.875" style="292" customWidth="1"/>
    <col min="6917" max="6917" width="7" style="292" customWidth="1"/>
    <col min="6918" max="6918" width="7.5" style="292" customWidth="1"/>
    <col min="6919" max="6919" width="6.625" style="292" customWidth="1"/>
    <col min="6920" max="6924" width="7.125" style="292" customWidth="1"/>
    <col min="6925" max="6925" width="6.75" style="292" customWidth="1"/>
    <col min="6926" max="7168" width="9" style="292" customWidth="1"/>
    <col min="7169" max="7169" width="7" style="292" customWidth="1"/>
    <col min="7170" max="7170" width="7.5" style="292" customWidth="1"/>
    <col min="7171" max="7171" width="6.75" style="292" customWidth="1"/>
    <col min="7172" max="7172" width="6.875" style="292" customWidth="1"/>
    <col min="7173" max="7173" width="7" style="292" customWidth="1"/>
    <col min="7174" max="7174" width="7.5" style="292" customWidth="1"/>
    <col min="7175" max="7175" width="6.625" style="292" customWidth="1"/>
    <col min="7176" max="7180" width="7.125" style="292" customWidth="1"/>
    <col min="7181" max="7181" width="6.75" style="292" customWidth="1"/>
    <col min="7182" max="7424" width="9" style="292" customWidth="1"/>
    <col min="7425" max="7425" width="7" style="292" customWidth="1"/>
    <col min="7426" max="7426" width="7.5" style="292" customWidth="1"/>
    <col min="7427" max="7427" width="6.75" style="292" customWidth="1"/>
    <col min="7428" max="7428" width="6.875" style="292" customWidth="1"/>
    <col min="7429" max="7429" width="7" style="292" customWidth="1"/>
    <col min="7430" max="7430" width="7.5" style="292" customWidth="1"/>
    <col min="7431" max="7431" width="6.625" style="292" customWidth="1"/>
    <col min="7432" max="7436" width="7.125" style="292" customWidth="1"/>
    <col min="7437" max="7437" width="6.75" style="292" customWidth="1"/>
    <col min="7438" max="7680" width="9" style="292" customWidth="1"/>
    <col min="7681" max="7681" width="7" style="292" customWidth="1"/>
    <col min="7682" max="7682" width="7.5" style="292" customWidth="1"/>
    <col min="7683" max="7683" width="6.75" style="292" customWidth="1"/>
    <col min="7684" max="7684" width="6.875" style="292" customWidth="1"/>
    <col min="7685" max="7685" width="7" style="292" customWidth="1"/>
    <col min="7686" max="7686" width="7.5" style="292" customWidth="1"/>
    <col min="7687" max="7687" width="6.625" style="292" customWidth="1"/>
    <col min="7688" max="7692" width="7.125" style="292" customWidth="1"/>
    <col min="7693" max="7693" width="6.75" style="292" customWidth="1"/>
    <col min="7694" max="7936" width="9" style="292" customWidth="1"/>
    <col min="7937" max="7937" width="7" style="292" customWidth="1"/>
    <col min="7938" max="7938" width="7.5" style="292" customWidth="1"/>
    <col min="7939" max="7939" width="6.75" style="292" customWidth="1"/>
    <col min="7940" max="7940" width="6.875" style="292" customWidth="1"/>
    <col min="7941" max="7941" width="7" style="292" customWidth="1"/>
    <col min="7942" max="7942" width="7.5" style="292" customWidth="1"/>
    <col min="7943" max="7943" width="6.625" style="292" customWidth="1"/>
    <col min="7944" max="7948" width="7.125" style="292" customWidth="1"/>
    <col min="7949" max="7949" width="6.75" style="292" customWidth="1"/>
    <col min="7950" max="8192" width="9" style="292" customWidth="1"/>
    <col min="8193" max="8193" width="7" style="292" customWidth="1"/>
    <col min="8194" max="8194" width="7.5" style="292" customWidth="1"/>
    <col min="8195" max="8195" width="6.75" style="292" customWidth="1"/>
    <col min="8196" max="8196" width="6.875" style="292" customWidth="1"/>
    <col min="8197" max="8197" width="7" style="292" customWidth="1"/>
    <col min="8198" max="8198" width="7.5" style="292" customWidth="1"/>
    <col min="8199" max="8199" width="6.625" style="292" customWidth="1"/>
    <col min="8200" max="8204" width="7.125" style="292" customWidth="1"/>
    <col min="8205" max="8205" width="6.75" style="292" customWidth="1"/>
    <col min="8206" max="8448" width="9" style="292" customWidth="1"/>
    <col min="8449" max="8449" width="7" style="292" customWidth="1"/>
    <col min="8450" max="8450" width="7.5" style="292" customWidth="1"/>
    <col min="8451" max="8451" width="6.75" style="292" customWidth="1"/>
    <col min="8452" max="8452" width="6.875" style="292" customWidth="1"/>
    <col min="8453" max="8453" width="7" style="292" customWidth="1"/>
    <col min="8454" max="8454" width="7.5" style="292" customWidth="1"/>
    <col min="8455" max="8455" width="6.625" style="292" customWidth="1"/>
    <col min="8456" max="8460" width="7.125" style="292" customWidth="1"/>
    <col min="8461" max="8461" width="6.75" style="292" customWidth="1"/>
    <col min="8462" max="8704" width="9" style="292" customWidth="1"/>
    <col min="8705" max="8705" width="7" style="292" customWidth="1"/>
    <col min="8706" max="8706" width="7.5" style="292" customWidth="1"/>
    <col min="8707" max="8707" width="6.75" style="292" customWidth="1"/>
    <col min="8708" max="8708" width="6.875" style="292" customWidth="1"/>
    <col min="8709" max="8709" width="7" style="292" customWidth="1"/>
    <col min="8710" max="8710" width="7.5" style="292" customWidth="1"/>
    <col min="8711" max="8711" width="6.625" style="292" customWidth="1"/>
    <col min="8712" max="8716" width="7.125" style="292" customWidth="1"/>
    <col min="8717" max="8717" width="6.75" style="292" customWidth="1"/>
    <col min="8718" max="8960" width="9" style="292" customWidth="1"/>
    <col min="8961" max="8961" width="7" style="292" customWidth="1"/>
    <col min="8962" max="8962" width="7.5" style="292" customWidth="1"/>
    <col min="8963" max="8963" width="6.75" style="292" customWidth="1"/>
    <col min="8964" max="8964" width="6.875" style="292" customWidth="1"/>
    <col min="8965" max="8965" width="7" style="292" customWidth="1"/>
    <col min="8966" max="8966" width="7.5" style="292" customWidth="1"/>
    <col min="8967" max="8967" width="6.625" style="292" customWidth="1"/>
    <col min="8968" max="8972" width="7.125" style="292" customWidth="1"/>
    <col min="8973" max="8973" width="6.75" style="292" customWidth="1"/>
    <col min="8974" max="9216" width="9" style="292" customWidth="1"/>
    <col min="9217" max="9217" width="7" style="292" customWidth="1"/>
    <col min="9218" max="9218" width="7.5" style="292" customWidth="1"/>
    <col min="9219" max="9219" width="6.75" style="292" customWidth="1"/>
    <col min="9220" max="9220" width="6.875" style="292" customWidth="1"/>
    <col min="9221" max="9221" width="7" style="292" customWidth="1"/>
    <col min="9222" max="9222" width="7.5" style="292" customWidth="1"/>
    <col min="9223" max="9223" width="6.625" style="292" customWidth="1"/>
    <col min="9224" max="9228" width="7.125" style="292" customWidth="1"/>
    <col min="9229" max="9229" width="6.75" style="292" customWidth="1"/>
    <col min="9230" max="9472" width="9" style="292" customWidth="1"/>
    <col min="9473" max="9473" width="7" style="292" customWidth="1"/>
    <col min="9474" max="9474" width="7.5" style="292" customWidth="1"/>
    <col min="9475" max="9475" width="6.75" style="292" customWidth="1"/>
    <col min="9476" max="9476" width="6.875" style="292" customWidth="1"/>
    <col min="9477" max="9477" width="7" style="292" customWidth="1"/>
    <col min="9478" max="9478" width="7.5" style="292" customWidth="1"/>
    <col min="9479" max="9479" width="6.625" style="292" customWidth="1"/>
    <col min="9480" max="9484" width="7.125" style="292" customWidth="1"/>
    <col min="9485" max="9485" width="6.75" style="292" customWidth="1"/>
    <col min="9486" max="9728" width="9" style="292" customWidth="1"/>
    <col min="9729" max="9729" width="7" style="292" customWidth="1"/>
    <col min="9730" max="9730" width="7.5" style="292" customWidth="1"/>
    <col min="9731" max="9731" width="6.75" style="292" customWidth="1"/>
    <col min="9732" max="9732" width="6.875" style="292" customWidth="1"/>
    <col min="9733" max="9733" width="7" style="292" customWidth="1"/>
    <col min="9734" max="9734" width="7.5" style="292" customWidth="1"/>
    <col min="9735" max="9735" width="6.625" style="292" customWidth="1"/>
    <col min="9736" max="9740" width="7.125" style="292" customWidth="1"/>
    <col min="9741" max="9741" width="6.75" style="292" customWidth="1"/>
    <col min="9742" max="9984" width="9" style="292" customWidth="1"/>
    <col min="9985" max="9985" width="7" style="292" customWidth="1"/>
    <col min="9986" max="9986" width="7.5" style="292" customWidth="1"/>
    <col min="9987" max="9987" width="6.75" style="292" customWidth="1"/>
    <col min="9988" max="9988" width="6.875" style="292" customWidth="1"/>
    <col min="9989" max="9989" width="7" style="292" customWidth="1"/>
    <col min="9990" max="9990" width="7.5" style="292" customWidth="1"/>
    <col min="9991" max="9991" width="6.625" style="292" customWidth="1"/>
    <col min="9992" max="9996" width="7.125" style="292" customWidth="1"/>
    <col min="9997" max="9997" width="6.75" style="292" customWidth="1"/>
    <col min="9998" max="10240" width="9" style="292" customWidth="1"/>
    <col min="10241" max="10241" width="7" style="292" customWidth="1"/>
    <col min="10242" max="10242" width="7.5" style="292" customWidth="1"/>
    <col min="10243" max="10243" width="6.75" style="292" customWidth="1"/>
    <col min="10244" max="10244" width="6.875" style="292" customWidth="1"/>
    <col min="10245" max="10245" width="7" style="292" customWidth="1"/>
    <col min="10246" max="10246" width="7.5" style="292" customWidth="1"/>
    <col min="10247" max="10247" width="6.625" style="292" customWidth="1"/>
    <col min="10248" max="10252" width="7.125" style="292" customWidth="1"/>
    <col min="10253" max="10253" width="6.75" style="292" customWidth="1"/>
    <col min="10254" max="10496" width="9" style="292" customWidth="1"/>
    <col min="10497" max="10497" width="7" style="292" customWidth="1"/>
    <col min="10498" max="10498" width="7.5" style="292" customWidth="1"/>
    <col min="10499" max="10499" width="6.75" style="292" customWidth="1"/>
    <col min="10500" max="10500" width="6.875" style="292" customWidth="1"/>
    <col min="10501" max="10501" width="7" style="292" customWidth="1"/>
    <col min="10502" max="10502" width="7.5" style="292" customWidth="1"/>
    <col min="10503" max="10503" width="6.625" style="292" customWidth="1"/>
    <col min="10504" max="10508" width="7.125" style="292" customWidth="1"/>
    <col min="10509" max="10509" width="6.75" style="292" customWidth="1"/>
    <col min="10510" max="10752" width="9" style="292" customWidth="1"/>
    <col min="10753" max="10753" width="7" style="292" customWidth="1"/>
    <col min="10754" max="10754" width="7.5" style="292" customWidth="1"/>
    <col min="10755" max="10755" width="6.75" style="292" customWidth="1"/>
    <col min="10756" max="10756" width="6.875" style="292" customWidth="1"/>
    <col min="10757" max="10757" width="7" style="292" customWidth="1"/>
    <col min="10758" max="10758" width="7.5" style="292" customWidth="1"/>
    <col min="10759" max="10759" width="6.625" style="292" customWidth="1"/>
    <col min="10760" max="10764" width="7.125" style="292" customWidth="1"/>
    <col min="10765" max="10765" width="6.75" style="292" customWidth="1"/>
    <col min="10766" max="11008" width="9" style="292" customWidth="1"/>
    <col min="11009" max="11009" width="7" style="292" customWidth="1"/>
    <col min="11010" max="11010" width="7.5" style="292" customWidth="1"/>
    <col min="11011" max="11011" width="6.75" style="292" customWidth="1"/>
    <col min="11012" max="11012" width="6.875" style="292" customWidth="1"/>
    <col min="11013" max="11013" width="7" style="292" customWidth="1"/>
    <col min="11014" max="11014" width="7.5" style="292" customWidth="1"/>
    <col min="11015" max="11015" width="6.625" style="292" customWidth="1"/>
    <col min="11016" max="11020" width="7.125" style="292" customWidth="1"/>
    <col min="11021" max="11021" width="6.75" style="292" customWidth="1"/>
    <col min="11022" max="11264" width="9" style="292" customWidth="1"/>
    <col min="11265" max="11265" width="7" style="292" customWidth="1"/>
    <col min="11266" max="11266" width="7.5" style="292" customWidth="1"/>
    <col min="11267" max="11267" width="6.75" style="292" customWidth="1"/>
    <col min="11268" max="11268" width="6.875" style="292" customWidth="1"/>
    <col min="11269" max="11269" width="7" style="292" customWidth="1"/>
    <col min="11270" max="11270" width="7.5" style="292" customWidth="1"/>
    <col min="11271" max="11271" width="6.625" style="292" customWidth="1"/>
    <col min="11272" max="11276" width="7.125" style="292" customWidth="1"/>
    <col min="11277" max="11277" width="6.75" style="292" customWidth="1"/>
    <col min="11278" max="11520" width="9" style="292" customWidth="1"/>
    <col min="11521" max="11521" width="7" style="292" customWidth="1"/>
    <col min="11522" max="11522" width="7.5" style="292" customWidth="1"/>
    <col min="11523" max="11523" width="6.75" style="292" customWidth="1"/>
    <col min="11524" max="11524" width="6.875" style="292" customWidth="1"/>
    <col min="11525" max="11525" width="7" style="292" customWidth="1"/>
    <col min="11526" max="11526" width="7.5" style="292" customWidth="1"/>
    <col min="11527" max="11527" width="6.625" style="292" customWidth="1"/>
    <col min="11528" max="11532" width="7.125" style="292" customWidth="1"/>
    <col min="11533" max="11533" width="6.75" style="292" customWidth="1"/>
    <col min="11534" max="11776" width="9" style="292" customWidth="1"/>
    <col min="11777" max="11777" width="7" style="292" customWidth="1"/>
    <col min="11778" max="11778" width="7.5" style="292" customWidth="1"/>
    <col min="11779" max="11779" width="6.75" style="292" customWidth="1"/>
    <col min="11780" max="11780" width="6.875" style="292" customWidth="1"/>
    <col min="11781" max="11781" width="7" style="292" customWidth="1"/>
    <col min="11782" max="11782" width="7.5" style="292" customWidth="1"/>
    <col min="11783" max="11783" width="6.625" style="292" customWidth="1"/>
    <col min="11784" max="11788" width="7.125" style="292" customWidth="1"/>
    <col min="11789" max="11789" width="6.75" style="292" customWidth="1"/>
    <col min="11790" max="12032" width="9" style="292" customWidth="1"/>
    <col min="12033" max="12033" width="7" style="292" customWidth="1"/>
    <col min="12034" max="12034" width="7.5" style="292" customWidth="1"/>
    <col min="12035" max="12035" width="6.75" style="292" customWidth="1"/>
    <col min="12036" max="12036" width="6.875" style="292" customWidth="1"/>
    <col min="12037" max="12037" width="7" style="292" customWidth="1"/>
    <col min="12038" max="12038" width="7.5" style="292" customWidth="1"/>
    <col min="12039" max="12039" width="6.625" style="292" customWidth="1"/>
    <col min="12040" max="12044" width="7.125" style="292" customWidth="1"/>
    <col min="12045" max="12045" width="6.75" style="292" customWidth="1"/>
    <col min="12046" max="12288" width="9" style="292" customWidth="1"/>
    <col min="12289" max="12289" width="7" style="292" customWidth="1"/>
    <col min="12290" max="12290" width="7.5" style="292" customWidth="1"/>
    <col min="12291" max="12291" width="6.75" style="292" customWidth="1"/>
    <col min="12292" max="12292" width="6.875" style="292" customWidth="1"/>
    <col min="12293" max="12293" width="7" style="292" customWidth="1"/>
    <col min="12294" max="12294" width="7.5" style="292" customWidth="1"/>
    <col min="12295" max="12295" width="6.625" style="292" customWidth="1"/>
    <col min="12296" max="12300" width="7.125" style="292" customWidth="1"/>
    <col min="12301" max="12301" width="6.75" style="292" customWidth="1"/>
    <col min="12302" max="12544" width="9" style="292" customWidth="1"/>
    <col min="12545" max="12545" width="7" style="292" customWidth="1"/>
    <col min="12546" max="12546" width="7.5" style="292" customWidth="1"/>
    <col min="12547" max="12547" width="6.75" style="292" customWidth="1"/>
    <col min="12548" max="12548" width="6.875" style="292" customWidth="1"/>
    <col min="12549" max="12549" width="7" style="292" customWidth="1"/>
    <col min="12550" max="12550" width="7.5" style="292" customWidth="1"/>
    <col min="12551" max="12551" width="6.625" style="292" customWidth="1"/>
    <col min="12552" max="12556" width="7.125" style="292" customWidth="1"/>
    <col min="12557" max="12557" width="6.75" style="292" customWidth="1"/>
    <col min="12558" max="12800" width="9" style="292" customWidth="1"/>
    <col min="12801" max="12801" width="7" style="292" customWidth="1"/>
    <col min="12802" max="12802" width="7.5" style="292" customWidth="1"/>
    <col min="12803" max="12803" width="6.75" style="292" customWidth="1"/>
    <col min="12804" max="12804" width="6.875" style="292" customWidth="1"/>
    <col min="12805" max="12805" width="7" style="292" customWidth="1"/>
    <col min="12806" max="12806" width="7.5" style="292" customWidth="1"/>
    <col min="12807" max="12807" width="6.625" style="292" customWidth="1"/>
    <col min="12808" max="12812" width="7.125" style="292" customWidth="1"/>
    <col min="12813" max="12813" width="6.75" style="292" customWidth="1"/>
    <col min="12814" max="13056" width="9" style="292" customWidth="1"/>
    <col min="13057" max="13057" width="7" style="292" customWidth="1"/>
    <col min="13058" max="13058" width="7.5" style="292" customWidth="1"/>
    <col min="13059" max="13059" width="6.75" style="292" customWidth="1"/>
    <col min="13060" max="13060" width="6.875" style="292" customWidth="1"/>
    <col min="13061" max="13061" width="7" style="292" customWidth="1"/>
    <col min="13062" max="13062" width="7.5" style="292" customWidth="1"/>
    <col min="13063" max="13063" width="6.625" style="292" customWidth="1"/>
    <col min="13064" max="13068" width="7.125" style="292" customWidth="1"/>
    <col min="13069" max="13069" width="6.75" style="292" customWidth="1"/>
    <col min="13070" max="13312" width="9" style="292" customWidth="1"/>
    <col min="13313" max="13313" width="7" style="292" customWidth="1"/>
    <col min="13314" max="13314" width="7.5" style="292" customWidth="1"/>
    <col min="13315" max="13315" width="6.75" style="292" customWidth="1"/>
    <col min="13316" max="13316" width="6.875" style="292" customWidth="1"/>
    <col min="13317" max="13317" width="7" style="292" customWidth="1"/>
    <col min="13318" max="13318" width="7.5" style="292" customWidth="1"/>
    <col min="13319" max="13319" width="6.625" style="292" customWidth="1"/>
    <col min="13320" max="13324" width="7.125" style="292" customWidth="1"/>
    <col min="13325" max="13325" width="6.75" style="292" customWidth="1"/>
    <col min="13326" max="13568" width="9" style="292" customWidth="1"/>
    <col min="13569" max="13569" width="7" style="292" customWidth="1"/>
    <col min="13570" max="13570" width="7.5" style="292" customWidth="1"/>
    <col min="13571" max="13571" width="6.75" style="292" customWidth="1"/>
    <col min="13572" max="13572" width="6.875" style="292" customWidth="1"/>
    <col min="13573" max="13573" width="7" style="292" customWidth="1"/>
    <col min="13574" max="13574" width="7.5" style="292" customWidth="1"/>
    <col min="13575" max="13575" width="6.625" style="292" customWidth="1"/>
    <col min="13576" max="13580" width="7.125" style="292" customWidth="1"/>
    <col min="13581" max="13581" width="6.75" style="292" customWidth="1"/>
    <col min="13582" max="13824" width="9" style="292" customWidth="1"/>
    <col min="13825" max="13825" width="7" style="292" customWidth="1"/>
    <col min="13826" max="13826" width="7.5" style="292" customWidth="1"/>
    <col min="13827" max="13827" width="6.75" style="292" customWidth="1"/>
    <col min="13828" max="13828" width="6.875" style="292" customWidth="1"/>
    <col min="13829" max="13829" width="7" style="292" customWidth="1"/>
    <col min="13830" max="13830" width="7.5" style="292" customWidth="1"/>
    <col min="13831" max="13831" width="6.625" style="292" customWidth="1"/>
    <col min="13832" max="13836" width="7.125" style="292" customWidth="1"/>
    <col min="13837" max="13837" width="6.75" style="292" customWidth="1"/>
    <col min="13838" max="14080" width="9" style="292" customWidth="1"/>
    <col min="14081" max="14081" width="7" style="292" customWidth="1"/>
    <col min="14082" max="14082" width="7.5" style="292" customWidth="1"/>
    <col min="14083" max="14083" width="6.75" style="292" customWidth="1"/>
    <col min="14084" max="14084" width="6.875" style="292" customWidth="1"/>
    <col min="14085" max="14085" width="7" style="292" customWidth="1"/>
    <col min="14086" max="14086" width="7.5" style="292" customWidth="1"/>
    <col min="14087" max="14087" width="6.625" style="292" customWidth="1"/>
    <col min="14088" max="14092" width="7.125" style="292" customWidth="1"/>
    <col min="14093" max="14093" width="6.75" style="292" customWidth="1"/>
    <col min="14094" max="14336" width="9" style="292" customWidth="1"/>
    <col min="14337" max="14337" width="7" style="292" customWidth="1"/>
    <col min="14338" max="14338" width="7.5" style="292" customWidth="1"/>
    <col min="14339" max="14339" width="6.75" style="292" customWidth="1"/>
    <col min="14340" max="14340" width="6.875" style="292" customWidth="1"/>
    <col min="14341" max="14341" width="7" style="292" customWidth="1"/>
    <col min="14342" max="14342" width="7.5" style="292" customWidth="1"/>
    <col min="14343" max="14343" width="6.625" style="292" customWidth="1"/>
    <col min="14344" max="14348" width="7.125" style="292" customWidth="1"/>
    <col min="14349" max="14349" width="6.75" style="292" customWidth="1"/>
    <col min="14350" max="14592" width="9" style="292" customWidth="1"/>
    <col min="14593" max="14593" width="7" style="292" customWidth="1"/>
    <col min="14594" max="14594" width="7.5" style="292" customWidth="1"/>
    <col min="14595" max="14595" width="6.75" style="292" customWidth="1"/>
    <col min="14596" max="14596" width="6.875" style="292" customWidth="1"/>
    <col min="14597" max="14597" width="7" style="292" customWidth="1"/>
    <col min="14598" max="14598" width="7.5" style="292" customWidth="1"/>
    <col min="14599" max="14599" width="6.625" style="292" customWidth="1"/>
    <col min="14600" max="14604" width="7.125" style="292" customWidth="1"/>
    <col min="14605" max="14605" width="6.75" style="292" customWidth="1"/>
    <col min="14606" max="14848" width="9" style="292" customWidth="1"/>
    <col min="14849" max="14849" width="7" style="292" customWidth="1"/>
    <col min="14850" max="14850" width="7.5" style="292" customWidth="1"/>
    <col min="14851" max="14851" width="6.75" style="292" customWidth="1"/>
    <col min="14852" max="14852" width="6.875" style="292" customWidth="1"/>
    <col min="14853" max="14853" width="7" style="292" customWidth="1"/>
    <col min="14854" max="14854" width="7.5" style="292" customWidth="1"/>
    <col min="14855" max="14855" width="6.625" style="292" customWidth="1"/>
    <col min="14856" max="14860" width="7.125" style="292" customWidth="1"/>
    <col min="14861" max="14861" width="6.75" style="292" customWidth="1"/>
    <col min="14862" max="15104" width="9" style="292" customWidth="1"/>
    <col min="15105" max="15105" width="7" style="292" customWidth="1"/>
    <col min="15106" max="15106" width="7.5" style="292" customWidth="1"/>
    <col min="15107" max="15107" width="6.75" style="292" customWidth="1"/>
    <col min="15108" max="15108" width="6.875" style="292" customWidth="1"/>
    <col min="15109" max="15109" width="7" style="292" customWidth="1"/>
    <col min="15110" max="15110" width="7.5" style="292" customWidth="1"/>
    <col min="15111" max="15111" width="6.625" style="292" customWidth="1"/>
    <col min="15112" max="15116" width="7.125" style="292" customWidth="1"/>
    <col min="15117" max="15117" width="6.75" style="292" customWidth="1"/>
    <col min="15118" max="15360" width="9" style="292" customWidth="1"/>
    <col min="15361" max="15361" width="7" style="292" customWidth="1"/>
    <col min="15362" max="15362" width="7.5" style="292" customWidth="1"/>
    <col min="15363" max="15363" width="6.75" style="292" customWidth="1"/>
    <col min="15364" max="15364" width="6.875" style="292" customWidth="1"/>
    <col min="15365" max="15365" width="7" style="292" customWidth="1"/>
    <col min="15366" max="15366" width="7.5" style="292" customWidth="1"/>
    <col min="15367" max="15367" width="6.625" style="292" customWidth="1"/>
    <col min="15368" max="15372" width="7.125" style="292" customWidth="1"/>
    <col min="15373" max="15373" width="6.75" style="292" customWidth="1"/>
    <col min="15374" max="15616" width="9" style="292" customWidth="1"/>
    <col min="15617" max="15617" width="7" style="292" customWidth="1"/>
    <col min="15618" max="15618" width="7.5" style="292" customWidth="1"/>
    <col min="15619" max="15619" width="6.75" style="292" customWidth="1"/>
    <col min="15620" max="15620" width="6.875" style="292" customWidth="1"/>
    <col min="15621" max="15621" width="7" style="292" customWidth="1"/>
    <col min="15622" max="15622" width="7.5" style="292" customWidth="1"/>
    <col min="15623" max="15623" width="6.625" style="292" customWidth="1"/>
    <col min="15624" max="15628" width="7.125" style="292" customWidth="1"/>
    <col min="15629" max="15629" width="6.75" style="292" customWidth="1"/>
    <col min="15630" max="15872" width="9" style="292" customWidth="1"/>
    <col min="15873" max="15873" width="7" style="292" customWidth="1"/>
    <col min="15874" max="15874" width="7.5" style="292" customWidth="1"/>
    <col min="15875" max="15875" width="6.75" style="292" customWidth="1"/>
    <col min="15876" max="15876" width="6.875" style="292" customWidth="1"/>
    <col min="15877" max="15877" width="7" style="292" customWidth="1"/>
    <col min="15878" max="15878" width="7.5" style="292" customWidth="1"/>
    <col min="15879" max="15879" width="6.625" style="292" customWidth="1"/>
    <col min="15880" max="15884" width="7.125" style="292" customWidth="1"/>
    <col min="15885" max="15885" width="6.75" style="292" customWidth="1"/>
    <col min="15886" max="16128" width="9" style="292" customWidth="1"/>
    <col min="16129" max="16129" width="7" style="292" customWidth="1"/>
    <col min="16130" max="16130" width="7.5" style="292" customWidth="1"/>
    <col min="16131" max="16131" width="6.75" style="292" customWidth="1"/>
    <col min="16132" max="16132" width="6.875" style="292" customWidth="1"/>
    <col min="16133" max="16133" width="7" style="292" customWidth="1"/>
    <col min="16134" max="16134" width="7.5" style="292" customWidth="1"/>
    <col min="16135" max="16135" width="6.625" style="292" customWidth="1"/>
    <col min="16136" max="16140" width="7.125" style="292" customWidth="1"/>
    <col min="16141" max="16141" width="6.75" style="292" customWidth="1"/>
    <col min="16142" max="16384" width="9" style="292" customWidth="1"/>
  </cols>
  <sheetData>
    <row r="1" ht="34.9" customHeight="1" spans="1:13" x14ac:dyDescent="0.25">
      <c r="A1" s="293" t="s">
        <v>24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</row>
    <row r="2" ht="18.75" customHeight="1" spans="1:13" x14ac:dyDescent="0.25">
      <c r="A2" s="294" t="s">
        <v>25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</row>
    <row r="3" ht="10.5" customHeight="1" x14ac:dyDescent="0.25"/>
    <row r="4" ht="30" customHeight="1" spans="1:13" x14ac:dyDescent="0.25">
      <c r="A4" s="295" t="s">
        <v>76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</row>
    <row r="5" ht="14.25" customHeight="1" x14ac:dyDescent="0.25"/>
    <row r="6" ht="13.5" customHeight="1" spans="1:13" s="296" customFormat="1" x14ac:dyDescent="0.25">
      <c r="A6" s="297" t="s">
        <v>77</v>
      </c>
      <c r="B6" s="297" t="str">
        <f>'Final Work'!모선이름</f>
        <v>YOKOHAMA TRADER</v>
      </c>
      <c r="C6" s="297"/>
      <c r="D6" s="297"/>
      <c r="E6" s="297"/>
      <c r="F6" s="298" t="s">
        <v>78</v>
      </c>
      <c r="G6" s="298"/>
      <c r="H6" s="299" t="e">
        <f>[0]!양하항차</f>
        <v>#REF!</v>
      </c>
      <c r="I6" s="299"/>
      <c r="J6" s="297" t="s">
        <v>79</v>
      </c>
      <c r="K6" s="298" t="e">
        <f>#REF!</f>
        <v>#REF!</v>
      </c>
      <c r="L6" s="298"/>
      <c r="M6" s="298"/>
    </row>
    <row r="7" ht="13.5" customHeight="1" s="296" customFormat="1" x14ac:dyDescent="0.25"/>
    <row r="8" ht="13.5" customHeight="1" spans="1:13" s="297" customFormat="1" x14ac:dyDescent="0.25">
      <c r="A8" s="297" t="s">
        <v>80</v>
      </c>
      <c r="C8" s="300"/>
      <c r="D8" s="300"/>
      <c r="E8" s="300"/>
      <c r="F8" s="297" t="s">
        <v>81</v>
      </c>
      <c r="J8" s="297" t="s">
        <v>82</v>
      </c>
      <c r="K8" s="298" t="s">
        <v>13</v>
      </c>
      <c r="L8" s="298" t="s">
        <v>14</v>
      </c>
      <c r="M8" s="297" t="s">
        <v>83</v>
      </c>
    </row>
    <row r="9" ht="13.5" customHeight="1" spans="1:3" s="297" customFormat="1" x14ac:dyDescent="0.25">
      <c r="A9" s="299" t="s">
        <v>84</v>
      </c>
      <c r="B9" s="299"/>
      <c r="C9" s="300"/>
    </row>
    <row r="10" ht="13.5" customHeight="1" spans="13:13" s="296" customFormat="1" x14ac:dyDescent="0.25">
      <c r="M10" s="301" t="s">
        <v>85</v>
      </c>
    </row>
    <row r="11" ht="13.5" customHeight="1" spans="1:13" x14ac:dyDescent="0.25">
      <c r="A11" s="302"/>
      <c r="B11" s="303"/>
      <c r="C11" s="303"/>
      <c r="D11" s="303"/>
      <c r="E11" s="303"/>
      <c r="F11" s="303"/>
      <c r="G11" s="303"/>
      <c r="H11" s="303"/>
      <c r="I11" s="303"/>
      <c r="J11" s="303"/>
      <c r="K11" s="303"/>
      <c r="L11" s="303"/>
      <c r="M11" s="304"/>
    </row>
    <row r="12" spans="1:13" x14ac:dyDescent="0.25">
      <c r="A12" s="305"/>
      <c r="M12" s="306"/>
    </row>
    <row r="13" spans="1:13" x14ac:dyDescent="0.25">
      <c r="A13" s="305"/>
      <c r="M13" s="306"/>
    </row>
    <row r="14" spans="1:13" x14ac:dyDescent="0.25">
      <c r="A14" s="305"/>
      <c r="M14" s="306"/>
    </row>
    <row r="15" spans="1:13" x14ac:dyDescent="0.25">
      <c r="A15" s="305"/>
      <c r="M15" s="306"/>
    </row>
    <row r="16" spans="1:13" x14ac:dyDescent="0.25">
      <c r="A16" s="305"/>
      <c r="M16" s="306"/>
    </row>
    <row r="17" spans="1:13" x14ac:dyDescent="0.25">
      <c r="A17" s="305"/>
      <c r="M17" s="306"/>
    </row>
    <row r="18" spans="1:13" x14ac:dyDescent="0.25">
      <c r="A18" s="305"/>
      <c r="M18" s="306"/>
    </row>
    <row r="19" spans="1:13" x14ac:dyDescent="0.25">
      <c r="A19" s="305"/>
      <c r="M19" s="306"/>
    </row>
    <row r="20" spans="1:13" x14ac:dyDescent="0.25">
      <c r="A20" s="305"/>
      <c r="M20" s="306"/>
    </row>
    <row r="21" spans="1:13" x14ac:dyDescent="0.25">
      <c r="A21" s="305"/>
      <c r="M21" s="306"/>
    </row>
    <row r="22" spans="1:13" x14ac:dyDescent="0.25">
      <c r="A22" s="305"/>
      <c r="M22" s="306"/>
    </row>
    <row r="23" spans="1:13" x14ac:dyDescent="0.25">
      <c r="A23" s="305"/>
      <c r="M23" s="306"/>
    </row>
    <row r="24" spans="1:13" x14ac:dyDescent="0.25">
      <c r="A24" s="305"/>
      <c r="M24" s="306"/>
    </row>
    <row r="25" ht="9.75" customHeight="1" spans="1:13" x14ac:dyDescent="0.25">
      <c r="A25" s="305"/>
      <c r="M25" s="306"/>
    </row>
    <row r="26" ht="9.75" customHeight="1" spans="1:13" x14ac:dyDescent="0.25">
      <c r="A26" s="305"/>
      <c r="M26" s="306"/>
    </row>
    <row r="27" ht="9.75" customHeight="1" spans="1:13" x14ac:dyDescent="0.25">
      <c r="A27" s="305"/>
      <c r="M27" s="306"/>
    </row>
    <row r="28" ht="9.75" customHeight="1" spans="1:13" x14ac:dyDescent="0.25">
      <c r="A28" s="305"/>
      <c r="M28" s="306"/>
    </row>
    <row r="29" ht="9.75" customHeight="1" spans="1:13" x14ac:dyDescent="0.25">
      <c r="A29" s="305"/>
      <c r="M29" s="306"/>
    </row>
    <row r="30" ht="9.75" customHeight="1" spans="1:13" x14ac:dyDescent="0.25">
      <c r="A30" s="305"/>
      <c r="M30" s="306"/>
    </row>
    <row r="31" ht="9.75" customHeight="1" spans="1:13" x14ac:dyDescent="0.25">
      <c r="A31" s="307"/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9"/>
    </row>
    <row r="32" ht="18" customHeight="1" x14ac:dyDescent="0.25"/>
    <row r="33" ht="12.6" customHeight="1" spans="1:12" x14ac:dyDescent="0.25">
      <c r="A33" s="310" t="s">
        <v>86</v>
      </c>
      <c r="B33" s="310"/>
      <c r="C33" s="310"/>
      <c r="D33" s="311"/>
      <c r="E33" s="311"/>
      <c r="F33" s="311"/>
      <c r="G33" s="311"/>
      <c r="H33" s="311"/>
      <c r="I33" s="311"/>
      <c r="J33" s="311"/>
      <c r="K33" s="311"/>
      <c r="L33" s="311"/>
    </row>
    <row r="34" ht="21.95" customHeight="1" spans="2:13" s="312" customFormat="1" x14ac:dyDescent="0.25">
      <c r="B34" s="313" t="s">
        <v>87</v>
      </c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</row>
    <row r="35" ht="21.95" customHeight="1" spans="2:13" s="312" customFormat="1" x14ac:dyDescent="0.25"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</row>
    <row r="36" ht="21.95" customHeight="1" spans="1:13" s="312" customFormat="1" x14ac:dyDescent="0.25">
      <c r="A36" s="314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</row>
    <row r="37" ht="21.95" customHeight="1" spans="1:13" s="312" customFormat="1" x14ac:dyDescent="0.25">
      <c r="A37" s="314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</row>
    <row r="38" ht="21.95" customHeight="1" spans="2:13" s="312" customFormat="1" x14ac:dyDescent="0.25"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</row>
    <row r="39" ht="21.95" customHeight="1" spans="2:13" s="312" customFormat="1" x14ac:dyDescent="0.25"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</row>
    <row r="40" ht="21.75" customHeight="1" spans="2:13" s="312" customFormat="1" x14ac:dyDescent="0.25"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</row>
    <row r="41" ht="18" customHeight="1" spans="1:1" s="316" customFormat="1" x14ac:dyDescent="0.25">
      <c r="A41" s="317" t="s">
        <v>88</v>
      </c>
    </row>
    <row r="42" ht="15.95" customHeight="1" spans="1:13" s="297" customFormat="1" x14ac:dyDescent="0.25">
      <c r="A42" s="318" t="s">
        <v>89</v>
      </c>
      <c r="B42" s="319" t="s">
        <v>90</v>
      </c>
      <c r="C42" s="318" t="s">
        <v>91</v>
      </c>
      <c r="D42" s="319" t="s">
        <v>92</v>
      </c>
      <c r="E42" s="318" t="s">
        <v>93</v>
      </c>
      <c r="F42" s="318" t="s">
        <v>94</v>
      </c>
      <c r="G42" s="320" t="s">
        <v>95</v>
      </c>
      <c r="H42" s="319" t="s">
        <v>96</v>
      </c>
      <c r="I42" s="321" t="s">
        <v>97</v>
      </c>
      <c r="J42" s="320" t="s">
        <v>98</v>
      </c>
      <c r="K42" s="322" t="s">
        <v>99</v>
      </c>
      <c r="L42" s="320" t="s">
        <v>100</v>
      </c>
      <c r="M42" s="323" t="s">
        <v>101</v>
      </c>
    </row>
    <row r="43" ht="13.5" customHeight="1" spans="1:13" s="324" customFormat="1" x14ac:dyDescent="0.25">
      <c r="A43" s="325" t="s">
        <v>102</v>
      </c>
      <c r="B43" s="325" t="s">
        <v>103</v>
      </c>
      <c r="C43" s="325" t="s">
        <v>104</v>
      </c>
      <c r="D43" s="325" t="s">
        <v>105</v>
      </c>
      <c r="E43" s="325" t="s">
        <v>106</v>
      </c>
      <c r="F43" s="325" t="s">
        <v>107</v>
      </c>
      <c r="G43" s="325" t="s">
        <v>108</v>
      </c>
      <c r="H43" s="326" t="s">
        <v>109</v>
      </c>
      <c r="I43" s="326" t="s">
        <v>110</v>
      </c>
      <c r="J43" s="325" t="s">
        <v>111</v>
      </c>
      <c r="K43" s="327" t="s">
        <v>112</v>
      </c>
      <c r="L43" s="325" t="s">
        <v>113</v>
      </c>
      <c r="M43" s="328" t="s">
        <v>114</v>
      </c>
    </row>
    <row r="44" ht="13.5" customHeight="1" spans="1:13" s="324" customFormat="1" x14ac:dyDescent="0.25">
      <c r="A44" s="329"/>
      <c r="B44" s="329"/>
      <c r="C44" s="329"/>
      <c r="D44" s="329"/>
      <c r="E44" s="329"/>
      <c r="F44" s="329"/>
      <c r="G44" s="329"/>
      <c r="H44" s="330"/>
      <c r="I44" s="330"/>
      <c r="J44" s="329"/>
      <c r="K44" s="331"/>
      <c r="L44" s="329"/>
      <c r="M44" s="332"/>
    </row>
    <row r="45" ht="13.15" customHeight="1" s="316" customFormat="1" x14ac:dyDescent="0.25"/>
    <row r="52" ht="14.25" customHeight="1" spans="1:13" s="316" customFormat="1" x14ac:dyDescent="0.25">
      <c r="A52" s="333"/>
      <c r="B52" s="333"/>
      <c r="C52" s="333"/>
      <c r="D52" s="334"/>
      <c r="E52" s="334"/>
      <c r="F52" s="333"/>
      <c r="G52" s="333"/>
      <c r="H52" s="333"/>
      <c r="K52" s="333"/>
      <c r="L52" s="333"/>
      <c r="M52" s="333"/>
    </row>
    <row r="53" ht="14.25" customHeight="1" spans="1:13" s="316" customFormat="1" x14ac:dyDescent="0.25">
      <c r="A53" s="335" t="s">
        <v>22</v>
      </c>
      <c r="B53" s="336"/>
      <c r="C53" s="336"/>
      <c r="D53" s="337"/>
      <c r="E53" s="337"/>
      <c r="F53" s="335" t="s">
        <v>115</v>
      </c>
      <c r="G53" s="336"/>
      <c r="H53" s="336"/>
      <c r="K53" s="335" t="s">
        <v>23</v>
      </c>
      <c r="L53" s="336"/>
      <c r="M53" s="336"/>
    </row>
    <row r="54" ht="33.75" customHeight="1" spans="1:13" x14ac:dyDescent="0.25">
      <c r="A54" s="293" t="s">
        <v>24</v>
      </c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</row>
    <row r="55" ht="19.5" customHeight="1" spans="1:13" x14ac:dyDescent="0.25">
      <c r="A55" s="294" t="s">
        <v>25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7" ht="22.5" customHeight="1" spans="1:13" x14ac:dyDescent="0.25">
      <c r="A57" s="295" t="s">
        <v>76</v>
      </c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</row>
    <row r="59" spans="1:13" x14ac:dyDescent="0.25">
      <c r="A59" s="297" t="s">
        <v>77</v>
      </c>
      <c r="B59" s="297" t="str">
        <f>'Final Work'!모선이름</f>
        <v>YOKOHAMA TRADER</v>
      </c>
      <c r="C59" s="297"/>
      <c r="D59" s="297"/>
      <c r="E59" s="297"/>
      <c r="F59" s="298" t="s">
        <v>78</v>
      </c>
      <c r="G59" s="298"/>
      <c r="H59" s="299" t="e">
        <f>#REF!</f>
        <v>#REF!</v>
      </c>
      <c r="I59" s="299"/>
      <c r="J59" s="297" t="s">
        <v>79</v>
      </c>
      <c r="K59" s="298" t="e">
        <f>#REF!</f>
        <v>#REF!</v>
      </c>
      <c r="L59" s="298"/>
      <c r="M59" s="298"/>
    </row>
    <row r="60" spans="1:13" x14ac:dyDescent="0.25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x14ac:dyDescent="0.25">
      <c r="A61" s="297" t="s">
        <v>80</v>
      </c>
      <c r="B61" s="297"/>
      <c r="C61" s="300"/>
      <c r="D61" s="300"/>
      <c r="E61" s="300"/>
      <c r="F61" s="297" t="s">
        <v>81</v>
      </c>
      <c r="G61" s="297"/>
      <c r="H61" s="297"/>
      <c r="I61" s="297"/>
      <c r="J61" s="297" t="s">
        <v>82</v>
      </c>
      <c r="K61" s="298" t="s">
        <v>13</v>
      </c>
      <c r="L61" s="298" t="s">
        <v>14</v>
      </c>
      <c r="M61" s="297" t="s">
        <v>83</v>
      </c>
    </row>
    <row r="62" spans="1:13" x14ac:dyDescent="0.25">
      <c r="A62" s="299" t="s">
        <v>84</v>
      </c>
      <c r="B62" s="299"/>
      <c r="C62" s="300"/>
      <c r="D62" s="297"/>
      <c r="E62" s="297"/>
      <c r="F62" s="297"/>
      <c r="G62" s="297"/>
      <c r="H62" s="297"/>
      <c r="I62" s="297"/>
      <c r="J62" s="297"/>
      <c r="K62" s="297"/>
      <c r="L62" s="297"/>
      <c r="M62" s="297"/>
    </row>
    <row r="63" spans="1:13" x14ac:dyDescent="0.25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301" t="s">
        <v>85</v>
      </c>
    </row>
    <row r="64" spans="1:13" x14ac:dyDescent="0.25">
      <c r="A64" s="302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4"/>
    </row>
    <row r="65" spans="1:13" x14ac:dyDescent="0.25">
      <c r="A65" s="305"/>
      <c r="M65" s="306"/>
    </row>
    <row r="66" spans="1:13" x14ac:dyDescent="0.25">
      <c r="A66" s="305"/>
      <c r="M66" s="306"/>
    </row>
    <row r="67" spans="1:13" x14ac:dyDescent="0.25">
      <c r="A67" s="305"/>
      <c r="M67" s="306"/>
    </row>
    <row r="68" spans="1:13" x14ac:dyDescent="0.25">
      <c r="A68" s="305"/>
      <c r="M68" s="306"/>
    </row>
    <row r="69" spans="1:13" x14ac:dyDescent="0.25">
      <c r="A69" s="305"/>
      <c r="M69" s="306"/>
    </row>
    <row r="70" spans="1:13" x14ac:dyDescent="0.25">
      <c r="A70" s="305"/>
      <c r="M70" s="306"/>
    </row>
    <row r="71" spans="1:13" x14ac:dyDescent="0.25">
      <c r="A71" s="305"/>
      <c r="M71" s="306"/>
    </row>
    <row r="72" spans="1:13" x14ac:dyDescent="0.25">
      <c r="A72" s="305"/>
      <c r="M72" s="306"/>
    </row>
    <row r="73" spans="1:13" x14ac:dyDescent="0.25">
      <c r="A73" s="305"/>
      <c r="M73" s="306"/>
    </row>
    <row r="74" spans="1:13" x14ac:dyDescent="0.25">
      <c r="A74" s="305"/>
      <c r="M74" s="306"/>
    </row>
    <row r="75" spans="1:13" x14ac:dyDescent="0.25">
      <c r="A75" s="305"/>
      <c r="M75" s="306"/>
    </row>
    <row r="76" spans="1:13" x14ac:dyDescent="0.25">
      <c r="A76" s="305"/>
      <c r="M76" s="306"/>
    </row>
    <row r="77" spans="1:13" x14ac:dyDescent="0.25">
      <c r="A77" s="305"/>
      <c r="M77" s="306"/>
    </row>
    <row r="78" spans="1:13" x14ac:dyDescent="0.25">
      <c r="A78" s="305"/>
      <c r="M78" s="306"/>
    </row>
    <row r="79" spans="1:13" x14ac:dyDescent="0.25">
      <c r="A79" s="305"/>
      <c r="M79" s="306"/>
    </row>
    <row r="80" spans="1:13" x14ac:dyDescent="0.25">
      <c r="A80" s="305"/>
      <c r="M80" s="306"/>
    </row>
    <row r="81" spans="1:13" x14ac:dyDescent="0.25">
      <c r="A81" s="305"/>
      <c r="M81" s="306"/>
    </row>
    <row r="82" spans="1:13" x14ac:dyDescent="0.25">
      <c r="A82" s="305"/>
      <c r="M82" s="306"/>
    </row>
    <row r="83" spans="1:13" x14ac:dyDescent="0.25">
      <c r="A83" s="305"/>
      <c r="M83" s="306"/>
    </row>
    <row r="84" spans="1:13" x14ac:dyDescent="0.25">
      <c r="A84" s="307"/>
      <c r="B84" s="308"/>
      <c r="C84" s="308"/>
      <c r="D84" s="308"/>
      <c r="E84" s="308"/>
      <c r="F84" s="308"/>
      <c r="G84" s="308"/>
      <c r="H84" s="308"/>
      <c r="I84" s="308"/>
      <c r="J84" s="308"/>
      <c r="K84" s="308"/>
      <c r="L84" s="308"/>
      <c r="M84" s="309"/>
    </row>
    <row r="86" ht="21.95" customHeight="1" spans="1:12" x14ac:dyDescent="0.25">
      <c r="A86" s="310" t="s">
        <v>86</v>
      </c>
      <c r="B86" s="310"/>
      <c r="C86" s="310"/>
      <c r="D86" s="311"/>
      <c r="E86" s="311"/>
      <c r="F86" s="311"/>
      <c r="G86" s="311"/>
      <c r="H86" s="311"/>
      <c r="I86" s="311"/>
      <c r="J86" s="311"/>
      <c r="K86" s="311"/>
      <c r="L86" s="311"/>
    </row>
    <row r="87" ht="21.95" customHeight="1" spans="1:13" x14ac:dyDescent="0.25">
      <c r="A87" s="312"/>
      <c r="B87" s="313" t="s">
        <v>87</v>
      </c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</row>
    <row r="88" ht="21.95" customHeight="1" spans="1:13" x14ac:dyDescent="0.25">
      <c r="A88" s="312"/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</row>
    <row r="89" ht="21.95" customHeight="1" spans="1:13" x14ac:dyDescent="0.25">
      <c r="A89" s="314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</row>
    <row r="90" ht="21.95" customHeight="1" spans="1:13" x14ac:dyDescent="0.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</row>
    <row r="91" ht="21.95" customHeight="1" spans="1:13" x14ac:dyDescent="0.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</row>
    <row r="92" ht="21.95" customHeight="1" spans="1:13" x14ac:dyDescent="0.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</row>
    <row r="93" ht="21.95" customHeight="1" spans="1:13" x14ac:dyDescent="0.25">
      <c r="A93" s="317" t="s">
        <v>88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</row>
    <row r="94" spans="1:13" x14ac:dyDescent="0.25">
      <c r="A94" s="318" t="s">
        <v>89</v>
      </c>
      <c r="B94" s="319" t="s">
        <v>90</v>
      </c>
      <c r="C94" s="318" t="s">
        <v>91</v>
      </c>
      <c r="D94" s="319" t="s">
        <v>92</v>
      </c>
      <c r="E94" s="318" t="s">
        <v>93</v>
      </c>
      <c r="F94" s="318" t="s">
        <v>94</v>
      </c>
      <c r="G94" s="320" t="s">
        <v>95</v>
      </c>
      <c r="H94" s="319" t="s">
        <v>96</v>
      </c>
      <c r="I94" s="321" t="s">
        <v>97</v>
      </c>
      <c r="J94" s="320" t="s">
        <v>98</v>
      </c>
      <c r="K94" s="322" t="s">
        <v>99</v>
      </c>
      <c r="L94" s="320" t="s">
        <v>100</v>
      </c>
      <c r="M94" s="323" t="s">
        <v>101</v>
      </c>
    </row>
    <row r="95" spans="1:13" x14ac:dyDescent="0.25">
      <c r="A95" s="325" t="s">
        <v>102</v>
      </c>
      <c r="B95" s="325" t="s">
        <v>103</v>
      </c>
      <c r="C95" s="325" t="s">
        <v>104</v>
      </c>
      <c r="D95" s="325" t="s">
        <v>105</v>
      </c>
      <c r="E95" s="325" t="s">
        <v>106</v>
      </c>
      <c r="F95" s="325" t="s">
        <v>107</v>
      </c>
      <c r="G95" s="325" t="s">
        <v>108</v>
      </c>
      <c r="H95" s="326" t="s">
        <v>109</v>
      </c>
      <c r="I95" s="326" t="s">
        <v>110</v>
      </c>
      <c r="J95" s="325" t="s">
        <v>111</v>
      </c>
      <c r="K95" s="327" t="s">
        <v>112</v>
      </c>
      <c r="L95" s="325" t="s">
        <v>113</v>
      </c>
      <c r="M95" s="328" t="s">
        <v>114</v>
      </c>
    </row>
    <row r="96" spans="1:13" x14ac:dyDescent="0.25">
      <c r="A96" s="329"/>
      <c r="B96" s="329"/>
      <c r="C96" s="329"/>
      <c r="D96" s="329"/>
      <c r="E96" s="329"/>
      <c r="F96" s="329"/>
      <c r="G96" s="329"/>
      <c r="H96" s="330"/>
      <c r="I96" s="330"/>
      <c r="J96" s="329"/>
      <c r="K96" s="331"/>
      <c r="L96" s="329"/>
      <c r="M96" s="332"/>
    </row>
    <row r="97" spans="1:13" x14ac:dyDescent="0.25">
      <c r="A97" s="316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</row>
    <row r="98" spans="1:13" x14ac:dyDescent="0.25">
      <c r="A98" s="316"/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</row>
    <row r="99" spans="1:13" x14ac:dyDescent="0.25">
      <c r="A99" s="316"/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</row>
    <row r="100" spans="1:13" x14ac:dyDescent="0.25">
      <c r="A100" s="316"/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</row>
    <row r="101" spans="1:13" x14ac:dyDescent="0.25">
      <c r="A101" s="316"/>
      <c r="B101" s="316"/>
      <c r="C101" s="316"/>
      <c r="D101" s="316"/>
      <c r="E101" s="316"/>
      <c r="F101" s="316"/>
      <c r="G101" s="316"/>
      <c r="H101" s="316"/>
      <c r="I101" s="316"/>
      <c r="J101" s="316"/>
      <c r="K101" s="316"/>
      <c r="L101" s="316"/>
      <c r="M101" s="316"/>
    </row>
    <row r="102" spans="1:13" x14ac:dyDescent="0.25">
      <c r="A102" s="316"/>
      <c r="B102" s="316"/>
      <c r="C102" s="316"/>
      <c r="D102" s="316"/>
      <c r="E102" s="316"/>
      <c r="F102" s="316"/>
      <c r="G102" s="316"/>
      <c r="H102" s="316"/>
      <c r="I102" s="316"/>
      <c r="J102" s="316"/>
      <c r="K102" s="316"/>
      <c r="L102" s="316"/>
      <c r="M102" s="316"/>
    </row>
    <row r="103" spans="1:13" x14ac:dyDescent="0.25">
      <c r="A103" s="316"/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</row>
    <row r="104" ht="14.25" customHeight="1" spans="1:13" x14ac:dyDescent="0.25">
      <c r="A104" s="333"/>
      <c r="B104" s="333"/>
      <c r="C104" s="333"/>
      <c r="D104" s="334"/>
      <c r="E104" s="334"/>
      <c r="F104" s="333"/>
      <c r="G104" s="333"/>
      <c r="H104" s="333"/>
      <c r="I104" s="316"/>
      <c r="J104" s="316"/>
      <c r="K104" s="333"/>
      <c r="L104" s="333"/>
      <c r="M104" s="333"/>
    </row>
    <row r="105" ht="14.25" customHeight="1" spans="1:13" x14ac:dyDescent="0.25">
      <c r="A105" s="335" t="s">
        <v>22</v>
      </c>
      <c r="B105" s="335"/>
      <c r="C105" s="335"/>
      <c r="D105" s="337"/>
      <c r="E105" s="337"/>
      <c r="F105" s="335" t="s">
        <v>115</v>
      </c>
      <c r="G105" s="335"/>
      <c r="H105" s="335"/>
      <c r="I105" s="316"/>
      <c r="J105" s="316"/>
      <c r="K105" s="335" t="s">
        <v>23</v>
      </c>
      <c r="L105" s="335"/>
      <c r="M105" s="335"/>
    </row>
  </sheetData>
  <mergeCells count="62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3:C53"/>
    <mergeCell ref="F53:H53"/>
    <mergeCell ref="K53:M53"/>
    <mergeCell ref="A54:M54"/>
    <mergeCell ref="A55:M55"/>
    <mergeCell ref="A57:M57"/>
    <mergeCell ref="F59:G59"/>
    <mergeCell ref="H59:I59"/>
    <mergeCell ref="K59:M59"/>
    <mergeCell ref="C61:E61"/>
    <mergeCell ref="A62:B62"/>
    <mergeCell ref="A86:C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5:C105"/>
    <mergeCell ref="F105:H105"/>
    <mergeCell ref="K105:M105"/>
  </mergeCells>
  <pageMargins left="0.32" right="0.27" top="0.59" bottom="0.63" header="0.27" footer="0.35"/>
  <pageSetup paperSize="9" orientation="portrait" horizontalDpi="4294967295" verticalDpi="4294967295" scale="97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39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85" t="s">
        <v>35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ht="10.5" customHeight="1" x14ac:dyDescent="0.25"/>
    <row r="6" spans="1:14" x14ac:dyDescent="0.25">
      <c r="A6" s="3" t="s">
        <v>36</v>
      </c>
      <c r="B6" s="186" t="s">
        <v>3</v>
      </c>
      <c r="G6" s="3" t="s">
        <v>37</v>
      </c>
      <c r="H6" s="8"/>
      <c r="I6" s="8"/>
      <c r="K6" s="3" t="s">
        <v>38</v>
      </c>
      <c r="L6" s="187"/>
      <c r="M6" s="8"/>
      <c r="N6" s="1"/>
    </row>
    <row r="7" ht="5.25" customHeight="1" spans="8:9" x14ac:dyDescent="0.25">
      <c r="H7" s="154"/>
      <c r="I7" s="154"/>
    </row>
    <row r="8" spans="1:13" x14ac:dyDescent="0.25">
      <c r="A8" s="186" t="s">
        <v>39</v>
      </c>
      <c r="B8" s="3" t="s">
        <v>25</v>
      </c>
      <c r="G8" s="3" t="s">
        <v>40</v>
      </c>
      <c r="H8" s="8"/>
      <c r="I8" s="8"/>
      <c r="K8" s="186" t="s">
        <v>41</v>
      </c>
      <c r="L8" s="8"/>
      <c r="M8" s="8"/>
    </row>
    <row r="9" ht="8.25" customHeight="1" x14ac:dyDescent="0.25"/>
    <row r="10" ht="21.95" customHeight="1" spans="1:13" x14ac:dyDescent="0.25">
      <c r="A10" s="188" t="s">
        <v>42</v>
      </c>
      <c r="B10" s="189" t="s">
        <v>43</v>
      </c>
      <c r="C10" s="190"/>
      <c r="D10" s="188" t="s">
        <v>44</v>
      </c>
      <c r="E10" s="188"/>
      <c r="F10" s="188"/>
      <c r="G10" s="191" t="s">
        <v>45</v>
      </c>
      <c r="H10" s="188" t="s">
        <v>46</v>
      </c>
      <c r="I10" s="188"/>
      <c r="J10" s="191" t="s">
        <v>47</v>
      </c>
      <c r="K10" s="188" t="s">
        <v>48</v>
      </c>
      <c r="L10" s="188" t="s">
        <v>49</v>
      </c>
      <c r="M10" s="188" t="s">
        <v>50</v>
      </c>
    </row>
    <row r="11" ht="21.95" customHeight="1" spans="1:13" x14ac:dyDescent="0.25">
      <c r="A11" s="192"/>
      <c r="B11" s="193"/>
      <c r="C11" s="194"/>
      <c r="D11" s="192"/>
      <c r="E11" s="192"/>
      <c r="F11" s="192"/>
      <c r="G11" s="195" t="s">
        <v>51</v>
      </c>
      <c r="H11" s="192"/>
      <c r="I11" s="192"/>
      <c r="J11" s="195"/>
      <c r="K11" s="192"/>
      <c r="L11" s="192"/>
      <c r="M11" s="192"/>
    </row>
    <row r="12" ht="21.95" customHeight="1" hidden="1" spans="1:13" x14ac:dyDescent="0.25">
      <c r="A12" s="196"/>
      <c r="B12" s="197"/>
      <c r="C12" s="3"/>
      <c r="D12" s="198"/>
      <c r="E12" s="199"/>
      <c r="F12" s="200"/>
      <c r="G12" s="201"/>
      <c r="H12" s="202"/>
      <c r="I12" s="3"/>
      <c r="J12" s="202"/>
      <c r="K12" s="196"/>
      <c r="L12" s="196"/>
      <c r="M12" s="203"/>
    </row>
    <row r="13" ht="21.95" customHeight="1" hidden="1" spans="1:13" x14ac:dyDescent="0.25">
      <c r="A13" s="204"/>
      <c r="B13" s="198"/>
      <c r="C13" s="3"/>
      <c r="D13" s="198"/>
      <c r="E13" s="199"/>
      <c r="F13" s="200"/>
      <c r="G13" s="201"/>
      <c r="H13" s="205"/>
      <c r="I13" s="3"/>
      <c r="J13" s="202"/>
      <c r="K13" s="204"/>
      <c r="L13" s="204"/>
      <c r="M13" s="206"/>
    </row>
    <row r="14" ht="21.95" customHeight="1" hidden="1" spans="1:13" x14ac:dyDescent="0.25">
      <c r="A14" s="204"/>
      <c r="B14" s="198"/>
      <c r="C14" s="3"/>
      <c r="D14" s="198"/>
      <c r="E14" s="199"/>
      <c r="F14" s="200"/>
      <c r="G14" s="201"/>
      <c r="H14" s="202"/>
      <c r="I14" s="3"/>
      <c r="J14" s="202"/>
      <c r="K14" s="201"/>
      <c r="L14" s="204"/>
      <c r="M14" s="207"/>
    </row>
    <row r="15" ht="24" customHeight="1" spans="1:13" x14ac:dyDescent="0.25">
      <c r="A15" s="201"/>
      <c r="B15" s="198"/>
      <c r="C15" s="3"/>
      <c r="D15" s="198"/>
      <c r="E15" s="199"/>
      <c r="F15" s="200"/>
      <c r="G15" s="201"/>
      <c r="H15" s="202"/>
      <c r="I15" s="3"/>
      <c r="J15" s="202"/>
      <c r="K15" s="201"/>
      <c r="L15" s="201"/>
      <c r="M15" s="207"/>
    </row>
    <row r="16" ht="24" customHeight="1" spans="1:13" x14ac:dyDescent="0.25">
      <c r="A16" s="201"/>
      <c r="B16" s="198"/>
      <c r="C16" s="3"/>
      <c r="D16" s="198"/>
      <c r="E16" s="199"/>
      <c r="F16" s="200"/>
      <c r="G16" s="201"/>
      <c r="H16" s="202"/>
      <c r="I16" s="3"/>
      <c r="J16" s="202"/>
      <c r="K16" s="201"/>
      <c r="L16" s="201"/>
      <c r="M16" s="207"/>
    </row>
    <row r="17" ht="24" customHeight="1" spans="1:13" x14ac:dyDescent="0.25">
      <c r="A17" s="201"/>
      <c r="B17" s="198"/>
      <c r="C17" s="3"/>
      <c r="D17" s="198"/>
      <c r="E17" s="199"/>
      <c r="F17" s="200"/>
      <c r="G17" s="201"/>
      <c r="H17" s="202"/>
      <c r="I17" s="3"/>
      <c r="J17" s="202"/>
      <c r="K17" s="201"/>
      <c r="L17" s="201"/>
      <c r="M17" s="207"/>
    </row>
    <row r="18" ht="24" customHeight="1" spans="1:13" x14ac:dyDescent="0.25">
      <c r="A18" s="201"/>
      <c r="B18" s="198"/>
      <c r="C18" s="3"/>
      <c r="D18" s="198"/>
      <c r="E18" s="199"/>
      <c r="F18" s="200"/>
      <c r="G18" s="201"/>
      <c r="H18" s="202"/>
      <c r="I18" s="3"/>
      <c r="J18" s="202"/>
      <c r="K18" s="201"/>
      <c r="L18" s="201"/>
      <c r="M18" s="207"/>
    </row>
    <row r="19" ht="24" customHeight="1" spans="1:13" x14ac:dyDescent="0.25">
      <c r="A19" s="208"/>
      <c r="B19" s="209"/>
      <c r="C19" s="210"/>
      <c r="D19" s="211" t="s">
        <v>52</v>
      </c>
      <c r="E19" s="212"/>
      <c r="F19" s="213"/>
      <c r="G19" s="214" t="s">
        <v>53</v>
      </c>
      <c r="H19" s="215">
        <f>SUM(H12:I18)</f>
        <v>196</v>
      </c>
      <c r="I19" s="216"/>
      <c r="J19" s="217">
        <f>SUM(J12:J18)</f>
        <v>196</v>
      </c>
      <c r="K19" s="214" t="s">
        <v>54</v>
      </c>
      <c r="L19" s="214" t="s">
        <v>54</v>
      </c>
      <c r="M19" s="218"/>
    </row>
    <row r="20" ht="21.95" customHeight="1" hidden="1" spans="1:13" x14ac:dyDescent="0.25">
      <c r="A20" s="219"/>
      <c r="B20" s="198"/>
      <c r="C20" s="220"/>
      <c r="D20" s="221"/>
      <c r="E20" s="222"/>
      <c r="F20" s="223"/>
      <c r="G20" s="224"/>
      <c r="H20" s="225"/>
      <c r="I20" s="226"/>
      <c r="J20" s="227"/>
      <c r="K20" s="224"/>
      <c r="L20" s="224"/>
      <c r="M20" s="228"/>
    </row>
    <row r="21" ht="21.95" customHeight="1" hidden="1" spans="1:13" x14ac:dyDescent="0.25">
      <c r="A21" s="219"/>
      <c r="B21" s="198"/>
      <c r="C21" s="220"/>
      <c r="D21" s="221"/>
      <c r="E21" s="222"/>
      <c r="F21" s="223"/>
      <c r="G21" s="224"/>
      <c r="H21" s="225"/>
      <c r="I21" s="226"/>
      <c r="J21" s="227"/>
      <c r="K21" s="224"/>
      <c r="L21" s="224"/>
      <c r="M21" s="228"/>
    </row>
    <row r="22" ht="21.95" customHeight="1" hidden="1" spans="1:13" x14ac:dyDescent="0.25">
      <c r="A22" s="201"/>
      <c r="B22" s="198"/>
      <c r="C22" s="220"/>
      <c r="D22" s="198"/>
      <c r="E22" s="199"/>
      <c r="F22" s="200"/>
      <c r="G22" s="201"/>
      <c r="H22" s="202"/>
      <c r="I22" s="202"/>
      <c r="J22" s="202"/>
      <c r="K22" s="201"/>
      <c r="L22" s="201"/>
      <c r="M22" s="228"/>
    </row>
    <row r="23" ht="21.95" customHeight="1" hidden="1" spans="1:13" x14ac:dyDescent="0.25">
      <c r="A23" s="201"/>
      <c r="B23" s="198"/>
      <c r="C23" s="220"/>
      <c r="D23" s="198"/>
      <c r="E23" s="199"/>
      <c r="F23" s="200"/>
      <c r="G23" s="201"/>
      <c r="H23" s="202"/>
      <c r="I23" s="202"/>
      <c r="J23" s="202"/>
      <c r="K23" s="201"/>
      <c r="L23" s="201"/>
      <c r="M23" s="228"/>
    </row>
    <row r="24" ht="21.95" customHeight="1" hidden="1" spans="1:13" x14ac:dyDescent="0.25">
      <c r="A24" s="201"/>
      <c r="B24" s="198"/>
      <c r="C24" s="220"/>
      <c r="D24" s="198"/>
      <c r="E24" s="199"/>
      <c r="F24" s="200"/>
      <c r="G24" s="201"/>
      <c r="H24" s="202"/>
      <c r="I24" s="202"/>
      <c r="J24" s="202"/>
      <c r="K24" s="201"/>
      <c r="L24" s="201"/>
      <c r="M24" s="228"/>
    </row>
    <row r="25" ht="21.95" customHeight="1" hidden="1" spans="1:13" x14ac:dyDescent="0.25">
      <c r="A25" s="201"/>
      <c r="B25" s="198"/>
      <c r="C25" s="220"/>
      <c r="D25" s="198"/>
      <c r="E25" s="199"/>
      <c r="F25" s="200"/>
      <c r="G25" s="201"/>
      <c r="H25" s="202"/>
      <c r="I25" s="202"/>
      <c r="J25" s="202"/>
      <c r="K25" s="201"/>
      <c r="L25" s="201"/>
      <c r="M25" s="228"/>
    </row>
    <row r="26" ht="21.95" customHeight="1" hidden="1" spans="1:13" x14ac:dyDescent="0.25">
      <c r="A26" s="229"/>
      <c r="B26" s="230"/>
      <c r="C26" s="231"/>
      <c r="D26" s="232"/>
      <c r="E26" s="233"/>
      <c r="F26" s="234"/>
      <c r="G26" s="204"/>
      <c r="H26" s="235"/>
      <c r="I26" s="236"/>
      <c r="J26" s="237"/>
      <c r="K26" s="204"/>
      <c r="L26" s="204"/>
      <c r="M26" s="238"/>
    </row>
    <row r="27" ht="24" customHeight="1" spans="1:13" x14ac:dyDescent="0.25">
      <c r="A27" s="201"/>
      <c r="B27" s="198"/>
      <c r="C27" s="220"/>
      <c r="D27" s="198"/>
      <c r="E27" s="199"/>
      <c r="F27" s="200"/>
      <c r="G27" s="201"/>
      <c r="H27" s="202"/>
      <c r="I27" s="202"/>
      <c r="J27" s="202"/>
      <c r="K27" s="201"/>
      <c r="L27" s="201"/>
      <c r="M27" s="228"/>
    </row>
    <row r="28" ht="15.95" customHeight="1" spans="1:13" x14ac:dyDescent="0.25">
      <c r="A28" s="239" t="s">
        <v>55</v>
      </c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1"/>
    </row>
    <row r="29" ht="15.95" customHeight="1" spans="1:13" x14ac:dyDescent="0.25">
      <c r="A29" s="242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4"/>
    </row>
    <row r="30" ht="15.95" customHeight="1" spans="1:13" x14ac:dyDescent="0.25">
      <c r="A30" s="245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ht="15.95" customHeight="1" spans="1:13" x14ac:dyDescent="0.25">
      <c r="A31" s="245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4"/>
    </row>
    <row r="32" ht="15.95" customHeight="1" spans="1:13" x14ac:dyDescent="0.25">
      <c r="A32" s="245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4"/>
    </row>
    <row r="33" ht="15.95" customHeight="1" spans="1:13" x14ac:dyDescent="0.25">
      <c r="A33" s="245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4"/>
    </row>
    <row r="34" ht="15.95" customHeight="1" spans="1:13" x14ac:dyDescent="0.25">
      <c r="A34" s="246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8"/>
    </row>
    <row r="35" ht="14.25" customHeight="1" spans="1:13" x14ac:dyDescent="0.25">
      <c r="A35" s="40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</row>
    <row r="36" ht="14.25" customHeight="1" spans="1:13" x14ac:dyDescent="0.25">
      <c r="A36" s="40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ht="15" customHeight="1" spans="1:13" x14ac:dyDescent="0.25">
      <c r="A38" s="182"/>
      <c r="B38" s="182"/>
      <c r="C38" s="182"/>
      <c r="G38" s="182"/>
      <c r="H38" s="182"/>
      <c r="I38" s="182"/>
      <c r="L38" s="182"/>
      <c r="M38" s="182"/>
    </row>
    <row r="39" spans="1:13" x14ac:dyDescent="0.25">
      <c r="A39" s="183" t="s">
        <v>22</v>
      </c>
      <c r="B39" s="183"/>
      <c r="C39" s="183"/>
      <c r="G39" s="183" t="s">
        <v>56</v>
      </c>
      <c r="H39" s="183"/>
      <c r="I39" s="183"/>
      <c r="L39" s="183" t="s">
        <v>23</v>
      </c>
      <c r="M39" s="18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85" t="s">
        <v>70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ht="10.5" customHeight="1" x14ac:dyDescent="0.25"/>
    <row r="6" spans="1:14" x14ac:dyDescent="0.25">
      <c r="A6" s="3" t="s">
        <v>71</v>
      </c>
      <c r="B6" s="186" t="s">
        <v>3</v>
      </c>
      <c r="G6" s="3" t="s">
        <v>37</v>
      </c>
      <c r="H6" s="8"/>
      <c r="I6" s="8"/>
      <c r="K6" s="3" t="s">
        <v>38</v>
      </c>
      <c r="L6" s="187"/>
      <c r="M6" s="8"/>
      <c r="N6" s="1"/>
    </row>
    <row r="7" ht="5.25" customHeight="1" spans="8:9" x14ac:dyDescent="0.25">
      <c r="H7" s="154"/>
      <c r="I7" s="154"/>
    </row>
    <row r="8" spans="1:13" x14ac:dyDescent="0.25">
      <c r="A8" s="186" t="s">
        <v>72</v>
      </c>
      <c r="B8" s="3" t="s">
        <v>25</v>
      </c>
      <c r="C8" s="264"/>
      <c r="D8" s="264"/>
      <c r="G8" s="3" t="s">
        <v>40</v>
      </c>
      <c r="H8" s="8"/>
      <c r="I8" s="8"/>
      <c r="K8" s="186" t="s">
        <v>41</v>
      </c>
      <c r="L8" s="8"/>
      <c r="M8" s="8"/>
    </row>
    <row r="9" ht="8.25" customHeight="1" spans="10:10" x14ac:dyDescent="0.25">
      <c r="J9" s="182"/>
    </row>
    <row r="10" ht="24" customHeight="1" spans="1:13" x14ac:dyDescent="0.25">
      <c r="A10" s="188" t="s">
        <v>42</v>
      </c>
      <c r="B10" s="189" t="s">
        <v>43</v>
      </c>
      <c r="C10" s="190"/>
      <c r="D10" s="188" t="s">
        <v>44</v>
      </c>
      <c r="E10" s="188"/>
      <c r="F10" s="188"/>
      <c r="G10" s="191" t="s">
        <v>45</v>
      </c>
      <c r="H10" s="249" t="s">
        <v>46</v>
      </c>
      <c r="I10" s="250"/>
      <c r="J10" s="191" t="s">
        <v>73</v>
      </c>
      <c r="K10" s="188" t="s">
        <v>48</v>
      </c>
      <c r="L10" s="188" t="s">
        <v>49</v>
      </c>
      <c r="M10" s="188" t="s">
        <v>50</v>
      </c>
    </row>
    <row r="11" ht="24" customHeight="1" spans="1:13" x14ac:dyDescent="0.25">
      <c r="A11" s="192"/>
      <c r="B11" s="193"/>
      <c r="C11" s="194"/>
      <c r="D11" s="192"/>
      <c r="E11" s="192"/>
      <c r="F11" s="192"/>
      <c r="G11" s="195" t="s">
        <v>51</v>
      </c>
      <c r="H11" s="251"/>
      <c r="I11" s="253"/>
      <c r="J11" s="195"/>
      <c r="K11" s="192"/>
      <c r="L11" s="192"/>
      <c r="M11" s="192"/>
    </row>
    <row r="12" ht="24" customHeight="1" hidden="1" spans="1:13" x14ac:dyDescent="0.25">
      <c r="A12" s="265"/>
      <c r="B12" s="266"/>
      <c r="C12" s="3"/>
      <c r="D12" s="255"/>
      <c r="E12" s="267"/>
      <c r="F12" s="268"/>
      <c r="G12" s="254"/>
      <c r="H12" s="269"/>
      <c r="I12" s="3"/>
      <c r="J12" s="270"/>
      <c r="K12" s="254"/>
      <c r="L12" s="254"/>
      <c r="M12" s="254"/>
    </row>
    <row r="13" ht="24" customHeight="1" spans="1:13" x14ac:dyDescent="0.25">
      <c r="A13" s="204"/>
      <c r="B13" s="204"/>
      <c r="C13" s="3"/>
      <c r="D13" s="232"/>
      <c r="E13" s="271"/>
      <c r="F13" s="272"/>
      <c r="G13" s="204"/>
      <c r="H13" s="237"/>
      <c r="I13" s="3"/>
      <c r="J13" s="237"/>
      <c r="K13" s="204"/>
      <c r="L13" s="204"/>
      <c r="M13" s="206"/>
    </row>
    <row r="14" ht="24" customHeight="1" spans="1:13" x14ac:dyDescent="0.25">
      <c r="A14" s="204"/>
      <c r="B14" s="204"/>
      <c r="C14" s="3"/>
      <c r="D14" s="198"/>
      <c r="E14" s="273"/>
      <c r="F14" s="274"/>
      <c r="G14" s="201"/>
      <c r="H14" s="205"/>
      <c r="I14" s="3"/>
      <c r="J14" s="202"/>
      <c r="K14" s="201"/>
      <c r="L14" s="201"/>
      <c r="M14" s="206"/>
    </row>
    <row r="15" ht="24" customHeight="1" spans="1:13" x14ac:dyDescent="0.25">
      <c r="A15" s="208"/>
      <c r="B15" s="275"/>
      <c r="C15" s="275"/>
      <c r="D15" s="211" t="s">
        <v>52</v>
      </c>
      <c r="E15" s="212"/>
      <c r="F15" s="213"/>
      <c r="G15" s="214" t="s">
        <v>53</v>
      </c>
      <c r="H15" s="217">
        <f>SUM(H10:I14)</f>
        <v>160</v>
      </c>
      <c r="I15" s="217"/>
      <c r="J15" s="217">
        <f>SUM(J10:J14)</f>
        <v>160</v>
      </c>
      <c r="K15" s="214" t="s">
        <v>54</v>
      </c>
      <c r="L15" s="214" t="s">
        <v>54</v>
      </c>
      <c r="M15" s="218"/>
    </row>
    <row r="16" ht="24" customHeight="1" spans="1:13" x14ac:dyDescent="0.25">
      <c r="A16" s="219"/>
      <c r="B16" s="201"/>
      <c r="C16" s="201"/>
      <c r="D16" s="221"/>
      <c r="E16" s="222"/>
      <c r="F16" s="223"/>
      <c r="G16" s="224"/>
      <c r="H16" s="227"/>
      <c r="I16" s="227"/>
      <c r="J16" s="227"/>
      <c r="K16" s="224"/>
      <c r="L16" s="224"/>
      <c r="M16" s="228"/>
    </row>
    <row r="17" ht="24" customHeight="1" spans="1:13" x14ac:dyDescent="0.25">
      <c r="A17" s="219"/>
      <c r="B17" s="201"/>
      <c r="C17" s="201"/>
      <c r="D17" s="221"/>
      <c r="E17" s="222"/>
      <c r="F17" s="223"/>
      <c r="G17" s="224"/>
      <c r="H17" s="227"/>
      <c r="I17" s="227"/>
      <c r="J17" s="227"/>
      <c r="K17" s="224"/>
      <c r="L17" s="224"/>
      <c r="M17" s="228"/>
    </row>
    <row r="18" ht="24" customHeight="1" hidden="1" spans="1:13" x14ac:dyDescent="0.25">
      <c r="A18" s="51"/>
      <c r="B18" s="51"/>
      <c r="C18" s="51"/>
      <c r="D18" s="276"/>
      <c r="E18" s="277"/>
      <c r="F18" s="278"/>
      <c r="G18" s="279"/>
      <c r="H18" s="280"/>
      <c r="I18" s="281"/>
      <c r="J18" s="282"/>
      <c r="K18" s="279"/>
      <c r="L18" s="279"/>
      <c r="M18" s="238"/>
    </row>
    <row r="19" ht="24" customHeight="1" hidden="1" spans="1:13" x14ac:dyDescent="0.25">
      <c r="A19" s="51"/>
      <c r="B19" s="51"/>
      <c r="C19" s="51"/>
      <c r="D19" s="276"/>
      <c r="E19" s="277"/>
      <c r="F19" s="278"/>
      <c r="G19" s="279"/>
      <c r="H19" s="280"/>
      <c r="I19" s="281"/>
      <c r="J19" s="282"/>
      <c r="K19" s="279"/>
      <c r="L19" s="279"/>
      <c r="M19" s="238"/>
    </row>
    <row r="20" ht="24" customHeight="1" hidden="1" spans="1:13" x14ac:dyDescent="0.25">
      <c r="A20" s="51"/>
      <c r="B20" s="51"/>
      <c r="C20" s="51"/>
      <c r="D20" s="276"/>
      <c r="E20" s="277"/>
      <c r="F20" s="278"/>
      <c r="G20" s="279"/>
      <c r="H20" s="280"/>
      <c r="I20" s="281"/>
      <c r="J20" s="282"/>
      <c r="K20" s="279"/>
      <c r="L20" s="279"/>
      <c r="M20" s="238"/>
    </row>
    <row r="21" ht="24" customHeight="1" hidden="1" spans="1:13" x14ac:dyDescent="0.25">
      <c r="A21" s="51"/>
      <c r="B21" s="51"/>
      <c r="C21" s="51"/>
      <c r="D21" s="276"/>
      <c r="E21" s="277"/>
      <c r="F21" s="278"/>
      <c r="G21" s="279"/>
      <c r="H21" s="280"/>
      <c r="I21" s="281"/>
      <c r="J21" s="282"/>
      <c r="K21" s="279"/>
      <c r="L21" s="279"/>
      <c r="M21" s="238"/>
    </row>
    <row r="22" ht="24" customHeight="1" hidden="1" spans="1:13" x14ac:dyDescent="0.25">
      <c r="A22" s="51"/>
      <c r="B22" s="51"/>
      <c r="C22" s="51"/>
      <c r="D22" s="276"/>
      <c r="E22" s="277"/>
      <c r="F22" s="278"/>
      <c r="G22" s="279"/>
      <c r="H22" s="280"/>
      <c r="I22" s="281"/>
      <c r="J22" s="282"/>
      <c r="K22" s="279"/>
      <c r="L22" s="279"/>
      <c r="M22" s="238"/>
    </row>
    <row r="23" ht="24" customHeight="1" hidden="1" spans="1:13" x14ac:dyDescent="0.25">
      <c r="A23" s="51"/>
      <c r="B23" s="51"/>
      <c r="C23" s="51"/>
      <c r="D23" s="276"/>
      <c r="E23" s="277"/>
      <c r="F23" s="278"/>
      <c r="G23" s="279"/>
      <c r="H23" s="280"/>
      <c r="I23" s="281"/>
      <c r="J23" s="282"/>
      <c r="K23" s="279"/>
      <c r="L23" s="279"/>
      <c r="M23" s="238"/>
    </row>
    <row r="24" ht="24" customHeight="1" hidden="1" spans="1:13" x14ac:dyDescent="0.25">
      <c r="A24" s="51"/>
      <c r="B24" s="51"/>
      <c r="C24" s="51"/>
      <c r="D24" s="276"/>
      <c r="E24" s="277"/>
      <c r="F24" s="278"/>
      <c r="G24" s="279"/>
      <c r="H24" s="280"/>
      <c r="I24" s="281"/>
      <c r="J24" s="282"/>
      <c r="K24" s="279"/>
      <c r="L24" s="279"/>
      <c r="M24" s="238"/>
    </row>
    <row r="25" ht="24" customHeight="1" hidden="1" spans="1:13" x14ac:dyDescent="0.25">
      <c r="A25" s="51"/>
      <c r="B25" s="51"/>
      <c r="C25" s="51"/>
      <c r="D25" s="276"/>
      <c r="E25" s="277"/>
      <c r="F25" s="278"/>
      <c r="G25" s="279"/>
      <c r="H25" s="280"/>
      <c r="I25" s="281"/>
      <c r="J25" s="282"/>
      <c r="K25" s="279"/>
      <c r="L25" s="279"/>
      <c r="M25" s="238"/>
    </row>
    <row r="26" ht="24" customHeight="1" hidden="1" spans="1:13" x14ac:dyDescent="0.25">
      <c r="A26" s="51"/>
      <c r="B26" s="51"/>
      <c r="C26" s="51"/>
      <c r="D26" s="276"/>
      <c r="E26" s="277"/>
      <c r="F26" s="278"/>
      <c r="G26" s="279"/>
      <c r="H26" s="280"/>
      <c r="I26" s="281"/>
      <c r="J26" s="282"/>
      <c r="K26" s="279"/>
      <c r="L26" s="279"/>
      <c r="M26" s="238"/>
    </row>
    <row r="27" ht="18" customHeight="1" spans="1:13" x14ac:dyDescent="0.25">
      <c r="A27" s="239" t="s">
        <v>55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1"/>
    </row>
    <row r="28" ht="18" customHeight="1" spans="1:13" x14ac:dyDescent="0.25">
      <c r="A28" s="24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4"/>
    </row>
    <row r="29" ht="18" customHeight="1" spans="1:13" x14ac:dyDescent="0.25">
      <c r="A29" s="245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4"/>
    </row>
    <row r="30" ht="18" customHeight="1" spans="1:13" x14ac:dyDescent="0.25">
      <c r="A30" s="245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4"/>
    </row>
    <row r="31" ht="18" customHeight="1" spans="1:13" x14ac:dyDescent="0.25">
      <c r="A31" s="245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4"/>
    </row>
    <row r="32" ht="18" customHeight="1" spans="1:13" x14ac:dyDescent="0.25">
      <c r="A32" s="245"/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4"/>
    </row>
    <row r="33" ht="18" customHeight="1" spans="1:13" x14ac:dyDescent="0.25">
      <c r="A33" s="246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8"/>
    </row>
    <row r="34" ht="15.95" customHeight="1" spans="1:13" x14ac:dyDescent="0.25">
      <c r="A34" s="285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</row>
    <row r="35" ht="20.1" customHeight="1" spans="1:13" x14ac:dyDescent="0.25">
      <c r="A35" s="287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</row>
    <row r="36" ht="20.1" customHeight="1" spans="1:13" x14ac:dyDescent="0.25">
      <c r="A36" s="182"/>
      <c r="B36" s="182"/>
      <c r="C36" s="182"/>
      <c r="G36" s="182"/>
      <c r="H36" s="182"/>
      <c r="I36" s="182"/>
      <c r="L36" s="182"/>
      <c r="M36" s="182"/>
    </row>
    <row r="37" spans="1:13" x14ac:dyDescent="0.25">
      <c r="A37" s="183" t="s">
        <v>22</v>
      </c>
      <c r="B37" s="183"/>
      <c r="C37" s="183"/>
      <c r="G37" s="183" t="s">
        <v>56</v>
      </c>
      <c r="H37" s="183"/>
      <c r="I37" s="183"/>
      <c r="L37" s="183" t="s">
        <v>23</v>
      </c>
      <c r="M37" s="18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2026-07-16T00:19:51Z</cp:lastPrinted>
  <dcterms:created xsi:type="dcterms:W3CDTF">2016-08-02T06:12:57Z</dcterms:created>
  <dcterms:modified xsi:type="dcterms:W3CDTF">2026-07-16T00:24:18Z</dcterms:modified>
</cp:coreProperties>
</file>