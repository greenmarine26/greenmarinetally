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8" name="DAMAGE-EACH" state="visible" r:id="rId10"/>
    <sheet sheetId="9" name="Act. Cntr-Seal No List" state="visible" r:id="rId11"/>
    <sheet sheetId="10" name="RF condition report" state="visible" r:id="rId12"/>
    <sheet sheetId="13" name="Performance" state="visible" r:id="rId13"/>
  </sheets>
  <calcPr calcId="171027"/>
</workbook>
</file>

<file path=xl/sharedStrings.xml><?xml version="1.0" encoding="utf-8"?>
<sst xmlns="http://schemas.openxmlformats.org/spreadsheetml/2006/main" count="511" uniqueCount="211">
  <si>
    <t xml:space="preserve">GREEN  MARINE  CO.,  LTD.  </t>
  </si>
  <si>
    <t>FINAL  WORKING  REPORT (VOUCHER)</t>
  </si>
  <si>
    <t xml:space="preserve">M/V   : </t>
  </si>
  <si>
    <t>DONGJIN CONFIDENT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</si>
  <si>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</si>
  <si>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</si>
  <si>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</si>
  <si>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</si>
  <si>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</si>
  <si>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</si>
  <si>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</si>
  <si>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</si>
  <si>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</si>
  <si>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</si>
  <si>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</si>
  <si>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</si>
  <si>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</si>
  <si>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</si>
  <si>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</si>
  <si>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</si>
  <si>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</si>
  <si>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</si>
  <si>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</si>
  <si>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</si>
  <si>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</si>
  <si>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</si>
  <si>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</si>
  <si>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</si>
  <si>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</si>
  <si>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0148N &amp; 0149S</t>
  </si>
  <si>
    <t>DATE : 2026-07-20</t>
  </si>
  <si>
    <r>
      <t>PIER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</si>
  <si>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</si>
  <si>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</si>
  <si>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</si>
  <si>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</si>
  <si>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</si>
  <si>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</si>
  <si>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</si>
  <si>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20th</t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</si>
  <si>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</si>
  <si>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</si>
  <si>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</si>
  <si>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</si>
  <si>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</si>
  <si>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</si>
  <si>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</si>
  <si>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</si>
  <si>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</si>
  <si>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</si>
  <si>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</si>
  <si>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</si>
  <si>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</si>
  <si>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</si>
  <si>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</si>
  <si>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</si>
  <si>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</si>
  <si>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</si>
  <si>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</si>
  <si>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</si>
  <si>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</si>
  <si>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</si>
  <si>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</si>
  <si>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</si>
  <si>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</si>
  <si>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 xml:space="preserve">: 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</si>
  <si>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</si>
  <si>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</si>
  <si>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PCTC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</si>
  <si>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</si>
  <si>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</si>
  <si>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</si>
  <si>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</si>
  <si>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</si>
  <si>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</si>
  <si>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</si>
  <si>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</si>
  <si>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</si>
  <si>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</si>
  <si>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</si>
  <si>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</si>
  <si>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</si>
  <si>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</si>
  <si>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 VOY. NO.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</si>
  <si>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</si>
  <si>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</si>
  <si>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SEAL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</si>
  <si>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</si>
  <si>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    OPERATOR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</si>
  <si>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</si>
  <si>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</si>
  <si>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 xml:space="preserve">            ( Found in stow )</t>
  </si>
  <si>
    <t>-NIL-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</si>
  <si>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</si>
  <si>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</si>
  <si>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</si>
  <si>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</si>
  <si>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</si>
  <si>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</si>
  <si>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</si>
  <si>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</si>
  <si>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</si>
  <si>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</si>
  <si>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</si>
  <si>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</si>
  <si>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</si>
  <si>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</si>
  <si>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</si>
  <si>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</si>
  <si>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</si>
  <si>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</si>
  <si>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</si>
  <si>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</si>
  <si>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</si>
  <si>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</si>
  <si>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</si>
  <si>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</si>
  <si>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</si>
  <si>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</si>
  <si>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</si>
  <si>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</si>
  <si>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DONGJIN CONFIDENT</t>
    </r>
  </si>
  <si>
    <t>DATE  :</t>
  </si>
  <si>
    <r>
      <t xml:space="preserve">VOY.NO.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</si>
  <si>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</si>
  <si>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</si>
  <si>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</si>
  <si>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</si>
  <si>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</si>
  <si>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</si>
  <si>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</si>
  <si>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</si>
  <si>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</si>
  <si>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</si>
  <si>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</si>
  <si>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</si>
  <si>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</si>
  <si>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</si>
  <si>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 DONGJIN CONFIDENT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</si>
  <si>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</si>
  <si>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LOAD.</t>
  </si>
  <si>
    <t>REEFER CONTAINER CONDITION REPORT</t>
  </si>
  <si>
    <t>Disharging  /  Loading</t>
  </si>
  <si>
    <t>( 1/1 )</t>
  </si>
  <si>
    <t>M/V : DONGJIN CONFIDENT</t>
  </si>
  <si>
    <t>VOY # :</t>
  </si>
  <si>
    <t>PIER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</si>
  <si>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</si>
  <si>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</si>
  <si>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</si>
  <si>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</si>
  <si>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</si>
  <si>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</si>
  <si>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</si>
  <si>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</si>
  <si>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</si>
  <si>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HEKER</t>
  </si>
  <si>
    <t>STEVEDORE PCTC</t>
  </si>
  <si>
    <t>CHIEF OFFIER</t>
  </si>
  <si>
    <t>( 2/2 )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</si>
  <si>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</si>
  <si>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</si>
  <si>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</si>
  <si>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</si>
  <si>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</si>
  <si>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</si>
  <si>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OTPU6568405</t>
  </si>
  <si>
    <t>40'RH</t>
  </si>
  <si>
    <t>10:00HRS</t>
  </si>
  <si>
    <t>SGN - DJS</t>
  </si>
  <si>
    <t>GREEN MARINE CO., LTD</t>
  </si>
  <si>
    <t>PERFORMANCE REPORT</t>
  </si>
  <si>
    <r>
      <t xml:space="preserve">M/V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</si>
  <si>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</t>
    </r>
    <r>
      <rPr>
        <b/>
        <charset val="129"/>
        <family val="3"/>
        <scheme val="minor"/>
        <sz val="10"/>
        <rFont val="맑은 고딕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</si>
  <si>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</si>
  <si>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</si>
  <si>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</si>
  <si>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</si>
  <si>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</si>
  <si>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</si>
  <si>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>RH x 8</t>
  </si>
  <si>
    <t>RH x 1</t>
  </si>
  <si>
    <t>20'RF x 1 , RH x 6</t>
  </si>
  <si>
    <t>RH x 6</t>
  </si>
  <si>
    <t>S-TOTAL</t>
  </si>
  <si>
    <t>OUT BOUND</t>
  </si>
  <si>
    <t>20'DG x 6 ( TK x 4 )</t>
  </si>
  <si>
    <t>20'DG x 8 , RH x 1</t>
  </si>
  <si>
    <t>20'TK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</si>
  <si>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</si>
  <si>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</si>
  <si>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</si>
  <si>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</si>
  <si>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</si>
  <si>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</si>
  <si>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</si>
  <si>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</si>
  <si>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</si>
  <si>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LOAD.</t>
  </si>
  <si>
    <t>27th</t>
  </si>
  <si>
    <t>LOAD. OF CONT'R</t>
  </si>
  <si>
    <t>MEAL TIME</t>
  </si>
  <si>
    <t>COMPLETED LOAD. &amp; GANG K/OFF</t>
  </si>
  <si>
    <t>#2 (G/C)</t>
  </si>
  <si>
    <t>COMMENCED DISCH.</t>
  </si>
  <si>
    <t>DISCH. OF CONT'R</t>
  </si>
  <si>
    <t>TEA TIME</t>
  </si>
  <si>
    <t>WORK STOP &amp; GANG K/OFF</t>
  </si>
  <si>
    <t>#3 (G/C)</t>
  </si>
  <si>
    <t>COMPLETED DISCH.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</si>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</sst>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FF0000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family val="3"/>
      <scheme val="minor"/>
      <sz val="22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charset val="129"/>
      <family val="3"/>
      <scheme val="minor"/>
      <sz val="7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0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64" fontId="8" fillId="0" borderId="31" xfId="0" applyNumberFormat="1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36" xfId="0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164" fontId="8" fillId="0" borderId="43" xfId="0" applyNumberFormat="1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shrinkToFit="1"/>
    </xf>
    <xf numFmtId="164" fontId="8" fillId="0" borderId="38" xfId="0" applyNumberFormat="1" applyFont="1" applyBorder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64" fontId="8" fillId="0" borderId="40" xfId="0" applyNumberFormat="1" applyFont="1" applyBorder="1" applyAlignment="1">
      <alignment horizontal="center"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49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165" fontId="8" fillId="0" borderId="44" xfId="0" applyNumberFormat="1" applyFont="1" applyBorder="1" applyAlignment="1">
      <alignment horizontal="center" vertical="center"/>
    </xf>
    <xf numFmtId="165" fontId="8" fillId="0" borderId="45" xfId="0" applyNumberFormat="1" applyFont="1" applyBorder="1" applyAlignment="1">
      <alignment horizontal="center" vertical="center"/>
    </xf>
    <xf numFmtId="165" fontId="8" fillId="0" borderId="43" xfId="0" applyNumberFormat="1" applyFont="1" applyBorder="1" applyAlignment="1">
      <alignment horizontal="center" vertical="center"/>
    </xf>
    <xf numFmtId="165" fontId="8" fillId="0" borderId="46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164" fontId="5" fillId="0" borderId="57" xfId="0" applyNumberFormat="1" applyFont="1" applyBorder="1" applyAlignment="1">
      <alignment horizontal="left" vertical="center" wrapText="1" shrinkToFit="1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wrapText="1" shrinkToFit="1"/>
    </xf>
    <xf numFmtId="164" fontId="7" fillId="0" borderId="60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3" xfId="0" applyNumberFormat="1" applyFont="1" applyBorder="1" applyAlignment="1">
      <alignment horizontal="center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7" fillId="0" borderId="65" xfId="0" applyNumberFormat="1" applyFont="1" applyBorder="1" applyAlignment="1">
      <alignment horizontal="left" vertical="center" wrapText="1" shrinkToFit="1"/>
    </xf>
    <xf numFmtId="164" fontId="7" fillId="0" borderId="66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center" vertical="center" wrapText="1" shrinkToFit="1"/>
    </xf>
    <xf numFmtId="164" fontId="7" fillId="0" borderId="65" xfId="0" applyNumberFormat="1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wrapText="1" shrinkToFit="1"/>
    </xf>
    <xf numFmtId="0" fontId="1" fillId="0" borderId="51" xfId="0" applyFont="1" applyBorder="1"/>
    <xf numFmtId="164" fontId="2" fillId="0" borderId="51" xfId="0" applyNumberFormat="1" applyFont="1" applyBorder="1"/>
    <xf numFmtId="0" fontId="5" fillId="0" borderId="67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8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3" xfId="0" applyFont="1" applyBorder="1" applyAlignment="1">
      <alignment horizontal="left" vertical="center" indent="1"/>
    </xf>
    <xf numFmtId="0" fontId="7" fillId="0" borderId="70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 indent="1"/>
    </xf>
    <xf numFmtId="0" fontId="7" fillId="0" borderId="51" xfId="0" applyFont="1" applyBorder="1" applyAlignment="1">
      <alignment horizontal="left" vertical="center" indent="1"/>
    </xf>
    <xf numFmtId="0" fontId="7" fillId="0" borderId="39" xfId="0" applyFont="1" applyBorder="1" applyAlignment="1">
      <alignment horizontal="left" vertical="center" indent="1"/>
    </xf>
    <xf numFmtId="166" fontId="7" fillId="0" borderId="40" xfId="0" applyNumberFormat="1" applyFont="1" applyBorder="1" applyAlignment="1">
      <alignment horizontal="center" vertical="center"/>
    </xf>
    <xf numFmtId="166" fontId="7" fillId="0" borderId="6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0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left" vertical="center"/>
    </xf>
    <xf numFmtId="0" fontId="7" fillId="0" borderId="65" xfId="0" applyFont="1" applyBorder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 indent="1"/>
    </xf>
    <xf numFmtId="0" fontId="1" fillId="0" borderId="51" xfId="0" applyFon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73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164" fontId="5" fillId="0" borderId="40" xfId="0" applyNumberFormat="1" applyFont="1" applyBorder="1" applyAlignment="1">
      <alignment horizontal="center" vertical="center" wrapText="1" shrinkToFit="1"/>
    </xf>
    <xf numFmtId="0" fontId="5" fillId="0" borderId="39" xfId="0" applyFont="1" applyBorder="1" applyAlignment="1">
      <alignment horizontal="center" vertical="center" wrapText="1" shrinkToFit="1"/>
    </xf>
    <xf numFmtId="164" fontId="5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 shrinkToFit="1"/>
    </xf>
    <xf numFmtId="0" fontId="5" fillId="0" borderId="33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3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 wrapText="1" shrinkToFit="1"/>
    </xf>
    <xf numFmtId="0" fontId="8" fillId="0" borderId="35" xfId="0" applyFont="1" applyBorder="1" applyAlignment="1">
      <alignment vertical="center"/>
    </xf>
    <xf numFmtId="0" fontId="7" fillId="0" borderId="53" xfId="0" applyFont="1" applyBorder="1" applyAlignment="1">
      <alignment horizontal="left" vertical="center"/>
    </xf>
    <xf numFmtId="0" fontId="13" fillId="0" borderId="67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/>
    </xf>
    <xf numFmtId="0" fontId="7" fillId="0" borderId="73" xfId="0" applyFont="1" applyBorder="1" applyAlignment="1">
      <alignment horizontal="center" vertical="center"/>
    </xf>
    <xf numFmtId="0" fontId="7" fillId="0" borderId="6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73" xfId="0" applyFont="1" applyBorder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 wrapText="1" shrinkToFit="1"/>
    </xf>
    <xf numFmtId="0" fontId="8" fillId="0" borderId="35" xfId="0" applyFont="1" applyBorder="1" applyAlignment="1">
      <alignment horizontal="left" vertical="center"/>
    </xf>
    <xf numFmtId="0" fontId="5" fillId="0" borderId="53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35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left" vertical="center"/>
    </xf>
    <xf numFmtId="0" fontId="12" fillId="0" borderId="30" xfId="0" applyFont="1" applyBorder="1" applyAlignment="1">
      <alignment vertical="center"/>
    </xf>
    <xf numFmtId="0" fontId="14" fillId="0" borderId="3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69" xfId="0" applyFont="1" applyBorder="1" applyAlignment="1">
      <alignment horizontal="left" vertical="center" shrinkToFit="1"/>
    </xf>
    <xf numFmtId="0" fontId="7" fillId="0" borderId="26" xfId="0" applyFont="1" applyBorder="1" applyAlignment="1">
      <alignment horizontal="left" vertical="center" shrinkToFit="1"/>
    </xf>
    <xf numFmtId="0" fontId="7" fillId="0" borderId="28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53" xfId="0" applyFont="1" applyBorder="1"/>
    <xf numFmtId="0" fontId="7" fillId="0" borderId="67" xfId="0" applyFont="1" applyBorder="1"/>
    <xf numFmtId="0" fontId="7" fillId="0" borderId="56" xfId="0" applyFont="1" applyBorder="1"/>
    <xf numFmtId="0" fontId="7" fillId="0" borderId="36" xfId="0" applyFont="1" applyBorder="1"/>
    <xf numFmtId="0" fontId="7" fillId="0" borderId="74" xfId="0" applyFont="1" applyBorder="1"/>
    <xf numFmtId="0" fontId="7" fillId="0" borderId="40" xfId="0" applyFont="1" applyBorder="1"/>
    <xf numFmtId="0" fontId="7" fillId="0" borderId="51" xfId="0" applyFont="1" applyBorder="1"/>
    <xf numFmtId="0" fontId="7" fillId="0" borderId="39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78" xfId="0" applyFont="1" applyBorder="1" applyAlignment="1">
      <alignment vertical="center"/>
    </xf>
    <xf numFmtId="0" fontId="7" fillId="0" borderId="78" xfId="0" applyFont="1" applyBorder="1" applyAlignment="1">
      <alignment horizontal="left" vertical="center"/>
    </xf>
    <xf numFmtId="0" fontId="7" fillId="0" borderId="78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8" fillId="0" borderId="7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/>
    </xf>
    <xf numFmtId="164" fontId="1" fillId="0" borderId="7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9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81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73" xfId="0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 shrinkToFit="1"/>
    </xf>
    <xf numFmtId="0" fontId="16" fillId="0" borderId="84" xfId="0" applyFont="1" applyBorder="1" applyAlignment="1">
      <alignment horizontal="center" vertical="center" shrinkToFit="1"/>
    </xf>
    <xf numFmtId="0" fontId="16" fillId="0" borderId="85" xfId="0" applyFont="1" applyBorder="1" applyAlignment="1">
      <alignment horizontal="center" vertical="center" shrinkToFit="1"/>
    </xf>
    <xf numFmtId="0" fontId="16" fillId="0" borderId="47" xfId="0" applyFont="1" applyBorder="1" applyAlignment="1">
      <alignment horizontal="center" vertical="center" shrinkToFit="1"/>
    </xf>
    <xf numFmtId="49" fontId="7" fillId="0" borderId="73" xfId="0" applyNumberFormat="1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16" fillId="0" borderId="45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16" fillId="0" borderId="38" xfId="0" applyFont="1" applyBorder="1" applyAlignment="1">
      <alignment horizontal="center" vertical="center" shrinkToFit="1"/>
    </xf>
    <xf numFmtId="0" fontId="16" fillId="0" borderId="35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6" fillId="0" borderId="73" xfId="0" applyFont="1" applyBorder="1" applyAlignment="1">
      <alignment vertical="center" shrinkToFit="1"/>
    </xf>
    <xf numFmtId="0" fontId="16" fillId="0" borderId="84" xfId="0" applyFont="1" applyBorder="1" applyAlignment="1">
      <alignment vertical="center" shrinkToFit="1"/>
    </xf>
    <xf numFmtId="0" fontId="16" fillId="0" borderId="45" xfId="0" applyFont="1" applyBorder="1" applyAlignment="1">
      <alignment vertical="center" shrinkToFit="1"/>
    </xf>
    <xf numFmtId="0" fontId="16" fillId="0" borderId="46" xfId="0" applyFont="1" applyBorder="1" applyAlignment="1">
      <alignment vertical="center" shrinkToFit="1"/>
    </xf>
    <xf numFmtId="0" fontId="1" fillId="0" borderId="3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49" fontId="16" fillId="2" borderId="83" xfId="0" applyNumberFormat="1" applyFont="1" applyFill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49" fontId="16" fillId="2" borderId="73" xfId="0" applyNumberFormat="1" applyFont="1" applyFill="1" applyBorder="1" applyAlignment="1">
      <alignment horizontal="center" vertical="center" shrinkToFit="1"/>
    </xf>
    <xf numFmtId="49" fontId="16" fillId="2" borderId="54" xfId="0" applyNumberFormat="1" applyFont="1" applyFill="1" applyBorder="1" applyAlignment="1">
      <alignment horizontal="center" vertical="center" shrinkToFit="1"/>
    </xf>
    <xf numFmtId="49" fontId="16" fillId="2" borderId="35" xfId="0" applyNumberFormat="1" applyFont="1" applyFill="1" applyBorder="1" applyAlignment="1">
      <alignment horizontal="center" vertical="center" shrinkToFit="1"/>
    </xf>
    <xf numFmtId="0" fontId="7" fillId="0" borderId="55" xfId="0" applyFont="1" applyBorder="1" applyAlignment="1">
      <alignment horizontal="center" vertical="center" shrinkToFit="1"/>
    </xf>
    <xf numFmtId="49" fontId="16" fillId="2" borderId="49" xfId="0" applyNumberFormat="1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2" xfId="0" applyNumberFormat="1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49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73" xfId="0" applyFont="1" applyBorder="1" applyAlignment="1">
      <alignment horizontal="center" vertical="center" shrinkToFit="1"/>
    </xf>
    <xf numFmtId="49" fontId="8" fillId="0" borderId="73" xfId="0" applyNumberFormat="1" applyFont="1" applyBorder="1" applyAlignment="1">
      <alignment horizontal="center" vertical="center" shrinkToFit="1"/>
    </xf>
    <xf numFmtId="0" fontId="8" fillId="0" borderId="84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49" fontId="8" fillId="0" borderId="45" xfId="0" applyNumberFormat="1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67" fontId="7" fillId="0" borderId="25" xfId="0" applyNumberFormat="1" applyFont="1" applyBorder="1" applyAlignment="1">
      <alignment horizontal="center" vertical="center" shrinkToFit="1"/>
    </xf>
    <xf numFmtId="168" fontId="7" fillId="0" borderId="25" xfId="0" applyNumberFormat="1" applyFont="1" applyBorder="1" applyAlignment="1">
      <alignment horizontal="center" vertical="center"/>
    </xf>
    <xf numFmtId="167" fontId="7" fillId="0" borderId="33" xfId="0" applyNumberFormat="1" applyFont="1" applyBorder="1" applyAlignment="1">
      <alignment horizontal="center" vertical="center" shrinkToFit="1"/>
    </xf>
    <xf numFmtId="168" fontId="7" fillId="0" borderId="33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167" fontId="7" fillId="0" borderId="45" xfId="0" applyNumberFormat="1" applyFont="1" applyBorder="1" applyAlignment="1">
      <alignment horizontal="center" vertical="center" shrinkToFit="1"/>
    </xf>
    <xf numFmtId="168" fontId="7" fillId="0" borderId="45" xfId="0" applyNumberFormat="1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wrapText="1"/>
    </xf>
    <xf numFmtId="167" fontId="7" fillId="0" borderId="30" xfId="0" applyNumberFormat="1" applyFont="1" applyBorder="1" applyAlignment="1">
      <alignment horizontal="center" vertical="center" shrinkToFit="1"/>
    </xf>
    <xf numFmtId="168" fontId="7" fillId="0" borderId="30" xfId="0" applyNumberFormat="1" applyFont="1" applyBorder="1" applyAlignment="1">
      <alignment horizontal="center" vertical="center"/>
    </xf>
    <xf numFmtId="0" fontId="7" fillId="3" borderId="73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67" fontId="7" fillId="0" borderId="11" xfId="0" applyNumberFormat="1" applyFont="1" applyBorder="1" applyAlignment="1">
      <alignment horizontal="center" vertical="center" shrinkToFit="1"/>
    </xf>
    <xf numFmtId="168" fontId="7" fillId="0" borderId="11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49" fontId="18" fillId="4" borderId="30" xfId="0" applyNumberFormat="1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49" fontId="18" fillId="4" borderId="33" xfId="0" applyNumberFormat="1" applyFont="1" applyFill="1" applyBorder="1" applyAlignment="1">
      <alignment horizontal="center" vertical="center"/>
    </xf>
    <xf numFmtId="168" fontId="7" fillId="0" borderId="73" xfId="0" applyNumberFormat="1" applyFont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49" fontId="18" fillId="4" borderId="45" xfId="0" applyNumberFormat="1" applyFont="1" applyFill="1" applyBorder="1" applyAlignment="1">
      <alignment horizontal="center" vertical="center"/>
    </xf>
    <xf numFmtId="0" fontId="19" fillId="3" borderId="45" xfId="0" applyFont="1" applyFill="1" applyBorder="1" applyAlignment="1">
      <alignment horizontal="center" vertical="center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>
      <alignment horizontal="center" vertical="center" wrapText="1"/>
    </xf>
    <xf numFmtId="167" fontId="18" fillId="0" borderId="30" xfId="0" applyNumberFormat="1" applyFont="1" applyBorder="1" applyAlignment="1">
      <alignment horizontal="center" vertical="center" shrinkToFit="1"/>
    </xf>
    <xf numFmtId="49" fontId="18" fillId="0" borderId="30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>
      <alignment horizontal="center" vertical="center" wrapText="1"/>
    </xf>
    <xf numFmtId="167" fontId="18" fillId="0" borderId="33" xfId="0" applyNumberFormat="1" applyFont="1" applyBorder="1" applyAlignment="1">
      <alignment horizontal="center" vertical="center" shrinkToFit="1"/>
    </xf>
    <xf numFmtId="20" fontId="7" fillId="0" borderId="33" xfId="0" applyNumberFormat="1" applyFont="1" applyBorder="1" applyAlignment="1">
      <alignment horizontal="center" vertical="center"/>
    </xf>
    <xf numFmtId="49" fontId="18" fillId="0" borderId="33" xfId="0" applyNumberFormat="1" applyFont="1" applyBorder="1" applyAlignment="1">
      <alignment horizontal="center" vertical="center" shrinkToFit="1"/>
    </xf>
    <xf numFmtId="49" fontId="18" fillId="0" borderId="45" xfId="0" applyNumberFormat="1" applyFont="1" applyBorder="1" applyAlignment="1">
      <alignment horizontal="center" vertical="center" shrinkToFit="1"/>
    </xf>
    <xf numFmtId="0" fontId="16" fillId="0" borderId="45" xfId="0" applyFont="1" applyBorder="1" applyAlignment="1">
      <alignment horizontal="center" vertical="center" wrapText="1"/>
    </xf>
    <xf numFmtId="167" fontId="18" fillId="0" borderId="45" xfId="0" applyNumberFormat="1" applyFont="1" applyBorder="1" applyAlignment="1">
      <alignment horizontal="center" vertical="center" shrinkToFit="1"/>
    </xf>
    <xf numFmtId="20" fontId="7" fillId="0" borderId="45" xfId="0" applyNumberFormat="1" applyFont="1" applyBorder="1" applyAlignment="1">
      <alignment horizontal="center" vertical="center"/>
    </xf>
    <xf numFmtId="20" fontId="7" fillId="0" borderId="30" xfId="0" applyNumberFormat="1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20" fontId="7" fillId="0" borderId="73" xfId="0" applyNumberFormat="1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 wrapText="1"/>
    </xf>
    <xf numFmtId="0" fontId="8" fillId="3" borderId="73" xfId="0" applyFont="1" applyFill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5" fillId="0" borderId="65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60" xfId="0" applyFont="1" applyBorder="1" applyAlignment="1">
      <alignment horizontal="right" vertical="center"/>
    </xf>
    <xf numFmtId="0" fontId="7" fillId="0" borderId="49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69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9" fontId="24" fillId="0" borderId="82" xfId="0" applyNumberFormat="1" applyFont="1" applyBorder="1" applyAlignment="1">
      <alignment horizontal="left" vertical="center"/>
    </xf>
    <xf numFmtId="169" fontId="24" fillId="0" borderId="26" xfId="0" applyNumberFormat="1" applyFont="1" applyBorder="1" applyAlignment="1">
      <alignment horizontal="left" vertical="center"/>
    </xf>
    <xf numFmtId="169" fontId="24" fillId="0" borderId="27" xfId="0" applyNumberFormat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0" fontId="24" fillId="0" borderId="8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83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9" fontId="24" fillId="0" borderId="80" xfId="0" applyNumberFormat="1" applyFont="1" applyBorder="1" applyAlignment="1">
      <alignment horizontal="left" vertical="center"/>
    </xf>
    <xf numFmtId="169" fontId="24" fillId="0" borderId="18" xfId="0" applyNumberFormat="1" applyFont="1" applyBorder="1" applyAlignment="1">
      <alignment horizontal="left" vertical="center"/>
    </xf>
    <xf numFmtId="169" fontId="24" fillId="0" borderId="19" xfId="0" applyNumberFormat="1" applyFont="1" applyBorder="1" applyAlignment="1">
      <alignment horizontal="left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165" fontId="14" fillId="0" borderId="93" xfId="0" applyNumberFormat="1" applyFont="1" applyBorder="1" applyAlignment="1">
      <alignment horizontal="center" vertical="center" shrinkToFit="1"/>
    </xf>
    <xf numFmtId="165" fontId="14" fillId="0" borderId="94" xfId="0" applyNumberFormat="1" applyFont="1" applyBorder="1" applyAlignment="1">
      <alignment horizontal="center" vertical="center" shrinkToFit="1"/>
    </xf>
    <xf numFmtId="165" fontId="14" fillId="0" borderId="90" xfId="0" applyNumberFormat="1" applyFont="1" applyBorder="1" applyAlignment="1">
      <alignment horizontal="center" vertical="center" shrinkToFit="1"/>
    </xf>
    <xf numFmtId="165" fontId="14" fillId="0" borderId="92" xfId="0" applyNumberFormat="1" applyFont="1" applyBorder="1" applyAlignment="1">
      <alignment horizontal="center" vertical="center" shrinkToFit="1"/>
    </xf>
    <xf numFmtId="165" fontId="14" fillId="0" borderId="93" xfId="0" applyNumberFormat="1" applyFont="1" applyBorder="1" applyAlignment="1">
      <alignment horizontal="center" vertical="center"/>
    </xf>
    <xf numFmtId="165" fontId="14" fillId="0" borderId="91" xfId="0" applyNumberFormat="1" applyFont="1" applyBorder="1" applyAlignment="1">
      <alignment horizontal="center" vertical="center"/>
    </xf>
    <xf numFmtId="165" fontId="14" fillId="0" borderId="92" xfId="0" applyNumberFormat="1" applyFont="1" applyBorder="1" applyAlignment="1">
      <alignment horizontal="center" vertical="center"/>
    </xf>
    <xf numFmtId="0" fontId="25" fillId="0" borderId="93" xfId="0" applyFont="1" applyBorder="1" applyAlignment="1">
      <alignment horizontal="left" vertical="center"/>
    </xf>
    <xf numFmtId="0" fontId="25" fillId="0" borderId="91" xfId="0" applyFont="1" applyBorder="1" applyAlignment="1">
      <alignment horizontal="left" vertical="center"/>
    </xf>
    <xf numFmtId="0" fontId="25" fillId="0" borderId="92" xfId="0" applyFont="1" applyBorder="1" applyAlignment="1">
      <alignment horizontal="left" vertical="center"/>
    </xf>
    <xf numFmtId="0" fontId="7" fillId="0" borderId="60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96" xfId="0" applyNumberFormat="1" applyFont="1" applyBorder="1" applyAlignment="1">
      <alignment horizontal="center" vertical="center"/>
    </xf>
    <xf numFmtId="165" fontId="7" fillId="0" borderId="51" xfId="0" applyNumberFormat="1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vertical="center" wrapText="1" shrinkToFit="1"/>
    </xf>
    <xf numFmtId="0" fontId="24" fillId="0" borderId="8" xfId="0" applyFont="1" applyBorder="1" applyAlignment="1">
      <alignment vertical="center" wrapText="1" shrinkToFit="1"/>
    </xf>
    <xf numFmtId="0" fontId="24" fillId="0" borderId="9" xfId="0" applyFont="1" applyBorder="1" applyAlignment="1">
      <alignment vertical="center" wrapText="1" shrinkToFit="1"/>
    </xf>
    <xf numFmtId="0" fontId="24" fillId="0" borderId="83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4" xfId="0" applyFont="1" applyBorder="1" applyAlignment="1">
      <alignment vertical="center"/>
    </xf>
    <xf numFmtId="49" fontId="7" fillId="0" borderId="75" xfId="0" applyNumberFormat="1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49" fontId="24" fillId="0" borderId="80" xfId="0" applyNumberFormat="1" applyFont="1" applyBorder="1" applyAlignment="1">
      <alignment vertical="center"/>
    </xf>
    <xf numFmtId="49" fontId="24" fillId="0" borderId="18" xfId="0" applyNumberFormat="1" applyFont="1" applyBorder="1" applyAlignment="1">
      <alignment vertical="center"/>
    </xf>
    <xf numFmtId="49" fontId="24" fillId="0" borderId="19" xfId="0" applyNumberFormat="1" applyFont="1" applyBorder="1" applyAlignment="1">
      <alignment vertical="center"/>
    </xf>
    <xf numFmtId="165" fontId="14" fillId="0" borderId="91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0" fontId="25" fillId="0" borderId="80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7" fillId="0" borderId="93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7" fillId="0" borderId="4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0" fontId="8" fillId="0" borderId="83" xfId="0" applyNumberFormat="1" applyFont="1" applyBorder="1" applyAlignment="1">
      <alignment horizontal="center" vertical="center"/>
    </xf>
    <xf numFmtId="170" fontId="8" fillId="0" borderId="2" xfId="0" applyNumberFormat="1" applyFont="1" applyBorder="1" applyAlignment="1">
      <alignment horizontal="center" vertical="center"/>
    </xf>
    <xf numFmtId="170" fontId="8" fillId="0" borderId="3" xfId="0" applyNumberFormat="1" applyFont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171" fontId="8" fillId="0" borderId="83" xfId="0" applyNumberFormat="1" applyFont="1" applyBorder="1" applyAlignment="1">
      <alignment horizontal="center" vertical="center"/>
    </xf>
    <xf numFmtId="171" fontId="8" fillId="0" borderId="2" xfId="0" applyNumberFormat="1" applyFont="1" applyBorder="1" applyAlignment="1">
      <alignment horizontal="center" vertical="center"/>
    </xf>
    <xf numFmtId="171" fontId="8" fillId="0" borderId="34" xfId="0" applyNumberFormat="1" applyFont="1" applyBorder="1" applyAlignment="1">
      <alignment horizontal="center" vertical="center"/>
    </xf>
    <xf numFmtId="0" fontId="8" fillId="0" borderId="83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8" fillId="0" borderId="34" xfId="0" applyFont="1" applyBorder="1" applyAlignment="1">
      <alignment horizontal="left" vertical="center" indent="1"/>
    </xf>
    <xf numFmtId="0" fontId="8" fillId="0" borderId="101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170" fontId="8" fillId="0" borderId="85" xfId="0" applyNumberFormat="1" applyFont="1" applyBorder="1" applyAlignment="1">
      <alignment horizontal="center" vertical="center"/>
    </xf>
    <xf numFmtId="170" fontId="8" fillId="0" borderId="70" xfId="0" applyNumberFormat="1" applyFont="1" applyBorder="1" applyAlignment="1">
      <alignment horizontal="center" vertical="center"/>
    </xf>
    <xf numFmtId="170" fontId="8" fillId="0" borderId="47" xfId="0" applyNumberFormat="1" applyFont="1" applyBorder="1" applyAlignment="1">
      <alignment horizontal="center" vertical="center"/>
    </xf>
    <xf numFmtId="170" fontId="8" fillId="0" borderId="103" xfId="0" applyNumberFormat="1" applyFont="1" applyBorder="1" applyAlignment="1">
      <alignment horizontal="center" vertical="center"/>
    </xf>
    <xf numFmtId="171" fontId="8" fillId="0" borderId="85" xfId="0" applyNumberFormat="1" applyFont="1" applyBorder="1" applyAlignment="1">
      <alignment horizontal="center" vertical="center"/>
    </xf>
    <xf numFmtId="171" fontId="8" fillId="0" borderId="70" xfId="0" applyNumberFormat="1" applyFont="1" applyBorder="1" applyAlignment="1">
      <alignment horizontal="center" vertical="center"/>
    </xf>
    <xf numFmtId="171" fontId="8" fillId="0" borderId="103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71" fontId="27" fillId="0" borderId="57" xfId="0" applyNumberFormat="1" applyFont="1" applyBorder="1" applyAlignment="1">
      <alignment horizontal="center" vertical="center"/>
    </xf>
    <xf numFmtId="171" fontId="27" fillId="0" borderId="58" xfId="0" applyNumberFormat="1" applyFont="1" applyBorder="1" applyAlignment="1">
      <alignment horizontal="center" vertical="center"/>
    </xf>
    <xf numFmtId="171" fontId="27" fillId="0" borderId="5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85" xfId="0" applyFont="1" applyBorder="1" applyAlignment="1">
      <alignment horizontal="left" vertical="center" indent="1"/>
    </xf>
    <xf numFmtId="0" fontId="8" fillId="0" borderId="70" xfId="0" applyFont="1" applyBorder="1" applyAlignment="1">
      <alignment horizontal="left" vertical="center" indent="1"/>
    </xf>
    <xf numFmtId="0" fontId="8" fillId="0" borderId="103" xfId="0" applyFont="1" applyBorder="1" applyAlignment="1">
      <alignment horizontal="left" vertical="center" indent="1"/>
    </xf>
    <xf numFmtId="171" fontId="27" fillId="0" borderId="104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left" vertical="center" indent="1"/>
    </xf>
    <xf numFmtId="0" fontId="8" fillId="0" borderId="58" xfId="0" applyFont="1" applyBorder="1" applyAlignment="1">
      <alignment horizontal="left" vertical="center" indent="1"/>
    </xf>
    <xf numFmtId="0" fontId="8" fillId="0" borderId="59" xfId="0" applyFont="1" applyBorder="1" applyAlignment="1">
      <alignment horizontal="left" vertical="center" indent="1"/>
    </xf>
    <xf numFmtId="171" fontId="8" fillId="0" borderId="0" xfId="0" applyNumberFormat="1" applyFont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11</xdr:row>
      <xdr:rowOff>0</xdr:rowOff>
    </xdr:from>
    <xdr:to>
      <xdr:col>12</xdr:col>
      <xdr:colOff>381000</xdr:colOff>
      <xdr:row>30</xdr:row>
      <xdr:rowOff>8467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39" t="s">
        <v>26</v>
      </c>
      <c r="B2" s="139"/>
      <c r="C2" s="139"/>
      <c r="D2" s="139"/>
      <c r="E2" s="139"/>
      <c r="F2" s="139"/>
      <c r="G2" s="139"/>
      <c r="H2" s="13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0" t="s">
        <v>27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1.25" customHeight="1" spans="1:25" x14ac:dyDescent="0.25">
      <c r="A4" s="141"/>
      <c r="B4" s="141"/>
      <c r="C4" s="141"/>
      <c r="D4" s="141"/>
      <c r="E4" s="141"/>
      <c r="F4" s="141"/>
      <c r="G4" s="141"/>
      <c r="H4" s="14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9" customFormat="1" x14ac:dyDescent="0.25">
      <c r="A5" s="9" t="s">
        <v>28</v>
      </c>
      <c r="B5" s="142" t="s">
        <v>3</v>
      </c>
      <c r="C5" s="142"/>
      <c r="D5" s="9" t="s">
        <v>29</v>
      </c>
      <c r="E5" s="9"/>
      <c r="F5" s="9"/>
      <c r="G5" s="9" t="s">
        <v>30</v>
      </c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1.25" customHeight="1" spans="1:25" s="9" customForma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4" customHeight="1" spans="1:25" s="9" customFormat="1" x14ac:dyDescent="0.25">
      <c r="A7" s="9" t="s">
        <v>31</v>
      </c>
      <c r="B7" s="143" t="s">
        <v>32</v>
      </c>
      <c r="C7" s="144"/>
      <c r="D7" s="112" t="s">
        <v>33</v>
      </c>
      <c r="E7" s="112">
        <f>'Final Work'!G6</f>
        <v>6</v>
      </c>
      <c r="F7" s="143"/>
      <c r="G7" s="145" t="s">
        <v>34</v>
      </c>
      <c r="H7" s="18" t="s">
        <v>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1.25" customHeight="1" spans="1:25" s="9" customForma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5" customHeight="1" spans="1:25" s="9" customFormat="1" x14ac:dyDescent="0.25">
      <c r="A9" s="9"/>
      <c r="B9" s="9"/>
      <c r="C9" s="9"/>
      <c r="D9" s="9"/>
      <c r="E9" s="9"/>
      <c r="F9" s="9"/>
      <c r="G9" s="9"/>
      <c r="H9" s="144" t="s">
        <v>36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1.25" customHeight="1" spans="1:25" s="9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4.75" customHeight="1" spans="1:25" s="9" customFormat="1" x14ac:dyDescent="0.25">
      <c r="A11" s="146" t="s">
        <v>37</v>
      </c>
      <c r="B11" s="147"/>
      <c r="C11" s="148" t="s">
        <v>38</v>
      </c>
      <c r="D11" s="148"/>
      <c r="E11" s="148"/>
      <c r="F11" s="148"/>
      <c r="G11" s="148"/>
      <c r="H11" s="14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7.7" customHeight="1" spans="1:25" s="9" customFormat="1" x14ac:dyDescent="0.25">
      <c r="A12" s="149" t="s">
        <v>39</v>
      </c>
      <c r="B12" s="150"/>
      <c r="C12" s="151"/>
      <c r="D12" s="151"/>
      <c r="E12" s="151"/>
      <c r="F12" s="151"/>
      <c r="G12" s="151"/>
      <c r="H12" s="15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7.7" customHeight="1" spans="1:25" x14ac:dyDescent="0.25">
      <c r="A13" s="152"/>
      <c r="B13" s="153"/>
      <c r="C13" s="154"/>
      <c r="D13" s="154"/>
      <c r="E13" s="154"/>
      <c r="F13" s="154"/>
      <c r="G13" s="154"/>
      <c r="H13" s="15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7.7" customHeight="1" spans="1:25" x14ac:dyDescent="0.25">
      <c r="A14" s="152"/>
      <c r="B14" s="155"/>
      <c r="C14" s="156"/>
      <c r="D14" s="157"/>
      <c r="E14" s="157"/>
      <c r="F14" s="157"/>
      <c r="G14" s="157"/>
      <c r="H14" s="15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7.7" customHeight="1" spans="1:25" x14ac:dyDescent="0.25">
      <c r="A15" s="152"/>
      <c r="B15" s="155"/>
      <c r="C15" s="156"/>
      <c r="D15" s="157"/>
      <c r="E15" s="157"/>
      <c r="F15" s="157"/>
      <c r="G15" s="157"/>
      <c r="H15" s="15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7.7" customHeight="1" spans="1:25" x14ac:dyDescent="0.25">
      <c r="A16" s="159"/>
      <c r="B16" s="160"/>
      <c r="C16" s="161"/>
      <c r="D16" s="162"/>
      <c r="E16" s="162"/>
      <c r="F16" s="162"/>
      <c r="G16" s="162"/>
      <c r="H16" s="16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7.7" customHeight="1" spans="1:25" x14ac:dyDescent="0.25">
      <c r="A17" s="164"/>
      <c r="B17" s="165"/>
      <c r="C17" s="166"/>
      <c r="D17" s="167"/>
      <c r="E17" s="167"/>
      <c r="F17" s="167"/>
      <c r="G17" s="167"/>
      <c r="H17" s="16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7.7" customHeight="1" spans="1:25" x14ac:dyDescent="0.25">
      <c r="A18" s="169"/>
      <c r="B18" s="165"/>
      <c r="C18" s="156"/>
      <c r="D18" s="157"/>
      <c r="E18" s="157"/>
      <c r="F18" s="157"/>
      <c r="G18" s="157"/>
      <c r="H18" s="158"/>
      <c r="I18" s="3"/>
      <c r="J18" s="3" t="s">
        <v>40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7.7" customHeight="1" spans="1:25" x14ac:dyDescent="0.25">
      <c r="A19" s="170"/>
      <c r="B19" s="155"/>
      <c r="C19" s="156"/>
      <c r="D19" s="157"/>
      <c r="E19" s="157"/>
      <c r="F19" s="157"/>
      <c r="G19" s="157"/>
      <c r="H19" s="15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7.7" customHeight="1" spans="1:25" x14ac:dyDescent="0.25">
      <c r="A20" s="170"/>
      <c r="B20" s="165"/>
      <c r="C20" s="166"/>
      <c r="D20" s="167"/>
      <c r="E20" s="167"/>
      <c r="F20" s="167"/>
      <c r="G20" s="167"/>
      <c r="H20" s="16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7.7" customHeight="1" spans="1:25" x14ac:dyDescent="0.25">
      <c r="A21" s="159"/>
      <c r="B21" s="160"/>
      <c r="C21" s="161"/>
      <c r="D21" s="162"/>
      <c r="E21" s="162"/>
      <c r="F21" s="162"/>
      <c r="G21" s="162"/>
      <c r="H21" s="16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.7" customHeight="1" spans="1:25" x14ac:dyDescent="0.25">
      <c r="A22" s="29"/>
      <c r="B22" s="27"/>
      <c r="C22" s="171"/>
      <c r="D22" s="172"/>
      <c r="E22" s="172"/>
      <c r="F22" s="172"/>
      <c r="G22" s="172"/>
      <c r="H22" s="173"/>
      <c r="I22" s="3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7.7" customHeight="1" spans="1:25" x14ac:dyDescent="0.25">
      <c r="A23" s="169"/>
      <c r="B23" s="165"/>
      <c r="C23" s="174"/>
      <c r="D23" s="174"/>
      <c r="E23" s="174"/>
      <c r="F23" s="174"/>
      <c r="G23" s="174"/>
      <c r="H23" s="174"/>
      <c r="I23" s="3"/>
      <c r="J23" s="4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7.7" customHeight="1" spans="1:25" x14ac:dyDescent="0.25">
      <c r="A24" s="164"/>
      <c r="B24" s="165"/>
      <c r="C24" s="166"/>
      <c r="D24" s="167"/>
      <c r="E24" s="167"/>
      <c r="F24" s="167"/>
      <c r="G24" s="167"/>
      <c r="H24" s="168"/>
      <c r="I24" s="3"/>
      <c r="J24" s="40"/>
      <c r="K24" s="3"/>
      <c r="L24" s="3"/>
      <c r="M24" s="17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7.7" customHeight="1" spans="1:25" x14ac:dyDescent="0.25">
      <c r="A25" s="170"/>
      <c r="B25" s="165"/>
      <c r="C25" s="166"/>
      <c r="D25" s="167"/>
      <c r="E25" s="167"/>
      <c r="F25" s="167"/>
      <c r="G25" s="167"/>
      <c r="H25" s="168"/>
      <c r="I25" s="3"/>
      <c r="J25" s="3"/>
      <c r="K25" s="3"/>
      <c r="L25" s="3"/>
      <c r="M25" s="17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7.7" customHeight="1" spans="1:25" x14ac:dyDescent="0.25">
      <c r="A26" s="159"/>
      <c r="B26" s="160"/>
      <c r="C26" s="161"/>
      <c r="D26" s="162"/>
      <c r="E26" s="162"/>
      <c r="F26" s="162"/>
      <c r="G26" s="162"/>
      <c r="H26" s="16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7.7" customHeight="1" spans="1:25" x14ac:dyDescent="0.25">
      <c r="A27" s="164"/>
      <c r="B27" s="155"/>
      <c r="C27" s="156"/>
      <c r="D27" s="157"/>
      <c r="E27" s="157"/>
      <c r="F27" s="157"/>
      <c r="G27" s="157"/>
      <c r="H27" s="158"/>
      <c r="I27" s="4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7.7" customHeight="1" spans="1:25" x14ac:dyDescent="0.25">
      <c r="A28" s="164"/>
      <c r="B28" s="165"/>
      <c r="C28" s="166"/>
      <c r="D28" s="167"/>
      <c r="E28" s="167"/>
      <c r="F28" s="167"/>
      <c r="G28" s="167"/>
      <c r="H28" s="168"/>
      <c r="I28" s="4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7.7" customHeight="1" spans="1:25" x14ac:dyDescent="0.25">
      <c r="A29" s="170"/>
      <c r="B29" s="165"/>
      <c r="C29" s="174"/>
      <c r="D29" s="174"/>
      <c r="E29" s="174"/>
      <c r="F29" s="174"/>
      <c r="G29" s="174"/>
      <c r="H29" s="174"/>
      <c r="I29" s="4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7.7" customHeight="1" spans="1:25" x14ac:dyDescent="0.25">
      <c r="A30" s="176"/>
      <c r="B30" s="155"/>
      <c r="C30" s="156"/>
      <c r="D30" s="157"/>
      <c r="E30" s="157"/>
      <c r="F30" s="157"/>
      <c r="G30" s="157"/>
      <c r="H30" s="15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7.7" customHeight="1" spans="1:25" x14ac:dyDescent="0.25">
      <c r="A31" s="159"/>
      <c r="B31" s="160"/>
      <c r="C31" s="161"/>
      <c r="D31" s="162"/>
      <c r="E31" s="162"/>
      <c r="F31" s="162"/>
      <c r="G31" s="162"/>
      <c r="H31" s="1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7.7" customHeight="1" spans="1:25" x14ac:dyDescent="0.25">
      <c r="A32" s="29"/>
      <c r="B32" s="165"/>
      <c r="C32" s="166"/>
      <c r="D32" s="167"/>
      <c r="E32" s="167"/>
      <c r="F32" s="167"/>
      <c r="G32" s="167"/>
      <c r="H32" s="16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7.7" customHeight="1" spans="1:25" x14ac:dyDescent="0.25">
      <c r="A33" s="170"/>
      <c r="B33" s="165"/>
      <c r="C33" s="166"/>
      <c r="D33" s="167"/>
      <c r="E33" s="167"/>
      <c r="F33" s="167"/>
      <c r="G33" s="167"/>
      <c r="H33" s="16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7.7" customHeight="1" spans="1:25" x14ac:dyDescent="0.25">
      <c r="A34" s="152"/>
      <c r="B34" s="165"/>
      <c r="C34" s="174"/>
      <c r="D34" s="174"/>
      <c r="E34" s="174"/>
      <c r="F34" s="174"/>
      <c r="G34" s="174"/>
      <c r="H34" s="17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7.7" customHeight="1" spans="1:25" x14ac:dyDescent="0.25">
      <c r="A35" s="176"/>
      <c r="B35" s="155"/>
      <c r="C35" s="156"/>
      <c r="D35" s="157"/>
      <c r="E35" s="157"/>
      <c r="F35" s="157"/>
      <c r="G35" s="157"/>
      <c r="H35" s="15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7.7" customHeight="1" spans="1:25" x14ac:dyDescent="0.25">
      <c r="A36" s="177"/>
      <c r="B36" s="178"/>
      <c r="C36" s="179"/>
      <c r="D36" s="180"/>
      <c r="E36" s="180"/>
      <c r="F36" s="180"/>
      <c r="G36" s="180"/>
      <c r="H36" s="18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7.7" customHeight="1" hidden="1" spans="1:25" x14ac:dyDescent="0.25">
      <c r="A37" s="29"/>
      <c r="B37" s="165"/>
      <c r="C37" s="166"/>
      <c r="D37" s="167"/>
      <c r="E37" s="167"/>
      <c r="F37" s="167"/>
      <c r="G37" s="167"/>
      <c r="H37" s="16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7.7" customHeight="1" hidden="1" spans="1:25" x14ac:dyDescent="0.25">
      <c r="A38" s="170"/>
      <c r="B38" s="155"/>
      <c r="C38" s="156"/>
      <c r="D38" s="157"/>
      <c r="E38" s="157"/>
      <c r="F38" s="157"/>
      <c r="G38" s="157"/>
      <c r="H38" s="15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7.7" customHeight="1" hidden="1" spans="1:25" x14ac:dyDescent="0.25">
      <c r="A39" s="152"/>
      <c r="B39" s="155"/>
      <c r="C39" s="156"/>
      <c r="D39" s="157"/>
      <c r="E39" s="157"/>
      <c r="F39" s="157"/>
      <c r="G39" s="157"/>
      <c r="H39" s="15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7.7" customHeight="1" hidden="1" spans="1:25" x14ac:dyDescent="0.25">
      <c r="A40" s="176"/>
      <c r="B40" s="155"/>
      <c r="C40" s="156"/>
      <c r="D40" s="157"/>
      <c r="E40" s="157"/>
      <c r="F40" s="157"/>
      <c r="G40" s="157"/>
      <c r="H40" s="15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7.7" customHeight="1" hidden="1" spans="1:25" x14ac:dyDescent="0.25">
      <c r="A41" s="177"/>
      <c r="B41" s="160"/>
      <c r="C41" s="182"/>
      <c r="D41" s="182"/>
      <c r="E41" s="182"/>
      <c r="F41" s="182"/>
      <c r="G41" s="182"/>
      <c r="H41" s="18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9.95" customHeight="1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9.95" customHeight="1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9.95" customHeight="1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5" customHeight="1" spans="1:25" x14ac:dyDescent="0.25">
      <c r="A45" s="183"/>
      <c r="B45" s="18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84" t="s">
        <v>23</v>
      </c>
      <c r="B46" s="185"/>
      <c r="C46" s="9"/>
      <c r="D46" s="9"/>
      <c r="E46" s="9"/>
      <c r="F46" s="3"/>
      <c r="G46" s="175"/>
      <c r="H46" s="1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8">
    <mergeCell ref="A1:H1"/>
    <mergeCell ref="A2:H2"/>
    <mergeCell ref="C3:F3"/>
    <mergeCell ref="B5:C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41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42</v>
      </c>
      <c r="B6" s="188" t="s">
        <v>3</v>
      </c>
      <c r="C6" s="3"/>
      <c r="D6" s="3"/>
      <c r="E6" s="3"/>
      <c r="F6" s="3"/>
      <c r="G6" s="3" t="s">
        <v>43</v>
      </c>
      <c r="H6" s="175"/>
      <c r="I6" s="175"/>
      <c r="J6" s="3"/>
      <c r="K6" s="3" t="s">
        <v>44</v>
      </c>
      <c r="L6" s="189"/>
      <c r="M6" s="17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90"/>
      <c r="I7" s="19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45</v>
      </c>
      <c r="B8" s="3" t="s">
        <v>26</v>
      </c>
      <c r="C8" s="3"/>
      <c r="D8" s="3"/>
      <c r="E8" s="3"/>
      <c r="F8" s="3"/>
      <c r="G8" s="3" t="s">
        <v>46</v>
      </c>
      <c r="H8" s="175"/>
      <c r="I8" s="175"/>
      <c r="J8" s="3"/>
      <c r="K8" s="188" t="s">
        <v>47</v>
      </c>
      <c r="L8" s="175"/>
      <c r="M8" s="17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191" t="s">
        <v>48</v>
      </c>
      <c r="B10" s="192" t="s">
        <v>49</v>
      </c>
      <c r="C10" s="192"/>
      <c r="D10" s="191" t="s">
        <v>50</v>
      </c>
      <c r="E10" s="191"/>
      <c r="F10" s="191"/>
      <c r="G10" s="193" t="s">
        <v>51</v>
      </c>
      <c r="H10" s="191" t="s">
        <v>52</v>
      </c>
      <c r="I10" s="191"/>
      <c r="J10" s="193" t="s">
        <v>53</v>
      </c>
      <c r="K10" s="191" t="s">
        <v>54</v>
      </c>
      <c r="L10" s="191" t="s">
        <v>55</v>
      </c>
      <c r="M10" s="191" t="s">
        <v>56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194"/>
      <c r="B11" s="195"/>
      <c r="C11" s="195"/>
      <c r="D11" s="194"/>
      <c r="E11" s="194"/>
      <c r="F11" s="194"/>
      <c r="G11" s="196" t="s">
        <v>57</v>
      </c>
      <c r="H11" s="194"/>
      <c r="I11" s="194"/>
      <c r="J11" s="196"/>
      <c r="K11" s="194"/>
      <c r="L11" s="194"/>
      <c r="M11" s="19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197"/>
      <c r="B12" s="198"/>
      <c r="C12" s="199"/>
      <c r="D12" s="200"/>
      <c r="E12" s="201"/>
      <c r="F12" s="202"/>
      <c r="G12" s="203"/>
      <c r="H12" s="204"/>
      <c r="I12" s="205"/>
      <c r="J12" s="206"/>
      <c r="K12" s="203"/>
      <c r="L12" s="203"/>
      <c r="M12" s="20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197"/>
      <c r="B13" s="208"/>
      <c r="C13" s="208"/>
      <c r="D13" s="200"/>
      <c r="E13" s="201"/>
      <c r="F13" s="202"/>
      <c r="G13" s="203"/>
      <c r="H13" s="209"/>
      <c r="I13" s="210"/>
      <c r="J13" s="206"/>
      <c r="K13" s="203"/>
      <c r="L13" s="203"/>
      <c r="M13" s="20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197"/>
      <c r="B14" s="198"/>
      <c r="C14" s="199"/>
      <c r="D14" s="200"/>
      <c r="E14" s="201"/>
      <c r="F14" s="202"/>
      <c r="G14" s="203"/>
      <c r="H14" s="204"/>
      <c r="I14" s="205"/>
      <c r="J14" s="206"/>
      <c r="K14" s="203"/>
      <c r="L14" s="203"/>
      <c r="M14" s="20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211"/>
      <c r="B15" s="208"/>
      <c r="C15" s="208"/>
      <c r="D15" s="200"/>
      <c r="E15" s="201"/>
      <c r="F15" s="202"/>
      <c r="G15" s="203"/>
      <c r="H15" s="209"/>
      <c r="I15" s="210"/>
      <c r="J15" s="206"/>
      <c r="K15" s="203"/>
      <c r="L15" s="203"/>
      <c r="M15" s="20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211"/>
      <c r="B16" s="198"/>
      <c r="C16" s="199"/>
      <c r="D16" s="200"/>
      <c r="E16" s="201"/>
      <c r="F16" s="202"/>
      <c r="G16" s="203"/>
      <c r="H16" s="204"/>
      <c r="I16" s="205"/>
      <c r="J16" s="206"/>
      <c r="K16" s="203"/>
      <c r="L16" s="203"/>
      <c r="M16" s="20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spans="1:25" x14ac:dyDescent="0.25">
      <c r="A17" s="211"/>
      <c r="B17" s="208"/>
      <c r="C17" s="208"/>
      <c r="D17" s="212"/>
      <c r="E17" s="213"/>
      <c r="F17" s="214"/>
      <c r="G17" s="208"/>
      <c r="H17" s="215"/>
      <c r="I17" s="216"/>
      <c r="J17" s="215"/>
      <c r="K17" s="208"/>
      <c r="L17" s="208"/>
      <c r="M17" s="21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211"/>
      <c r="B18" s="208"/>
      <c r="C18" s="208"/>
      <c r="D18" s="212"/>
      <c r="E18" s="213"/>
      <c r="F18" s="214"/>
      <c r="G18" s="208"/>
      <c r="H18" s="215"/>
      <c r="I18" s="216"/>
      <c r="J18" s="215"/>
      <c r="K18" s="208"/>
      <c r="L18" s="208"/>
      <c r="M18" s="21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211"/>
      <c r="B19" s="208"/>
      <c r="C19" s="208"/>
      <c r="D19" s="212"/>
      <c r="E19" s="213"/>
      <c r="F19" s="214"/>
      <c r="G19" s="208"/>
      <c r="H19" s="215"/>
      <c r="I19" s="216"/>
      <c r="J19" s="215"/>
      <c r="K19" s="208"/>
      <c r="L19" s="208"/>
      <c r="M19" s="21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219"/>
      <c r="B20" s="220"/>
      <c r="C20" s="220"/>
      <c r="D20" s="221" t="s">
        <v>58</v>
      </c>
      <c r="E20" s="222"/>
      <c r="F20" s="223"/>
      <c r="G20" s="224" t="s">
        <v>59</v>
      </c>
      <c r="H20" s="225">
        <f>SUM(H12:I19)</f>
        <v>256</v>
      </c>
      <c r="I20" s="225"/>
      <c r="J20" s="225">
        <f>SUM(J12:J19)</f>
        <v>256</v>
      </c>
      <c r="K20" s="224" t="s">
        <v>60</v>
      </c>
      <c r="L20" s="224" t="s">
        <v>60</v>
      </c>
      <c r="M20" s="22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hidden="1" spans="1:25" x14ac:dyDescent="0.25">
      <c r="A21" s="211"/>
      <c r="B21" s="208"/>
      <c r="C21" s="208"/>
      <c r="D21" s="212"/>
      <c r="E21" s="213"/>
      <c r="F21" s="214"/>
      <c r="G21" s="208"/>
      <c r="H21" s="215"/>
      <c r="I21" s="215"/>
      <c r="J21" s="215"/>
      <c r="K21" s="208"/>
      <c r="L21" s="208"/>
      <c r="M21" s="21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hidden="1" spans="1:25" x14ac:dyDescent="0.25">
      <c r="A22" s="197"/>
      <c r="B22" s="203"/>
      <c r="C22" s="203"/>
      <c r="D22" s="227"/>
      <c r="E22" s="228"/>
      <c r="F22" s="229"/>
      <c r="G22" s="230"/>
      <c r="H22" s="231"/>
      <c r="I22" s="231"/>
      <c r="J22" s="231"/>
      <c r="K22" s="230"/>
      <c r="L22" s="230"/>
      <c r="M22" s="23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" customHeight="1" spans="1:25" x14ac:dyDescent="0.25">
      <c r="A23" s="233"/>
      <c r="B23" s="234"/>
      <c r="C23" s="234"/>
      <c r="D23" s="203"/>
      <c r="E23" s="203"/>
      <c r="F23" s="203"/>
      <c r="G23" s="234"/>
      <c r="H23" s="235"/>
      <c r="I23" s="235"/>
      <c r="J23" s="235"/>
      <c r="K23" s="234"/>
      <c r="L23" s="234"/>
      <c r="M23" s="23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37" t="s">
        <v>61</v>
      </c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40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43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43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43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6" customHeight="1" spans="1:25" x14ac:dyDescent="0.25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9" customHeight="1" spans="1:25" x14ac:dyDescent="0.25">
      <c r="A30" s="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9" customHeight="1" spans="1:25" x14ac:dyDescent="0.25">
      <c r="A31" s="40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183"/>
      <c r="B33" s="183"/>
      <c r="C33" s="183"/>
      <c r="D33" s="3"/>
      <c r="E33" s="3"/>
      <c r="F33" s="3"/>
      <c r="G33" s="183"/>
      <c r="H33" s="183"/>
      <c r="I33" s="183"/>
      <c r="J33" s="3"/>
      <c r="K33" s="3"/>
      <c r="L33" s="183"/>
      <c r="M33" s="18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9" customHeight="1" spans="1:25" x14ac:dyDescent="0.25">
      <c r="A34" s="184" t="s">
        <v>23</v>
      </c>
      <c r="B34" s="184"/>
      <c r="C34" s="184"/>
      <c r="D34" s="3"/>
      <c r="E34" s="3"/>
      <c r="F34" s="3"/>
      <c r="G34" s="184" t="s">
        <v>62</v>
      </c>
      <c r="H34" s="184"/>
      <c r="I34" s="184"/>
      <c r="J34" s="3"/>
      <c r="K34" s="3"/>
      <c r="L34" s="184" t="s">
        <v>24</v>
      </c>
      <c r="M34" s="18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B23:C23"/>
    <mergeCell ref="D23:F23"/>
    <mergeCell ref="H23:I23"/>
    <mergeCell ref="A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8.5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75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42</v>
      </c>
      <c r="B6" s="188" t="s">
        <v>3</v>
      </c>
      <c r="C6" s="3"/>
      <c r="D6" s="3"/>
      <c r="E6" s="3"/>
      <c r="F6" s="3"/>
      <c r="G6" s="3" t="s">
        <v>43</v>
      </c>
      <c r="H6" s="175"/>
      <c r="I6" s="175"/>
      <c r="J6" s="3"/>
      <c r="K6" s="3" t="s">
        <v>44</v>
      </c>
      <c r="L6" s="189"/>
      <c r="M6" s="17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90"/>
      <c r="I7" s="19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76</v>
      </c>
      <c r="B8" s="3" t="s">
        <v>26</v>
      </c>
      <c r="C8" s="267"/>
      <c r="D8" s="267"/>
      <c r="E8" s="3"/>
      <c r="F8" s="3"/>
      <c r="G8" s="3" t="s">
        <v>46</v>
      </c>
      <c r="H8" s="175"/>
      <c r="I8" s="175"/>
      <c r="J8" s="3"/>
      <c r="K8" s="188" t="s">
        <v>47</v>
      </c>
      <c r="L8" s="175"/>
      <c r="M8" s="17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8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95" customHeight="1" spans="1:25" x14ac:dyDescent="0.25">
      <c r="A10" s="191" t="s">
        <v>48</v>
      </c>
      <c r="B10" s="192" t="s">
        <v>49</v>
      </c>
      <c r="C10" s="192"/>
      <c r="D10" s="191" t="s">
        <v>50</v>
      </c>
      <c r="E10" s="191"/>
      <c r="F10" s="191"/>
      <c r="G10" s="193" t="s">
        <v>51</v>
      </c>
      <c r="H10" s="247" t="s">
        <v>52</v>
      </c>
      <c r="I10" s="248"/>
      <c r="J10" s="193" t="s">
        <v>77</v>
      </c>
      <c r="K10" s="191" t="s">
        <v>54</v>
      </c>
      <c r="L10" s="191" t="s">
        <v>55</v>
      </c>
      <c r="M10" s="191" t="s">
        <v>56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95" customHeight="1" spans="1:25" x14ac:dyDescent="0.25">
      <c r="A11" s="194"/>
      <c r="B11" s="195"/>
      <c r="C11" s="195"/>
      <c r="D11" s="194"/>
      <c r="E11" s="194"/>
      <c r="F11" s="194"/>
      <c r="G11" s="196" t="s">
        <v>57</v>
      </c>
      <c r="H11" s="249"/>
      <c r="I11" s="251"/>
      <c r="J11" s="196"/>
      <c r="K11" s="194"/>
      <c r="L11" s="194"/>
      <c r="M11" s="19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6.5" customHeight="1" spans="1:25" x14ac:dyDescent="0.25">
      <c r="A12" s="197"/>
      <c r="B12" s="268"/>
      <c r="C12" s="269"/>
      <c r="D12" s="212"/>
      <c r="E12" s="213"/>
      <c r="F12" s="214"/>
      <c r="G12" s="208"/>
      <c r="H12" s="215"/>
      <c r="I12" s="216"/>
      <c r="J12" s="215"/>
      <c r="K12" s="208"/>
      <c r="L12" s="208"/>
      <c r="M12" s="27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6.5" customHeight="1" spans="1:25" x14ac:dyDescent="0.25">
      <c r="A13" s="197"/>
      <c r="B13" s="208"/>
      <c r="C13" s="208"/>
      <c r="D13" s="212"/>
      <c r="E13" s="213"/>
      <c r="F13" s="214"/>
      <c r="G13" s="208"/>
      <c r="H13" s="215"/>
      <c r="I13" s="216"/>
      <c r="J13" s="215"/>
      <c r="K13" s="208"/>
      <c r="L13" s="208"/>
      <c r="M13" s="23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6.5" customHeight="1" spans="1:25" x14ac:dyDescent="0.25">
      <c r="A14" s="197"/>
      <c r="B14" s="208"/>
      <c r="C14" s="208"/>
      <c r="D14" s="212"/>
      <c r="E14" s="213"/>
      <c r="F14" s="214"/>
      <c r="G14" s="203"/>
      <c r="H14" s="206"/>
      <c r="I14" s="271"/>
      <c r="J14" s="215"/>
      <c r="K14" s="203"/>
      <c r="L14" s="203"/>
      <c r="M14" s="27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6.5" customHeight="1" spans="1:25" x14ac:dyDescent="0.25">
      <c r="A15" s="197"/>
      <c r="B15" s="208"/>
      <c r="C15" s="208"/>
      <c r="D15" s="212"/>
      <c r="E15" s="213"/>
      <c r="F15" s="214"/>
      <c r="G15" s="208"/>
      <c r="H15" s="215"/>
      <c r="I15" s="216"/>
      <c r="J15" s="215"/>
      <c r="K15" s="208"/>
      <c r="L15" s="208"/>
      <c r="M15" s="27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6.5" customHeight="1" spans="1:25" x14ac:dyDescent="0.25">
      <c r="A16" s="197"/>
      <c r="B16" s="208"/>
      <c r="C16" s="208"/>
      <c r="D16" s="212"/>
      <c r="E16" s="213"/>
      <c r="F16" s="214"/>
      <c r="G16" s="208"/>
      <c r="H16" s="215"/>
      <c r="I16" s="216"/>
      <c r="J16" s="215"/>
      <c r="K16" s="208"/>
      <c r="L16" s="208"/>
      <c r="M16" s="27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6.5" customHeight="1" spans="1:25" x14ac:dyDescent="0.25">
      <c r="A17" s="197"/>
      <c r="B17" s="208"/>
      <c r="C17" s="208"/>
      <c r="D17" s="212"/>
      <c r="E17" s="213"/>
      <c r="F17" s="214"/>
      <c r="G17" s="208"/>
      <c r="H17" s="215"/>
      <c r="I17" s="216"/>
      <c r="J17" s="215"/>
      <c r="K17" s="208"/>
      <c r="L17" s="208"/>
      <c r="M17" s="27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6.5" customHeight="1" spans="1:25" x14ac:dyDescent="0.25">
      <c r="A18" s="197"/>
      <c r="B18" s="208"/>
      <c r="C18" s="208"/>
      <c r="D18" s="212"/>
      <c r="E18" s="213"/>
      <c r="F18" s="214"/>
      <c r="G18" s="208"/>
      <c r="H18" s="215"/>
      <c r="I18" s="216"/>
      <c r="J18" s="215"/>
      <c r="K18" s="208"/>
      <c r="L18" s="208"/>
      <c r="M18" s="27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6.5" customHeight="1" spans="1:25" x14ac:dyDescent="0.25">
      <c r="A19" s="211"/>
      <c r="B19" s="208"/>
      <c r="C19" s="208"/>
      <c r="D19" s="212"/>
      <c r="E19" s="213"/>
      <c r="F19" s="214"/>
      <c r="G19" s="208"/>
      <c r="H19" s="215"/>
      <c r="I19" s="216"/>
      <c r="J19" s="215"/>
      <c r="K19" s="208"/>
      <c r="L19" s="208"/>
      <c r="M19" s="27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6.5" customHeight="1" spans="1:25" x14ac:dyDescent="0.25">
      <c r="A20" s="233"/>
      <c r="B20" s="234"/>
      <c r="C20" s="234"/>
      <c r="D20" s="212"/>
      <c r="E20" s="213"/>
      <c r="F20" s="214"/>
      <c r="G20" s="208"/>
      <c r="H20" s="215"/>
      <c r="I20" s="216"/>
      <c r="J20" s="215"/>
      <c r="K20" s="208"/>
      <c r="L20" s="208"/>
      <c r="M20" s="27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6.5" customHeight="1" spans="1:25" x14ac:dyDescent="0.25">
      <c r="A21" s="233"/>
      <c r="B21" s="208"/>
      <c r="C21" s="208"/>
      <c r="D21" s="212"/>
      <c r="E21" s="213"/>
      <c r="F21" s="214"/>
      <c r="G21" s="208"/>
      <c r="H21" s="215"/>
      <c r="I21" s="216"/>
      <c r="J21" s="215"/>
      <c r="K21" s="208"/>
      <c r="L21" s="208"/>
      <c r="M21" s="27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6.5" customHeight="1" spans="1:25" x14ac:dyDescent="0.25">
      <c r="A22" s="233"/>
      <c r="B22" s="234"/>
      <c r="C22" s="234"/>
      <c r="D22" s="212"/>
      <c r="E22" s="213"/>
      <c r="F22" s="214"/>
      <c r="G22" s="208"/>
      <c r="H22" s="215"/>
      <c r="I22" s="216"/>
      <c r="J22" s="215"/>
      <c r="K22" s="208"/>
      <c r="L22" s="208"/>
      <c r="M22" s="27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6.5" customHeight="1" spans="1:25" x14ac:dyDescent="0.25">
      <c r="A23" s="211"/>
      <c r="B23" s="208"/>
      <c r="C23" s="208"/>
      <c r="D23" s="212"/>
      <c r="E23" s="213"/>
      <c r="F23" s="214"/>
      <c r="G23" s="208"/>
      <c r="H23" s="215"/>
      <c r="I23" s="216"/>
      <c r="J23" s="215"/>
      <c r="K23" s="208"/>
      <c r="L23" s="208"/>
      <c r="M23" s="27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hidden="1" spans="1:25" x14ac:dyDescent="0.25">
      <c r="A24" s="233"/>
      <c r="B24" s="234"/>
      <c r="C24" s="234"/>
      <c r="D24" s="273"/>
      <c r="E24" s="274"/>
      <c r="F24" s="275"/>
      <c r="G24" s="234"/>
      <c r="H24" s="235"/>
      <c r="I24" s="276"/>
      <c r="J24" s="235"/>
      <c r="K24" s="234"/>
      <c r="L24" s="234"/>
      <c r="M24" s="27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19"/>
      <c r="B25" s="220"/>
      <c r="C25" s="220"/>
      <c r="D25" s="221" t="s">
        <v>58</v>
      </c>
      <c r="E25" s="222"/>
      <c r="F25" s="223"/>
      <c r="G25" s="224" t="s">
        <v>59</v>
      </c>
      <c r="H25" s="225">
        <f>SUM(H12:I24)</f>
        <v>241</v>
      </c>
      <c r="I25" s="225"/>
      <c r="J25" s="225">
        <f>SUM(J12:J24)</f>
        <v>241</v>
      </c>
      <c r="K25" s="224" t="s">
        <v>60</v>
      </c>
      <c r="L25" s="224" t="s">
        <v>60</v>
      </c>
      <c r="M25" s="27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hidden="1" spans="1:25" x14ac:dyDescent="0.25">
      <c r="A26" s="278"/>
      <c r="B26" s="230"/>
      <c r="C26" s="230"/>
      <c r="D26" s="227"/>
      <c r="E26" s="228"/>
      <c r="F26" s="229"/>
      <c r="G26" s="230"/>
      <c r="H26" s="231"/>
      <c r="I26" s="231"/>
      <c r="J26" s="231"/>
      <c r="K26" s="230"/>
      <c r="L26" s="230"/>
      <c r="M26" s="27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hidden="1" spans="1:25" x14ac:dyDescent="0.25">
      <c r="A27" s="278"/>
      <c r="B27" s="230"/>
      <c r="C27" s="230"/>
      <c r="D27" s="227"/>
      <c r="E27" s="228"/>
      <c r="F27" s="229"/>
      <c r="G27" s="230"/>
      <c r="H27" s="231"/>
      <c r="I27" s="231"/>
      <c r="J27" s="231"/>
      <c r="K27" s="230"/>
      <c r="L27" s="230"/>
      <c r="M27" s="27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78"/>
      <c r="B28" s="230"/>
      <c r="C28" s="230"/>
      <c r="D28" s="227"/>
      <c r="E28" s="228"/>
      <c r="F28" s="229"/>
      <c r="G28" s="230"/>
      <c r="H28" s="231"/>
      <c r="I28" s="231"/>
      <c r="J28" s="231"/>
      <c r="K28" s="230"/>
      <c r="L28" s="230"/>
      <c r="M28" s="27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 spans="1:25" x14ac:dyDescent="0.25">
      <c r="A29" s="237" t="s">
        <v>61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6" customHeight="1" spans="1:25" x14ac:dyDescent="0.25">
      <c r="A30" s="2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6" customHeight="1" spans="1:25" x14ac:dyDescent="0.25">
      <c r="A31" s="243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6" customHeight="1" spans="1:25" x14ac:dyDescent="0.25">
      <c r="A32" s="243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6" customHeight="1" spans="1:25" x14ac:dyDescent="0.25">
      <c r="A33" s="243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6" customHeight="1" spans="1:25" x14ac:dyDescent="0.25">
      <c r="A34" s="244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customHeight="1" spans="1:25" x14ac:dyDescent="0.25">
      <c r="A35" s="280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" customHeight="1" spans="1:25" x14ac:dyDescent="0.25">
      <c r="A36" s="280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" customHeight="1" spans="1:25" x14ac:dyDescent="0.25">
      <c r="A37" s="280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83"/>
      <c r="B38" s="183"/>
      <c r="C38" s="183"/>
      <c r="D38" s="3"/>
      <c r="E38" s="3"/>
      <c r="F38" s="3"/>
      <c r="G38" s="183"/>
      <c r="H38" s="183"/>
      <c r="I38" s="183"/>
      <c r="J38" s="3"/>
      <c r="K38" s="3"/>
      <c r="L38" s="183"/>
      <c r="M38" s="18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184" t="s">
        <v>23</v>
      </c>
      <c r="B39" s="184"/>
      <c r="C39" s="184"/>
      <c r="D39" s="3"/>
      <c r="E39" s="3"/>
      <c r="F39" s="3"/>
      <c r="G39" s="184" t="s">
        <v>62</v>
      </c>
      <c r="H39" s="184"/>
      <c r="I39" s="184"/>
      <c r="J39" s="3"/>
      <c r="K39" s="3"/>
      <c r="L39" s="184" t="s">
        <v>24</v>
      </c>
      <c r="M39" s="18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63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88" t="s">
        <v>64</v>
      </c>
      <c r="B6" s="188" t="s">
        <v>3</v>
      </c>
      <c r="C6" s="3"/>
      <c r="D6" s="3"/>
      <c r="E6" s="3"/>
      <c r="F6" s="3"/>
      <c r="G6" s="3"/>
      <c r="H6" s="3"/>
      <c r="I6" s="3" t="s">
        <v>65</v>
      </c>
      <c r="J6" s="3"/>
      <c r="K6" s="3" t="str">
        <f>'OS-IN'!H6</f>
        <v>0148N</v>
      </c>
      <c r="L6" s="3"/>
      <c r="M6" s="3"/>
      <c r="N6" s="3"/>
      <c r="O6" s="188" t="s">
        <v>66</v>
      </c>
      <c r="P6" s="189">
        <f>'OS-IN'!L6</f>
        <v>46223</v>
      </c>
      <c r="Q6" s="175"/>
      <c r="R6" s="17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67</v>
      </c>
      <c r="B8" s="188" t="s">
        <v>26</v>
      </c>
      <c r="C8" s="188"/>
      <c r="D8" s="188"/>
      <c r="E8" s="188"/>
      <c r="F8" s="3"/>
      <c r="G8" s="3"/>
      <c r="H8" s="3"/>
      <c r="I8" s="3" t="s">
        <v>68</v>
      </c>
      <c r="J8" s="3"/>
      <c r="K8" s="3"/>
      <c r="L8" s="3"/>
      <c r="M8" s="3"/>
      <c r="N8" s="3"/>
      <c r="O8" s="188" t="s">
        <v>69</v>
      </c>
      <c r="P8" s="175">
        <f>'Final Work'!G6</f>
        <v>6</v>
      </c>
      <c r="Q8" s="175"/>
      <c r="R8" s="17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191" t="s">
        <v>11</v>
      </c>
      <c r="B10" s="191" t="s">
        <v>48</v>
      </c>
      <c r="C10" s="247" t="s">
        <v>70</v>
      </c>
      <c r="D10" s="184"/>
      <c r="E10" s="248"/>
      <c r="F10" s="191" t="s">
        <v>71</v>
      </c>
      <c r="G10" s="191"/>
      <c r="H10" s="191"/>
      <c r="I10" s="191"/>
      <c r="J10" s="193" t="s">
        <v>72</v>
      </c>
      <c r="K10" s="191" t="s">
        <v>73</v>
      </c>
      <c r="L10" s="191" t="s">
        <v>74</v>
      </c>
      <c r="M10" s="191"/>
      <c r="N10" s="191"/>
      <c r="O10" s="191"/>
      <c r="P10" s="191"/>
      <c r="Q10" s="191"/>
      <c r="R10" s="191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194"/>
      <c r="B11" s="194"/>
      <c r="C11" s="249"/>
      <c r="D11" s="250"/>
      <c r="E11" s="251"/>
      <c r="F11" s="194"/>
      <c r="G11" s="194"/>
      <c r="H11" s="194"/>
      <c r="I11" s="194"/>
      <c r="J11" s="196" t="s">
        <v>57</v>
      </c>
      <c r="K11" s="194"/>
      <c r="L11" s="194"/>
      <c r="M11" s="194"/>
      <c r="N11" s="194"/>
      <c r="O11" s="194"/>
      <c r="P11" s="194"/>
      <c r="Q11" s="194"/>
      <c r="R11" s="194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252"/>
      <c r="B12" s="252"/>
      <c r="C12" s="164"/>
      <c r="D12" s="253"/>
      <c r="E12" s="165"/>
      <c r="F12" s="254"/>
      <c r="G12" s="255"/>
      <c r="H12" s="255"/>
      <c r="I12" s="150"/>
      <c r="J12" s="256"/>
      <c r="K12" s="256"/>
      <c r="L12" s="257"/>
      <c r="M12" s="258"/>
      <c r="N12" s="258"/>
      <c r="O12" s="258"/>
      <c r="P12" s="258"/>
      <c r="Q12" s="258"/>
      <c r="R12" s="259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252"/>
      <c r="B13" s="252"/>
      <c r="C13" s="260"/>
      <c r="D13" s="260"/>
      <c r="E13" s="260"/>
      <c r="F13" s="164"/>
      <c r="G13" s="253"/>
      <c r="H13" s="253"/>
      <c r="I13" s="165"/>
      <c r="J13" s="252"/>
      <c r="K13" s="252"/>
      <c r="L13" s="261"/>
      <c r="M13" s="245"/>
      <c r="N13" s="245"/>
      <c r="O13" s="245"/>
      <c r="P13" s="245"/>
      <c r="Q13" s="245"/>
      <c r="R13" s="246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52"/>
      <c r="B14" s="252"/>
      <c r="C14" s="262"/>
      <c r="D14" s="262"/>
      <c r="E14" s="262"/>
      <c r="F14" s="164"/>
      <c r="G14" s="253"/>
      <c r="H14" s="253"/>
      <c r="I14" s="165"/>
      <c r="J14" s="252"/>
      <c r="K14" s="252"/>
      <c r="L14" s="261"/>
      <c r="M14" s="245"/>
      <c r="N14" s="245"/>
      <c r="O14" s="245"/>
      <c r="P14" s="245"/>
      <c r="Q14" s="245"/>
      <c r="R14" s="246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62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3"/>
      <c r="M15" s="264"/>
      <c r="N15" s="264"/>
      <c r="O15" s="264"/>
      <c r="P15" s="264"/>
      <c r="Q15" s="264"/>
      <c r="R15" s="265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62"/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3"/>
      <c r="M16" s="264"/>
      <c r="N16" s="264"/>
      <c r="O16" s="264"/>
      <c r="P16" s="264"/>
      <c r="Q16" s="264"/>
      <c r="R16" s="265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62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3"/>
      <c r="M17" s="264"/>
      <c r="N17" s="264"/>
      <c r="O17" s="264"/>
      <c r="P17" s="264"/>
      <c r="Q17" s="264"/>
      <c r="R17" s="265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62"/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3"/>
      <c r="M18" s="264"/>
      <c r="N18" s="264"/>
      <c r="O18" s="264"/>
      <c r="P18" s="264"/>
      <c r="Q18" s="264"/>
      <c r="R18" s="265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6"/>
      <c r="M19" s="266"/>
      <c r="N19" s="266"/>
      <c r="O19" s="266"/>
      <c r="P19" s="266"/>
      <c r="Q19" s="266"/>
      <c r="R19" s="266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62"/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3"/>
      <c r="M20" s="264"/>
      <c r="N20" s="264"/>
      <c r="O20" s="264"/>
      <c r="P20" s="264"/>
      <c r="Q20" s="264"/>
      <c r="R20" s="265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6"/>
      <c r="M21" s="266"/>
      <c r="N21" s="266"/>
      <c r="O21" s="266"/>
      <c r="P21" s="266"/>
      <c r="Q21" s="266"/>
      <c r="R21" s="266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62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3"/>
      <c r="M22" s="264"/>
      <c r="N22" s="264"/>
      <c r="O22" s="264"/>
      <c r="P22" s="264"/>
      <c r="Q22" s="264"/>
      <c r="R22" s="265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62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6"/>
      <c r="M23" s="266"/>
      <c r="N23" s="266"/>
      <c r="O23" s="266"/>
      <c r="P23" s="266"/>
      <c r="Q23" s="266"/>
      <c r="R23" s="266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62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6"/>
      <c r="M24" s="266"/>
      <c r="N24" s="266"/>
      <c r="O24" s="266"/>
      <c r="P24" s="266"/>
      <c r="Q24" s="266"/>
      <c r="R24" s="266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6"/>
      <c r="M25" s="266"/>
      <c r="N25" s="266"/>
      <c r="O25" s="266"/>
      <c r="P25" s="266"/>
      <c r="Q25" s="266"/>
      <c r="R25" s="266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262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6"/>
      <c r="M26" s="266"/>
      <c r="N26" s="266"/>
      <c r="O26" s="266"/>
      <c r="P26" s="266"/>
      <c r="Q26" s="266"/>
      <c r="R26" s="266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6"/>
      <c r="M27" s="266"/>
      <c r="N27" s="266"/>
      <c r="O27" s="266"/>
      <c r="P27" s="266"/>
      <c r="Q27" s="266"/>
      <c r="R27" s="266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3"/>
      <c r="B31" s="183"/>
      <c r="C31" s="183"/>
      <c r="D31" s="183"/>
      <c r="E31" s="3"/>
      <c r="F31" s="3"/>
      <c r="G31" s="3"/>
      <c r="H31" s="3"/>
      <c r="I31" s="183"/>
      <c r="J31" s="183"/>
      <c r="K31" s="183"/>
      <c r="L31" s="3"/>
      <c r="M31" s="3"/>
      <c r="N31" s="3"/>
      <c r="O31" s="183"/>
      <c r="P31" s="183"/>
      <c r="Q31" s="183"/>
      <c r="R31" s="183"/>
      <c r="S31" s="3"/>
      <c r="T31" s="3"/>
      <c r="U31" s="3"/>
      <c r="V31" s="3"/>
      <c r="W31" s="3"/>
      <c r="X31" s="3"/>
      <c r="Y31" s="3"/>
    </row>
    <row r="32" spans="1:25" x14ac:dyDescent="0.25">
      <c r="A32" s="184" t="s">
        <v>23</v>
      </c>
      <c r="B32" s="184"/>
      <c r="C32" s="184"/>
      <c r="D32" s="184"/>
      <c r="E32" s="3"/>
      <c r="F32" s="3"/>
      <c r="G32" s="3"/>
      <c r="H32" s="3"/>
      <c r="I32" s="184" t="s">
        <v>62</v>
      </c>
      <c r="J32" s="184"/>
      <c r="K32" s="184"/>
      <c r="L32" s="3"/>
      <c r="M32" s="3"/>
      <c r="N32" s="3"/>
      <c r="O32" s="184" t="s">
        <v>24</v>
      </c>
      <c r="P32" s="184"/>
      <c r="Q32" s="184"/>
      <c r="R32" s="184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4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6.59765625" style="138" customWidth="1"/>
    <col min="2" max="2" width="7.5" style="138" customWidth="1"/>
    <col min="3" max="5" width="6.59765625" style="138" customWidth="1"/>
    <col min="6" max="6" width="7.09765625" style="138" customWidth="1"/>
    <col min="7" max="7" width="6.59765625" style="138" customWidth="1"/>
    <col min="8" max="12" width="7.09765625" style="138" customWidth="1"/>
    <col min="13" max="13" width="6.59765625" style="138" customWidth="1"/>
    <col min="14" max="248" width="9" style="138" customWidth="1"/>
    <col min="249" max="249" width="7" style="138" customWidth="1"/>
    <col min="250" max="250" width="7.5" style="138" customWidth="1"/>
    <col min="251" max="251" width="6.69921875" style="138" customWidth="1"/>
    <col min="252" max="252" width="6.8984375" style="138" customWidth="1"/>
    <col min="253" max="253" width="7" style="138" customWidth="1"/>
    <col min="254" max="254" width="7.5" style="138" customWidth="1"/>
    <col min="255" max="255" width="6.59765625" style="138" customWidth="1"/>
    <col min="256" max="260" width="7.09765625" style="138" customWidth="1"/>
    <col min="261" max="261" width="6.69921875" style="138" customWidth="1"/>
    <col min="262" max="504" width="9" style="138" customWidth="1"/>
    <col min="505" max="505" width="7" style="138" customWidth="1"/>
    <col min="506" max="506" width="7.5" style="138" customWidth="1"/>
    <col min="507" max="507" width="6.69921875" style="138" customWidth="1"/>
    <col min="508" max="508" width="6.8984375" style="138" customWidth="1"/>
    <col min="509" max="509" width="7" style="138" customWidth="1"/>
    <col min="510" max="510" width="7.5" style="138" customWidth="1"/>
    <col min="511" max="511" width="6.59765625" style="138" customWidth="1"/>
    <col min="512" max="516" width="7.09765625" style="138" customWidth="1"/>
    <col min="517" max="517" width="6.69921875" style="138" customWidth="1"/>
    <col min="518" max="760" width="9" style="138" customWidth="1"/>
    <col min="761" max="761" width="7" style="138" customWidth="1"/>
    <col min="762" max="762" width="7.5" style="138" customWidth="1"/>
    <col min="763" max="763" width="6.69921875" style="138" customWidth="1"/>
    <col min="764" max="764" width="6.8984375" style="138" customWidth="1"/>
    <col min="765" max="765" width="7" style="138" customWidth="1"/>
    <col min="766" max="766" width="7.5" style="138" customWidth="1"/>
    <col min="767" max="767" width="6.59765625" style="138" customWidth="1"/>
    <col min="768" max="772" width="7.09765625" style="138" customWidth="1"/>
    <col min="773" max="773" width="6.69921875" style="138" customWidth="1"/>
    <col min="774" max="1016" width="9" style="138" customWidth="1"/>
    <col min="1017" max="1017" width="7" style="138" customWidth="1"/>
    <col min="1018" max="1018" width="7.5" style="138" customWidth="1"/>
    <col min="1019" max="1019" width="6.69921875" style="138" customWidth="1"/>
    <col min="1020" max="1020" width="6.8984375" style="138" customWidth="1"/>
    <col min="1021" max="1021" width="7" style="138" customWidth="1"/>
    <col min="1022" max="1022" width="7.5" style="138" customWidth="1"/>
    <col min="1023" max="1023" width="6.59765625" style="138" customWidth="1"/>
    <col min="1024" max="1028" width="7.09765625" style="138" customWidth="1"/>
    <col min="1029" max="1029" width="6.69921875" style="138" customWidth="1"/>
    <col min="1030" max="1272" width="9" style="138" customWidth="1"/>
    <col min="1273" max="1273" width="7" style="138" customWidth="1"/>
    <col min="1274" max="1274" width="7.5" style="138" customWidth="1"/>
    <col min="1275" max="1275" width="6.69921875" style="138" customWidth="1"/>
    <col min="1276" max="1276" width="6.8984375" style="138" customWidth="1"/>
    <col min="1277" max="1277" width="7" style="138" customWidth="1"/>
    <col min="1278" max="1278" width="7.5" style="138" customWidth="1"/>
    <col min="1279" max="1279" width="6.59765625" style="138" customWidth="1"/>
    <col min="1280" max="1284" width="7.09765625" style="138" customWidth="1"/>
    <col min="1285" max="1285" width="6.69921875" style="138" customWidth="1"/>
    <col min="1286" max="1528" width="9" style="138" customWidth="1"/>
    <col min="1529" max="1529" width="7" style="138" customWidth="1"/>
    <col min="1530" max="1530" width="7.5" style="138" customWidth="1"/>
    <col min="1531" max="1531" width="6.69921875" style="138" customWidth="1"/>
    <col min="1532" max="1532" width="6.8984375" style="138" customWidth="1"/>
    <col min="1533" max="1533" width="7" style="138" customWidth="1"/>
    <col min="1534" max="1534" width="7.5" style="138" customWidth="1"/>
    <col min="1535" max="1535" width="6.59765625" style="138" customWidth="1"/>
    <col min="1536" max="1540" width="7.09765625" style="138" customWidth="1"/>
    <col min="1541" max="1541" width="6.69921875" style="138" customWidth="1"/>
    <col min="1542" max="1784" width="9" style="138" customWidth="1"/>
    <col min="1785" max="1785" width="7" style="138" customWidth="1"/>
    <col min="1786" max="1786" width="7.5" style="138" customWidth="1"/>
    <col min="1787" max="1787" width="6.69921875" style="138" customWidth="1"/>
    <col min="1788" max="1788" width="6.8984375" style="138" customWidth="1"/>
    <col min="1789" max="1789" width="7" style="138" customWidth="1"/>
    <col min="1790" max="1790" width="7.5" style="138" customWidth="1"/>
    <col min="1791" max="1791" width="6.59765625" style="138" customWidth="1"/>
    <col min="1792" max="1796" width="7.09765625" style="138" customWidth="1"/>
    <col min="1797" max="1797" width="6.69921875" style="138" customWidth="1"/>
    <col min="1798" max="2040" width="9" style="138" customWidth="1"/>
    <col min="2041" max="2041" width="7" style="138" customWidth="1"/>
    <col min="2042" max="2042" width="7.5" style="138" customWidth="1"/>
    <col min="2043" max="2043" width="6.69921875" style="138" customWidth="1"/>
    <col min="2044" max="2044" width="6.8984375" style="138" customWidth="1"/>
    <col min="2045" max="2045" width="7" style="138" customWidth="1"/>
    <col min="2046" max="2046" width="7.5" style="138" customWidth="1"/>
    <col min="2047" max="2047" width="6.59765625" style="138" customWidth="1"/>
    <col min="2048" max="2052" width="7.09765625" style="138" customWidth="1"/>
    <col min="2053" max="2053" width="6.69921875" style="138" customWidth="1"/>
    <col min="2054" max="2296" width="9" style="138" customWidth="1"/>
    <col min="2297" max="2297" width="7" style="138" customWidth="1"/>
    <col min="2298" max="2298" width="7.5" style="138" customWidth="1"/>
    <col min="2299" max="2299" width="6.69921875" style="138" customWidth="1"/>
    <col min="2300" max="2300" width="6.8984375" style="138" customWidth="1"/>
    <col min="2301" max="2301" width="7" style="138" customWidth="1"/>
    <col min="2302" max="2302" width="7.5" style="138" customWidth="1"/>
    <col min="2303" max="2303" width="6.59765625" style="138" customWidth="1"/>
    <col min="2304" max="2308" width="7.09765625" style="138" customWidth="1"/>
    <col min="2309" max="2309" width="6.69921875" style="138" customWidth="1"/>
    <col min="2310" max="2552" width="9" style="138" customWidth="1"/>
    <col min="2553" max="2553" width="7" style="138" customWidth="1"/>
    <col min="2554" max="2554" width="7.5" style="138" customWidth="1"/>
    <col min="2555" max="2555" width="6.69921875" style="138" customWidth="1"/>
    <col min="2556" max="2556" width="6.8984375" style="138" customWidth="1"/>
    <col min="2557" max="2557" width="7" style="138" customWidth="1"/>
    <col min="2558" max="2558" width="7.5" style="138" customWidth="1"/>
    <col min="2559" max="2559" width="6.59765625" style="138" customWidth="1"/>
    <col min="2560" max="2564" width="7.09765625" style="138" customWidth="1"/>
    <col min="2565" max="2565" width="6.69921875" style="138" customWidth="1"/>
    <col min="2566" max="2808" width="9" style="138" customWidth="1"/>
    <col min="2809" max="2809" width="7" style="138" customWidth="1"/>
    <col min="2810" max="2810" width="7.5" style="138" customWidth="1"/>
    <col min="2811" max="2811" width="6.69921875" style="138" customWidth="1"/>
    <col min="2812" max="2812" width="6.8984375" style="138" customWidth="1"/>
    <col min="2813" max="2813" width="7" style="138" customWidth="1"/>
    <col min="2814" max="2814" width="7.5" style="138" customWidth="1"/>
    <col min="2815" max="2815" width="6.59765625" style="138" customWidth="1"/>
    <col min="2816" max="2820" width="7.09765625" style="138" customWidth="1"/>
    <col min="2821" max="2821" width="6.69921875" style="138" customWidth="1"/>
    <col min="2822" max="3064" width="9" style="138" customWidth="1"/>
    <col min="3065" max="3065" width="7" style="138" customWidth="1"/>
    <col min="3066" max="3066" width="7.5" style="138" customWidth="1"/>
    <col min="3067" max="3067" width="6.69921875" style="138" customWidth="1"/>
    <col min="3068" max="3068" width="6.8984375" style="138" customWidth="1"/>
    <col min="3069" max="3069" width="7" style="138" customWidth="1"/>
    <col min="3070" max="3070" width="7.5" style="138" customWidth="1"/>
    <col min="3071" max="3071" width="6.59765625" style="138" customWidth="1"/>
    <col min="3072" max="3076" width="7.09765625" style="138" customWidth="1"/>
    <col min="3077" max="3077" width="6.69921875" style="138" customWidth="1"/>
    <col min="3078" max="3320" width="9" style="138" customWidth="1"/>
    <col min="3321" max="3321" width="7" style="138" customWidth="1"/>
    <col min="3322" max="3322" width="7.5" style="138" customWidth="1"/>
    <col min="3323" max="3323" width="6.69921875" style="138" customWidth="1"/>
    <col min="3324" max="3324" width="6.8984375" style="138" customWidth="1"/>
    <col min="3325" max="3325" width="7" style="138" customWidth="1"/>
    <col min="3326" max="3326" width="7.5" style="138" customWidth="1"/>
    <col min="3327" max="3327" width="6.59765625" style="138" customWidth="1"/>
    <col min="3328" max="3332" width="7.09765625" style="138" customWidth="1"/>
    <col min="3333" max="3333" width="6.69921875" style="138" customWidth="1"/>
    <col min="3334" max="3576" width="9" style="138" customWidth="1"/>
    <col min="3577" max="3577" width="7" style="138" customWidth="1"/>
    <col min="3578" max="3578" width="7.5" style="138" customWidth="1"/>
    <col min="3579" max="3579" width="6.69921875" style="138" customWidth="1"/>
    <col min="3580" max="3580" width="6.8984375" style="138" customWidth="1"/>
    <col min="3581" max="3581" width="7" style="138" customWidth="1"/>
    <col min="3582" max="3582" width="7.5" style="138" customWidth="1"/>
    <col min="3583" max="3583" width="6.59765625" style="138" customWidth="1"/>
    <col min="3584" max="3588" width="7.09765625" style="138" customWidth="1"/>
    <col min="3589" max="3589" width="6.69921875" style="138" customWidth="1"/>
    <col min="3590" max="3832" width="9" style="138" customWidth="1"/>
    <col min="3833" max="3833" width="7" style="138" customWidth="1"/>
    <col min="3834" max="3834" width="7.5" style="138" customWidth="1"/>
    <col min="3835" max="3835" width="6.69921875" style="138" customWidth="1"/>
    <col min="3836" max="3836" width="6.8984375" style="138" customWidth="1"/>
    <col min="3837" max="3837" width="7" style="138" customWidth="1"/>
    <col min="3838" max="3838" width="7.5" style="138" customWidth="1"/>
    <col min="3839" max="3839" width="6.59765625" style="138" customWidth="1"/>
    <col min="3840" max="3844" width="7.09765625" style="138" customWidth="1"/>
    <col min="3845" max="3845" width="6.69921875" style="138" customWidth="1"/>
    <col min="3846" max="4088" width="9" style="138" customWidth="1"/>
    <col min="4089" max="4089" width="7" style="138" customWidth="1"/>
    <col min="4090" max="4090" width="7.5" style="138" customWidth="1"/>
    <col min="4091" max="4091" width="6.69921875" style="138" customWidth="1"/>
    <col min="4092" max="4092" width="6.8984375" style="138" customWidth="1"/>
    <col min="4093" max="4093" width="7" style="138" customWidth="1"/>
    <col min="4094" max="4094" width="7.5" style="138" customWidth="1"/>
    <col min="4095" max="4095" width="6.59765625" style="138" customWidth="1"/>
    <col min="4096" max="4100" width="7.09765625" style="138" customWidth="1"/>
    <col min="4101" max="4101" width="6.69921875" style="138" customWidth="1"/>
    <col min="4102" max="4344" width="9" style="138" customWidth="1"/>
    <col min="4345" max="4345" width="7" style="138" customWidth="1"/>
    <col min="4346" max="4346" width="7.5" style="138" customWidth="1"/>
    <col min="4347" max="4347" width="6.69921875" style="138" customWidth="1"/>
    <col min="4348" max="4348" width="6.8984375" style="138" customWidth="1"/>
    <col min="4349" max="4349" width="7" style="138" customWidth="1"/>
    <col min="4350" max="4350" width="7.5" style="138" customWidth="1"/>
    <col min="4351" max="4351" width="6.59765625" style="138" customWidth="1"/>
    <col min="4352" max="4356" width="7.09765625" style="138" customWidth="1"/>
    <col min="4357" max="4357" width="6.69921875" style="138" customWidth="1"/>
    <col min="4358" max="4600" width="9" style="138" customWidth="1"/>
    <col min="4601" max="4601" width="7" style="138" customWidth="1"/>
    <col min="4602" max="4602" width="7.5" style="138" customWidth="1"/>
    <col min="4603" max="4603" width="6.69921875" style="138" customWidth="1"/>
    <col min="4604" max="4604" width="6.8984375" style="138" customWidth="1"/>
    <col min="4605" max="4605" width="7" style="138" customWidth="1"/>
    <col min="4606" max="4606" width="7.5" style="138" customWidth="1"/>
    <col min="4607" max="4607" width="6.59765625" style="138" customWidth="1"/>
    <col min="4608" max="4612" width="7.09765625" style="138" customWidth="1"/>
    <col min="4613" max="4613" width="6.69921875" style="138" customWidth="1"/>
    <col min="4614" max="4856" width="9" style="138" customWidth="1"/>
    <col min="4857" max="4857" width="7" style="138" customWidth="1"/>
    <col min="4858" max="4858" width="7.5" style="138" customWidth="1"/>
    <col min="4859" max="4859" width="6.69921875" style="138" customWidth="1"/>
    <col min="4860" max="4860" width="6.8984375" style="138" customWidth="1"/>
    <col min="4861" max="4861" width="7" style="138" customWidth="1"/>
    <col min="4862" max="4862" width="7.5" style="138" customWidth="1"/>
    <col min="4863" max="4863" width="6.59765625" style="138" customWidth="1"/>
    <col min="4864" max="4868" width="7.09765625" style="138" customWidth="1"/>
    <col min="4869" max="4869" width="6.69921875" style="138" customWidth="1"/>
    <col min="4870" max="5112" width="9" style="138" customWidth="1"/>
    <col min="5113" max="5113" width="7" style="138" customWidth="1"/>
    <col min="5114" max="5114" width="7.5" style="138" customWidth="1"/>
    <col min="5115" max="5115" width="6.69921875" style="138" customWidth="1"/>
    <col min="5116" max="5116" width="6.8984375" style="138" customWidth="1"/>
    <col min="5117" max="5117" width="7" style="138" customWidth="1"/>
    <col min="5118" max="5118" width="7.5" style="138" customWidth="1"/>
    <col min="5119" max="5119" width="6.59765625" style="138" customWidth="1"/>
    <col min="5120" max="5124" width="7.09765625" style="138" customWidth="1"/>
    <col min="5125" max="5125" width="6.69921875" style="138" customWidth="1"/>
    <col min="5126" max="5368" width="9" style="138" customWidth="1"/>
    <col min="5369" max="5369" width="7" style="138" customWidth="1"/>
    <col min="5370" max="5370" width="7.5" style="138" customWidth="1"/>
    <col min="5371" max="5371" width="6.69921875" style="138" customWidth="1"/>
    <col min="5372" max="5372" width="6.8984375" style="138" customWidth="1"/>
    <col min="5373" max="5373" width="7" style="138" customWidth="1"/>
    <col min="5374" max="5374" width="7.5" style="138" customWidth="1"/>
    <col min="5375" max="5375" width="6.59765625" style="138" customWidth="1"/>
    <col min="5376" max="5380" width="7.09765625" style="138" customWidth="1"/>
    <col min="5381" max="5381" width="6.69921875" style="138" customWidth="1"/>
    <col min="5382" max="5624" width="9" style="138" customWidth="1"/>
    <col min="5625" max="5625" width="7" style="138" customWidth="1"/>
    <col min="5626" max="5626" width="7.5" style="138" customWidth="1"/>
    <col min="5627" max="5627" width="6.69921875" style="138" customWidth="1"/>
    <col min="5628" max="5628" width="6.8984375" style="138" customWidth="1"/>
    <col min="5629" max="5629" width="7" style="138" customWidth="1"/>
    <col min="5630" max="5630" width="7.5" style="138" customWidth="1"/>
    <col min="5631" max="5631" width="6.59765625" style="138" customWidth="1"/>
    <col min="5632" max="5636" width="7.09765625" style="138" customWidth="1"/>
    <col min="5637" max="5637" width="6.69921875" style="138" customWidth="1"/>
    <col min="5638" max="5880" width="9" style="138" customWidth="1"/>
    <col min="5881" max="5881" width="7" style="138" customWidth="1"/>
    <col min="5882" max="5882" width="7.5" style="138" customWidth="1"/>
    <col min="5883" max="5883" width="6.69921875" style="138" customWidth="1"/>
    <col min="5884" max="5884" width="6.8984375" style="138" customWidth="1"/>
    <col min="5885" max="5885" width="7" style="138" customWidth="1"/>
    <col min="5886" max="5886" width="7.5" style="138" customWidth="1"/>
    <col min="5887" max="5887" width="6.59765625" style="138" customWidth="1"/>
    <col min="5888" max="5892" width="7.09765625" style="138" customWidth="1"/>
    <col min="5893" max="5893" width="6.69921875" style="138" customWidth="1"/>
    <col min="5894" max="6136" width="9" style="138" customWidth="1"/>
    <col min="6137" max="6137" width="7" style="138" customWidth="1"/>
    <col min="6138" max="6138" width="7.5" style="138" customWidth="1"/>
    <col min="6139" max="6139" width="6.69921875" style="138" customWidth="1"/>
    <col min="6140" max="6140" width="6.8984375" style="138" customWidth="1"/>
    <col min="6141" max="6141" width="7" style="138" customWidth="1"/>
    <col min="6142" max="6142" width="7.5" style="138" customWidth="1"/>
    <col min="6143" max="6143" width="6.59765625" style="138" customWidth="1"/>
    <col min="6144" max="6148" width="7.09765625" style="138" customWidth="1"/>
    <col min="6149" max="6149" width="6.69921875" style="138" customWidth="1"/>
    <col min="6150" max="6392" width="9" style="138" customWidth="1"/>
    <col min="6393" max="6393" width="7" style="138" customWidth="1"/>
    <col min="6394" max="6394" width="7.5" style="138" customWidth="1"/>
    <col min="6395" max="6395" width="6.69921875" style="138" customWidth="1"/>
    <col min="6396" max="6396" width="6.8984375" style="138" customWidth="1"/>
    <col min="6397" max="6397" width="7" style="138" customWidth="1"/>
    <col min="6398" max="6398" width="7.5" style="138" customWidth="1"/>
    <col min="6399" max="6399" width="6.59765625" style="138" customWidth="1"/>
    <col min="6400" max="6404" width="7.09765625" style="138" customWidth="1"/>
    <col min="6405" max="6405" width="6.69921875" style="138" customWidth="1"/>
    <col min="6406" max="6648" width="9" style="138" customWidth="1"/>
    <col min="6649" max="6649" width="7" style="138" customWidth="1"/>
    <col min="6650" max="6650" width="7.5" style="138" customWidth="1"/>
    <col min="6651" max="6651" width="6.69921875" style="138" customWidth="1"/>
    <col min="6652" max="6652" width="6.8984375" style="138" customWidth="1"/>
    <col min="6653" max="6653" width="7" style="138" customWidth="1"/>
    <col min="6654" max="6654" width="7.5" style="138" customWidth="1"/>
    <col min="6655" max="6655" width="6.59765625" style="138" customWidth="1"/>
    <col min="6656" max="6660" width="7.09765625" style="138" customWidth="1"/>
    <col min="6661" max="6661" width="6.69921875" style="138" customWidth="1"/>
    <col min="6662" max="6904" width="9" style="138" customWidth="1"/>
    <col min="6905" max="6905" width="7" style="138" customWidth="1"/>
    <col min="6906" max="6906" width="7.5" style="138" customWidth="1"/>
    <col min="6907" max="6907" width="6.69921875" style="138" customWidth="1"/>
    <col min="6908" max="6908" width="6.8984375" style="138" customWidth="1"/>
    <col min="6909" max="6909" width="7" style="138" customWidth="1"/>
    <col min="6910" max="6910" width="7.5" style="138" customWidth="1"/>
    <col min="6911" max="6911" width="6.59765625" style="138" customWidth="1"/>
    <col min="6912" max="6916" width="7.09765625" style="138" customWidth="1"/>
    <col min="6917" max="6917" width="6.69921875" style="138" customWidth="1"/>
    <col min="6918" max="7160" width="9" style="138" customWidth="1"/>
    <col min="7161" max="7161" width="7" style="138" customWidth="1"/>
    <col min="7162" max="7162" width="7.5" style="138" customWidth="1"/>
    <col min="7163" max="7163" width="6.69921875" style="138" customWidth="1"/>
    <col min="7164" max="7164" width="6.8984375" style="138" customWidth="1"/>
    <col min="7165" max="7165" width="7" style="138" customWidth="1"/>
    <col min="7166" max="7166" width="7.5" style="138" customWidth="1"/>
    <col min="7167" max="7167" width="6.59765625" style="138" customWidth="1"/>
    <col min="7168" max="7172" width="7.09765625" style="138" customWidth="1"/>
    <col min="7173" max="7173" width="6.69921875" style="138" customWidth="1"/>
    <col min="7174" max="7416" width="9" style="138" customWidth="1"/>
    <col min="7417" max="7417" width="7" style="138" customWidth="1"/>
    <col min="7418" max="7418" width="7.5" style="138" customWidth="1"/>
    <col min="7419" max="7419" width="6.69921875" style="138" customWidth="1"/>
    <col min="7420" max="7420" width="6.8984375" style="138" customWidth="1"/>
    <col min="7421" max="7421" width="7" style="138" customWidth="1"/>
    <col min="7422" max="7422" width="7.5" style="138" customWidth="1"/>
    <col min="7423" max="7423" width="6.59765625" style="138" customWidth="1"/>
    <col min="7424" max="7428" width="7.09765625" style="138" customWidth="1"/>
    <col min="7429" max="7429" width="6.69921875" style="138" customWidth="1"/>
    <col min="7430" max="7672" width="9" style="138" customWidth="1"/>
    <col min="7673" max="7673" width="7" style="138" customWidth="1"/>
    <col min="7674" max="7674" width="7.5" style="138" customWidth="1"/>
    <col min="7675" max="7675" width="6.69921875" style="138" customWidth="1"/>
    <col min="7676" max="7676" width="6.8984375" style="138" customWidth="1"/>
    <col min="7677" max="7677" width="7" style="138" customWidth="1"/>
    <col min="7678" max="7678" width="7.5" style="138" customWidth="1"/>
    <col min="7679" max="7679" width="6.59765625" style="138" customWidth="1"/>
    <col min="7680" max="7684" width="7.09765625" style="138" customWidth="1"/>
    <col min="7685" max="7685" width="6.69921875" style="138" customWidth="1"/>
    <col min="7686" max="7928" width="9" style="138" customWidth="1"/>
    <col min="7929" max="7929" width="7" style="138" customWidth="1"/>
    <col min="7930" max="7930" width="7.5" style="138" customWidth="1"/>
    <col min="7931" max="7931" width="6.69921875" style="138" customWidth="1"/>
    <col min="7932" max="7932" width="6.8984375" style="138" customWidth="1"/>
    <col min="7933" max="7933" width="7" style="138" customWidth="1"/>
    <col min="7934" max="7934" width="7.5" style="138" customWidth="1"/>
    <col min="7935" max="7935" width="6.59765625" style="138" customWidth="1"/>
    <col min="7936" max="7940" width="7.09765625" style="138" customWidth="1"/>
    <col min="7941" max="7941" width="6.69921875" style="138" customWidth="1"/>
    <col min="7942" max="8184" width="9" style="138" customWidth="1"/>
    <col min="8185" max="8185" width="7" style="138" customWidth="1"/>
    <col min="8186" max="8186" width="7.5" style="138" customWidth="1"/>
    <col min="8187" max="8187" width="6.69921875" style="138" customWidth="1"/>
    <col min="8188" max="8188" width="6.8984375" style="138" customWidth="1"/>
    <col min="8189" max="8189" width="7" style="138" customWidth="1"/>
    <col min="8190" max="8190" width="7.5" style="138" customWidth="1"/>
    <col min="8191" max="8191" width="6.59765625" style="138" customWidth="1"/>
    <col min="8192" max="8196" width="7.09765625" style="138" customWidth="1"/>
    <col min="8197" max="8197" width="6.69921875" style="138" customWidth="1"/>
    <col min="8198" max="8440" width="9" style="138" customWidth="1"/>
    <col min="8441" max="8441" width="7" style="138" customWidth="1"/>
    <col min="8442" max="8442" width="7.5" style="138" customWidth="1"/>
    <col min="8443" max="8443" width="6.69921875" style="138" customWidth="1"/>
    <col min="8444" max="8444" width="6.8984375" style="138" customWidth="1"/>
    <col min="8445" max="8445" width="7" style="138" customWidth="1"/>
    <col min="8446" max="8446" width="7.5" style="138" customWidth="1"/>
    <col min="8447" max="8447" width="6.59765625" style="138" customWidth="1"/>
    <col min="8448" max="8452" width="7.09765625" style="138" customWidth="1"/>
    <col min="8453" max="8453" width="6.69921875" style="138" customWidth="1"/>
    <col min="8454" max="8696" width="9" style="138" customWidth="1"/>
    <col min="8697" max="8697" width="7" style="138" customWidth="1"/>
    <col min="8698" max="8698" width="7.5" style="138" customWidth="1"/>
    <col min="8699" max="8699" width="6.69921875" style="138" customWidth="1"/>
    <col min="8700" max="8700" width="6.8984375" style="138" customWidth="1"/>
    <col min="8701" max="8701" width="7" style="138" customWidth="1"/>
    <col min="8702" max="8702" width="7.5" style="138" customWidth="1"/>
    <col min="8703" max="8703" width="6.59765625" style="138" customWidth="1"/>
    <col min="8704" max="8708" width="7.09765625" style="138" customWidth="1"/>
    <col min="8709" max="8709" width="6.69921875" style="138" customWidth="1"/>
    <col min="8710" max="8952" width="9" style="138" customWidth="1"/>
    <col min="8953" max="8953" width="7" style="138" customWidth="1"/>
    <col min="8954" max="8954" width="7.5" style="138" customWidth="1"/>
    <col min="8955" max="8955" width="6.69921875" style="138" customWidth="1"/>
    <col min="8956" max="8956" width="6.8984375" style="138" customWidth="1"/>
    <col min="8957" max="8957" width="7" style="138" customWidth="1"/>
    <col min="8958" max="8958" width="7.5" style="138" customWidth="1"/>
    <col min="8959" max="8959" width="6.59765625" style="138" customWidth="1"/>
    <col min="8960" max="8964" width="7.09765625" style="138" customWidth="1"/>
    <col min="8965" max="8965" width="6.69921875" style="138" customWidth="1"/>
    <col min="8966" max="9208" width="9" style="138" customWidth="1"/>
    <col min="9209" max="9209" width="7" style="138" customWidth="1"/>
    <col min="9210" max="9210" width="7.5" style="138" customWidth="1"/>
    <col min="9211" max="9211" width="6.69921875" style="138" customWidth="1"/>
    <col min="9212" max="9212" width="6.8984375" style="138" customWidth="1"/>
    <col min="9213" max="9213" width="7" style="138" customWidth="1"/>
    <col min="9214" max="9214" width="7.5" style="138" customWidth="1"/>
    <col min="9215" max="9215" width="6.59765625" style="138" customWidth="1"/>
    <col min="9216" max="9220" width="7.09765625" style="138" customWidth="1"/>
    <col min="9221" max="9221" width="6.69921875" style="138" customWidth="1"/>
    <col min="9222" max="9464" width="9" style="138" customWidth="1"/>
    <col min="9465" max="9465" width="7" style="138" customWidth="1"/>
    <col min="9466" max="9466" width="7.5" style="138" customWidth="1"/>
    <col min="9467" max="9467" width="6.69921875" style="138" customWidth="1"/>
    <col min="9468" max="9468" width="6.8984375" style="138" customWidth="1"/>
    <col min="9469" max="9469" width="7" style="138" customWidth="1"/>
    <col min="9470" max="9470" width="7.5" style="138" customWidth="1"/>
    <col min="9471" max="9471" width="6.59765625" style="138" customWidth="1"/>
    <col min="9472" max="9476" width="7.09765625" style="138" customWidth="1"/>
    <col min="9477" max="9477" width="6.69921875" style="138" customWidth="1"/>
    <col min="9478" max="9720" width="9" style="138" customWidth="1"/>
    <col min="9721" max="9721" width="7" style="138" customWidth="1"/>
    <col min="9722" max="9722" width="7.5" style="138" customWidth="1"/>
    <col min="9723" max="9723" width="6.69921875" style="138" customWidth="1"/>
    <col min="9724" max="9724" width="6.8984375" style="138" customWidth="1"/>
    <col min="9725" max="9725" width="7" style="138" customWidth="1"/>
    <col min="9726" max="9726" width="7.5" style="138" customWidth="1"/>
    <col min="9727" max="9727" width="6.59765625" style="138" customWidth="1"/>
    <col min="9728" max="9732" width="7.09765625" style="138" customWidth="1"/>
    <col min="9733" max="9733" width="6.69921875" style="138" customWidth="1"/>
    <col min="9734" max="9976" width="9" style="138" customWidth="1"/>
    <col min="9977" max="9977" width="7" style="138" customWidth="1"/>
    <col min="9978" max="9978" width="7.5" style="138" customWidth="1"/>
    <col min="9979" max="9979" width="6.69921875" style="138" customWidth="1"/>
    <col min="9980" max="9980" width="6.8984375" style="138" customWidth="1"/>
    <col min="9981" max="9981" width="7" style="138" customWidth="1"/>
    <col min="9982" max="9982" width="7.5" style="138" customWidth="1"/>
    <col min="9983" max="9983" width="6.59765625" style="138" customWidth="1"/>
    <col min="9984" max="9988" width="7.09765625" style="138" customWidth="1"/>
    <col min="9989" max="9989" width="6.69921875" style="138" customWidth="1"/>
    <col min="9990" max="10232" width="9" style="138" customWidth="1"/>
    <col min="10233" max="10233" width="7" style="138" customWidth="1"/>
    <col min="10234" max="10234" width="7.5" style="138" customWidth="1"/>
    <col min="10235" max="10235" width="6.69921875" style="138" customWidth="1"/>
    <col min="10236" max="10236" width="6.8984375" style="138" customWidth="1"/>
    <col min="10237" max="10237" width="7" style="138" customWidth="1"/>
    <col min="10238" max="10238" width="7.5" style="138" customWidth="1"/>
    <col min="10239" max="10239" width="6.59765625" style="138" customWidth="1"/>
    <col min="10240" max="10244" width="7.09765625" style="138" customWidth="1"/>
    <col min="10245" max="10245" width="6.69921875" style="138" customWidth="1"/>
    <col min="10246" max="10488" width="9" style="138" customWidth="1"/>
    <col min="10489" max="10489" width="7" style="138" customWidth="1"/>
    <col min="10490" max="10490" width="7.5" style="138" customWidth="1"/>
    <col min="10491" max="10491" width="6.69921875" style="138" customWidth="1"/>
    <col min="10492" max="10492" width="6.8984375" style="138" customWidth="1"/>
    <col min="10493" max="10493" width="7" style="138" customWidth="1"/>
    <col min="10494" max="10494" width="7.5" style="138" customWidth="1"/>
    <col min="10495" max="10495" width="6.59765625" style="138" customWidth="1"/>
    <col min="10496" max="10500" width="7.09765625" style="138" customWidth="1"/>
    <col min="10501" max="10501" width="6.69921875" style="138" customWidth="1"/>
    <col min="10502" max="10744" width="9" style="138" customWidth="1"/>
    <col min="10745" max="10745" width="7" style="138" customWidth="1"/>
    <col min="10746" max="10746" width="7.5" style="138" customWidth="1"/>
    <col min="10747" max="10747" width="6.69921875" style="138" customWidth="1"/>
    <col min="10748" max="10748" width="6.8984375" style="138" customWidth="1"/>
    <col min="10749" max="10749" width="7" style="138" customWidth="1"/>
    <col min="10750" max="10750" width="7.5" style="138" customWidth="1"/>
    <col min="10751" max="10751" width="6.59765625" style="138" customWidth="1"/>
    <col min="10752" max="10756" width="7.09765625" style="138" customWidth="1"/>
    <col min="10757" max="10757" width="6.69921875" style="138" customWidth="1"/>
    <col min="10758" max="11000" width="9" style="138" customWidth="1"/>
    <col min="11001" max="11001" width="7" style="138" customWidth="1"/>
    <col min="11002" max="11002" width="7.5" style="138" customWidth="1"/>
    <col min="11003" max="11003" width="6.69921875" style="138" customWidth="1"/>
    <col min="11004" max="11004" width="6.8984375" style="138" customWidth="1"/>
    <col min="11005" max="11005" width="7" style="138" customWidth="1"/>
    <col min="11006" max="11006" width="7.5" style="138" customWidth="1"/>
    <col min="11007" max="11007" width="6.59765625" style="138" customWidth="1"/>
    <col min="11008" max="11012" width="7.09765625" style="138" customWidth="1"/>
    <col min="11013" max="11013" width="6.69921875" style="138" customWidth="1"/>
    <col min="11014" max="11256" width="9" style="138" customWidth="1"/>
    <col min="11257" max="11257" width="7" style="138" customWidth="1"/>
    <col min="11258" max="11258" width="7.5" style="138" customWidth="1"/>
    <col min="11259" max="11259" width="6.69921875" style="138" customWidth="1"/>
    <col min="11260" max="11260" width="6.8984375" style="138" customWidth="1"/>
    <col min="11261" max="11261" width="7" style="138" customWidth="1"/>
    <col min="11262" max="11262" width="7.5" style="138" customWidth="1"/>
    <col min="11263" max="11263" width="6.59765625" style="138" customWidth="1"/>
    <col min="11264" max="11268" width="7.09765625" style="138" customWidth="1"/>
    <col min="11269" max="11269" width="6.69921875" style="138" customWidth="1"/>
    <col min="11270" max="11512" width="9" style="138" customWidth="1"/>
    <col min="11513" max="11513" width="7" style="138" customWidth="1"/>
    <col min="11514" max="11514" width="7.5" style="138" customWidth="1"/>
    <col min="11515" max="11515" width="6.69921875" style="138" customWidth="1"/>
    <col min="11516" max="11516" width="6.8984375" style="138" customWidth="1"/>
    <col min="11517" max="11517" width="7" style="138" customWidth="1"/>
    <col min="11518" max="11518" width="7.5" style="138" customWidth="1"/>
    <col min="11519" max="11519" width="6.59765625" style="138" customWidth="1"/>
    <col min="11520" max="11524" width="7.09765625" style="138" customWidth="1"/>
    <col min="11525" max="11525" width="6.69921875" style="138" customWidth="1"/>
    <col min="11526" max="11768" width="9" style="138" customWidth="1"/>
    <col min="11769" max="11769" width="7" style="138" customWidth="1"/>
    <col min="11770" max="11770" width="7.5" style="138" customWidth="1"/>
    <col min="11771" max="11771" width="6.69921875" style="138" customWidth="1"/>
    <col min="11772" max="11772" width="6.8984375" style="138" customWidth="1"/>
    <col min="11773" max="11773" width="7" style="138" customWidth="1"/>
    <col min="11774" max="11774" width="7.5" style="138" customWidth="1"/>
    <col min="11775" max="11775" width="6.59765625" style="138" customWidth="1"/>
    <col min="11776" max="11780" width="7.09765625" style="138" customWidth="1"/>
    <col min="11781" max="11781" width="6.69921875" style="138" customWidth="1"/>
    <col min="11782" max="12024" width="9" style="138" customWidth="1"/>
    <col min="12025" max="12025" width="7" style="138" customWidth="1"/>
    <col min="12026" max="12026" width="7.5" style="138" customWidth="1"/>
    <col min="12027" max="12027" width="6.69921875" style="138" customWidth="1"/>
    <col min="12028" max="12028" width="6.8984375" style="138" customWidth="1"/>
    <col min="12029" max="12029" width="7" style="138" customWidth="1"/>
    <col min="12030" max="12030" width="7.5" style="138" customWidth="1"/>
    <col min="12031" max="12031" width="6.59765625" style="138" customWidth="1"/>
    <col min="12032" max="12036" width="7.09765625" style="138" customWidth="1"/>
    <col min="12037" max="12037" width="6.69921875" style="138" customWidth="1"/>
    <col min="12038" max="12280" width="9" style="138" customWidth="1"/>
    <col min="12281" max="12281" width="7" style="138" customWidth="1"/>
    <col min="12282" max="12282" width="7.5" style="138" customWidth="1"/>
    <col min="12283" max="12283" width="6.69921875" style="138" customWidth="1"/>
    <col min="12284" max="12284" width="6.8984375" style="138" customWidth="1"/>
    <col min="12285" max="12285" width="7" style="138" customWidth="1"/>
    <col min="12286" max="12286" width="7.5" style="138" customWidth="1"/>
    <col min="12287" max="12287" width="6.59765625" style="138" customWidth="1"/>
    <col min="12288" max="12292" width="7.09765625" style="138" customWidth="1"/>
    <col min="12293" max="12293" width="6.69921875" style="138" customWidth="1"/>
    <col min="12294" max="12536" width="9" style="138" customWidth="1"/>
    <col min="12537" max="12537" width="7" style="138" customWidth="1"/>
    <col min="12538" max="12538" width="7.5" style="138" customWidth="1"/>
    <col min="12539" max="12539" width="6.69921875" style="138" customWidth="1"/>
    <col min="12540" max="12540" width="6.8984375" style="138" customWidth="1"/>
    <col min="12541" max="12541" width="7" style="138" customWidth="1"/>
    <col min="12542" max="12542" width="7.5" style="138" customWidth="1"/>
    <col min="12543" max="12543" width="6.59765625" style="138" customWidth="1"/>
    <col min="12544" max="12548" width="7.09765625" style="138" customWidth="1"/>
    <col min="12549" max="12549" width="6.69921875" style="138" customWidth="1"/>
    <col min="12550" max="12792" width="9" style="138" customWidth="1"/>
    <col min="12793" max="12793" width="7" style="138" customWidth="1"/>
    <col min="12794" max="12794" width="7.5" style="138" customWidth="1"/>
    <col min="12795" max="12795" width="6.69921875" style="138" customWidth="1"/>
    <col min="12796" max="12796" width="6.8984375" style="138" customWidth="1"/>
    <col min="12797" max="12797" width="7" style="138" customWidth="1"/>
    <col min="12798" max="12798" width="7.5" style="138" customWidth="1"/>
    <col min="12799" max="12799" width="6.59765625" style="138" customWidth="1"/>
    <col min="12800" max="12804" width="7.09765625" style="138" customWidth="1"/>
    <col min="12805" max="12805" width="6.69921875" style="138" customWidth="1"/>
    <col min="12806" max="13048" width="9" style="138" customWidth="1"/>
    <col min="13049" max="13049" width="7" style="138" customWidth="1"/>
    <col min="13050" max="13050" width="7.5" style="138" customWidth="1"/>
    <col min="13051" max="13051" width="6.69921875" style="138" customWidth="1"/>
    <col min="13052" max="13052" width="6.8984375" style="138" customWidth="1"/>
    <col min="13053" max="13053" width="7" style="138" customWidth="1"/>
    <col min="13054" max="13054" width="7.5" style="138" customWidth="1"/>
    <col min="13055" max="13055" width="6.59765625" style="138" customWidth="1"/>
    <col min="13056" max="13060" width="7.09765625" style="138" customWidth="1"/>
    <col min="13061" max="13061" width="6.69921875" style="138" customWidth="1"/>
    <col min="13062" max="13304" width="9" style="138" customWidth="1"/>
    <col min="13305" max="13305" width="7" style="138" customWidth="1"/>
    <col min="13306" max="13306" width="7.5" style="138" customWidth="1"/>
    <col min="13307" max="13307" width="6.69921875" style="138" customWidth="1"/>
    <col min="13308" max="13308" width="6.8984375" style="138" customWidth="1"/>
    <col min="13309" max="13309" width="7" style="138" customWidth="1"/>
    <col min="13310" max="13310" width="7.5" style="138" customWidth="1"/>
    <col min="13311" max="13311" width="6.59765625" style="138" customWidth="1"/>
    <col min="13312" max="13316" width="7.09765625" style="138" customWidth="1"/>
    <col min="13317" max="13317" width="6.69921875" style="138" customWidth="1"/>
    <col min="13318" max="13560" width="9" style="138" customWidth="1"/>
    <col min="13561" max="13561" width="7" style="138" customWidth="1"/>
    <col min="13562" max="13562" width="7.5" style="138" customWidth="1"/>
    <col min="13563" max="13563" width="6.69921875" style="138" customWidth="1"/>
    <col min="13564" max="13564" width="6.8984375" style="138" customWidth="1"/>
    <col min="13565" max="13565" width="7" style="138" customWidth="1"/>
    <col min="13566" max="13566" width="7.5" style="138" customWidth="1"/>
    <col min="13567" max="13567" width="6.59765625" style="138" customWidth="1"/>
    <col min="13568" max="13572" width="7.09765625" style="138" customWidth="1"/>
    <col min="13573" max="13573" width="6.69921875" style="138" customWidth="1"/>
    <col min="13574" max="13816" width="9" style="138" customWidth="1"/>
    <col min="13817" max="13817" width="7" style="138" customWidth="1"/>
    <col min="13818" max="13818" width="7.5" style="138" customWidth="1"/>
    <col min="13819" max="13819" width="6.69921875" style="138" customWidth="1"/>
    <col min="13820" max="13820" width="6.8984375" style="138" customWidth="1"/>
    <col min="13821" max="13821" width="7" style="138" customWidth="1"/>
    <col min="13822" max="13822" width="7.5" style="138" customWidth="1"/>
    <col min="13823" max="13823" width="6.59765625" style="138" customWidth="1"/>
    <col min="13824" max="13828" width="7.09765625" style="138" customWidth="1"/>
    <col min="13829" max="13829" width="6.69921875" style="138" customWidth="1"/>
    <col min="13830" max="14072" width="9" style="138" customWidth="1"/>
    <col min="14073" max="14073" width="7" style="138" customWidth="1"/>
    <col min="14074" max="14074" width="7.5" style="138" customWidth="1"/>
    <col min="14075" max="14075" width="6.69921875" style="138" customWidth="1"/>
    <col min="14076" max="14076" width="6.8984375" style="138" customWidth="1"/>
    <col min="14077" max="14077" width="7" style="138" customWidth="1"/>
    <col min="14078" max="14078" width="7.5" style="138" customWidth="1"/>
    <col min="14079" max="14079" width="6.59765625" style="138" customWidth="1"/>
    <col min="14080" max="14084" width="7.09765625" style="138" customWidth="1"/>
    <col min="14085" max="14085" width="6.69921875" style="138" customWidth="1"/>
    <col min="14086" max="14328" width="9" style="138" customWidth="1"/>
    <col min="14329" max="14329" width="7" style="138" customWidth="1"/>
    <col min="14330" max="14330" width="7.5" style="138" customWidth="1"/>
    <col min="14331" max="14331" width="6.69921875" style="138" customWidth="1"/>
    <col min="14332" max="14332" width="6.8984375" style="138" customWidth="1"/>
    <col min="14333" max="14333" width="7" style="138" customWidth="1"/>
    <col min="14334" max="14334" width="7.5" style="138" customWidth="1"/>
    <col min="14335" max="14335" width="6.59765625" style="138" customWidth="1"/>
    <col min="14336" max="14340" width="7.09765625" style="138" customWidth="1"/>
    <col min="14341" max="14341" width="6.69921875" style="138" customWidth="1"/>
    <col min="14342" max="14584" width="9" style="138" customWidth="1"/>
    <col min="14585" max="14585" width="7" style="138" customWidth="1"/>
    <col min="14586" max="14586" width="7.5" style="138" customWidth="1"/>
    <col min="14587" max="14587" width="6.69921875" style="138" customWidth="1"/>
    <col min="14588" max="14588" width="6.8984375" style="138" customWidth="1"/>
    <col min="14589" max="14589" width="7" style="138" customWidth="1"/>
    <col min="14590" max="14590" width="7.5" style="138" customWidth="1"/>
    <col min="14591" max="14591" width="6.59765625" style="138" customWidth="1"/>
    <col min="14592" max="14596" width="7.09765625" style="138" customWidth="1"/>
    <col min="14597" max="14597" width="6.69921875" style="138" customWidth="1"/>
    <col min="14598" max="14840" width="9" style="138" customWidth="1"/>
    <col min="14841" max="14841" width="7" style="138" customWidth="1"/>
    <col min="14842" max="14842" width="7.5" style="138" customWidth="1"/>
    <col min="14843" max="14843" width="6.69921875" style="138" customWidth="1"/>
    <col min="14844" max="14844" width="6.8984375" style="138" customWidth="1"/>
    <col min="14845" max="14845" width="7" style="138" customWidth="1"/>
    <col min="14846" max="14846" width="7.5" style="138" customWidth="1"/>
    <col min="14847" max="14847" width="6.59765625" style="138" customWidth="1"/>
    <col min="14848" max="14852" width="7.09765625" style="138" customWidth="1"/>
    <col min="14853" max="14853" width="6.69921875" style="138" customWidth="1"/>
    <col min="14854" max="15096" width="9" style="138" customWidth="1"/>
    <col min="15097" max="15097" width="7" style="138" customWidth="1"/>
    <col min="15098" max="15098" width="7.5" style="138" customWidth="1"/>
    <col min="15099" max="15099" width="6.69921875" style="138" customWidth="1"/>
    <col min="15100" max="15100" width="6.8984375" style="138" customWidth="1"/>
    <col min="15101" max="15101" width="7" style="138" customWidth="1"/>
    <col min="15102" max="15102" width="7.5" style="138" customWidth="1"/>
    <col min="15103" max="15103" width="6.59765625" style="138" customWidth="1"/>
    <col min="15104" max="15108" width="7.09765625" style="138" customWidth="1"/>
    <col min="15109" max="15109" width="6.69921875" style="138" customWidth="1"/>
    <col min="15110" max="15352" width="9" style="138" customWidth="1"/>
    <col min="15353" max="15353" width="7" style="138" customWidth="1"/>
    <col min="15354" max="15354" width="7.5" style="138" customWidth="1"/>
    <col min="15355" max="15355" width="6.69921875" style="138" customWidth="1"/>
    <col min="15356" max="15356" width="6.8984375" style="138" customWidth="1"/>
    <col min="15357" max="15357" width="7" style="138" customWidth="1"/>
    <col min="15358" max="15358" width="7.5" style="138" customWidth="1"/>
    <col min="15359" max="15359" width="6.59765625" style="138" customWidth="1"/>
    <col min="15360" max="15364" width="7.09765625" style="138" customWidth="1"/>
    <col min="15365" max="15365" width="6.69921875" style="138" customWidth="1"/>
    <col min="15366" max="15608" width="9" style="138" customWidth="1"/>
    <col min="15609" max="15609" width="7" style="138" customWidth="1"/>
    <col min="15610" max="15610" width="7.5" style="138" customWidth="1"/>
    <col min="15611" max="15611" width="6.69921875" style="138" customWidth="1"/>
    <col min="15612" max="15612" width="6.8984375" style="138" customWidth="1"/>
    <col min="15613" max="15613" width="7" style="138" customWidth="1"/>
    <col min="15614" max="15614" width="7.5" style="138" customWidth="1"/>
    <col min="15615" max="15615" width="6.59765625" style="138" customWidth="1"/>
    <col min="15616" max="15620" width="7.09765625" style="138" customWidth="1"/>
    <col min="15621" max="15621" width="6.69921875" style="138" customWidth="1"/>
    <col min="15622" max="15864" width="9" style="138" customWidth="1"/>
    <col min="15865" max="15865" width="7" style="138" customWidth="1"/>
    <col min="15866" max="15866" width="7.5" style="138" customWidth="1"/>
    <col min="15867" max="15867" width="6.69921875" style="138" customWidth="1"/>
    <col min="15868" max="15868" width="6.8984375" style="138" customWidth="1"/>
    <col min="15869" max="15869" width="7" style="138" customWidth="1"/>
    <col min="15870" max="15870" width="7.5" style="138" customWidth="1"/>
    <col min="15871" max="15871" width="6.59765625" style="138" customWidth="1"/>
    <col min="15872" max="15876" width="7.09765625" style="138" customWidth="1"/>
    <col min="15877" max="15877" width="6.69921875" style="138" customWidth="1"/>
    <col min="15878" max="16120" width="9" style="138" customWidth="1"/>
    <col min="16121" max="16121" width="7" style="138" customWidth="1"/>
    <col min="16122" max="16122" width="7.5" style="138" customWidth="1"/>
    <col min="16123" max="16123" width="6.69921875" style="138" customWidth="1"/>
    <col min="16124" max="16124" width="6.8984375" style="138" customWidth="1"/>
    <col min="16125" max="16125" width="7" style="138" customWidth="1"/>
    <col min="16126" max="16126" width="7.5" style="138" customWidth="1"/>
    <col min="16127" max="16127" width="6.59765625" style="138" customWidth="1"/>
    <col min="16128" max="16132" width="7.09765625" style="138" customWidth="1"/>
    <col min="16133" max="16133" width="6.69921875" style="138" customWidth="1"/>
    <col min="16134" max="16384" width="9" style="138" customWidth="1"/>
  </cols>
  <sheetData>
    <row r="1" ht="34.95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</row>
    <row r="2" ht="18.75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ht="10.5" customHeight="1" spans="1:25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</row>
    <row r="4" ht="30" customHeight="1" spans="1:25" x14ac:dyDescent="0.25">
      <c r="A4" s="285" t="s">
        <v>81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ht="10.2" customHeight="1" spans="1:25" x14ac:dyDescent="0.2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</row>
    <row r="6" ht="15" customHeight="1" spans="1:25" s="40" customFormat="1" x14ac:dyDescent="0.25">
      <c r="A6" s="40" t="s">
        <v>82</v>
      </c>
      <c r="B6" s="40" t="s">
        <v>3</v>
      </c>
      <c r="C6" s="40"/>
      <c r="D6" s="40"/>
      <c r="E6" s="40"/>
      <c r="F6" s="145" t="s">
        <v>83</v>
      </c>
      <c r="G6" s="145"/>
      <c r="H6" s="241" t="str">
        <f>'OS-IN'!H6:I6</f>
        <v>0148N</v>
      </c>
      <c r="I6" s="241"/>
      <c r="J6" s="40" t="s">
        <v>84</v>
      </c>
      <c r="K6" s="286">
        <f>'OS-IN'!L6</f>
        <v>46223</v>
      </c>
      <c r="L6" s="145"/>
      <c r="M6" s="145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ht="10.2" customHeight="1" spans="1:25" s="40" customForma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ht="15" customHeight="1" spans="1:25" s="40" customFormat="1" x14ac:dyDescent="0.25">
      <c r="A8" s="40" t="s">
        <v>85</v>
      </c>
      <c r="B8" s="40"/>
      <c r="C8" s="241"/>
      <c r="D8" s="241"/>
      <c r="E8" s="241"/>
      <c r="F8" s="40" t="s">
        <v>86</v>
      </c>
      <c r="G8" s="40"/>
      <c r="H8" s="40"/>
      <c r="I8" s="40"/>
      <c r="J8" s="40" t="s">
        <v>87</v>
      </c>
      <c r="K8" s="145" t="s">
        <v>14</v>
      </c>
      <c r="L8" s="145" t="s">
        <v>15</v>
      </c>
      <c r="M8" s="145" t="s">
        <v>17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ht="13.5" customHeight="1" spans="1:25" s="40" customFormat="1" x14ac:dyDescent="0.25">
      <c r="A9" s="241" t="s">
        <v>88</v>
      </c>
      <c r="B9" s="241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ht="13.5" customHeight="1" spans="1:25" s="40" customFormat="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287" t="s">
        <v>89</v>
      </c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3.5" customHeight="1" spans="1:25" x14ac:dyDescent="0.25">
      <c r="A11" s="288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90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</row>
    <row r="12" spans="1:25" x14ac:dyDescent="0.25">
      <c r="A12" s="291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292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</row>
    <row r="13" spans="1:25" x14ac:dyDescent="0.25">
      <c r="A13" s="291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292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</row>
    <row r="14" spans="1:25" x14ac:dyDescent="0.25">
      <c r="A14" s="291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292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</row>
    <row r="15" spans="1:25" x14ac:dyDescent="0.25">
      <c r="A15" s="291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292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</row>
    <row r="16" spans="1:25" x14ac:dyDescent="0.25">
      <c r="A16" s="291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292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</row>
    <row r="17" spans="1:25" x14ac:dyDescent="0.25">
      <c r="A17" s="291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292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</row>
    <row r="18" spans="1:25" x14ac:dyDescent="0.25">
      <c r="A18" s="291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292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</row>
    <row r="19" spans="1:25" x14ac:dyDescent="0.25">
      <c r="A19" s="291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292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</row>
    <row r="20" spans="1:25" x14ac:dyDescent="0.25">
      <c r="A20" s="291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292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</row>
    <row r="21" spans="1:25" x14ac:dyDescent="0.25">
      <c r="A21" s="291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292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</row>
    <row r="22" spans="1:25" x14ac:dyDescent="0.25">
      <c r="A22" s="291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292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</row>
    <row r="23" spans="1:25" x14ac:dyDescent="0.25">
      <c r="A23" s="291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292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</row>
    <row r="24" spans="1:25" x14ac:dyDescent="0.25">
      <c r="A24" s="291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292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</row>
    <row r="25" ht="9.75" customHeight="1" spans="1:25" x14ac:dyDescent="0.25">
      <c r="A25" s="291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292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</row>
    <row r="26" ht="9.75" customHeight="1" spans="1:25" x14ac:dyDescent="0.25">
      <c r="A26" s="291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292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</row>
    <row r="27" ht="9.75" customHeight="1" spans="1:25" x14ac:dyDescent="0.25">
      <c r="A27" s="291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292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</row>
    <row r="28" ht="9.75" customHeight="1" spans="1:25" x14ac:dyDescent="0.25">
      <c r="A28" s="291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292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</row>
    <row r="29" ht="9.75" customHeight="1" spans="1:25" x14ac:dyDescent="0.25">
      <c r="A29" s="291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292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</row>
    <row r="30" ht="9.75" customHeight="1" spans="1:25" x14ac:dyDescent="0.25">
      <c r="A30" s="291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292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</row>
    <row r="31" ht="9.75" customHeight="1" spans="1:25" x14ac:dyDescent="0.25">
      <c r="A31" s="293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5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</row>
    <row r="32" ht="18" customHeight="1" spans="1:25" x14ac:dyDescent="0.25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</row>
    <row r="33" ht="12.6" customHeight="1" spans="1:25" x14ac:dyDescent="0.25">
      <c r="A33" s="296" t="s">
        <v>90</v>
      </c>
      <c r="B33" s="296"/>
      <c r="C33" s="296"/>
      <c r="D33" s="297"/>
      <c r="E33" s="297"/>
      <c r="F33" s="297"/>
      <c r="G33" s="297"/>
      <c r="H33" s="297"/>
      <c r="I33" s="297"/>
      <c r="J33" s="297"/>
      <c r="K33" s="297"/>
      <c r="L33" s="297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</row>
    <row r="34" ht="21.9" customHeight="1" spans="1:25" s="40" customFormat="1" x14ac:dyDescent="0.25">
      <c r="A34" s="298"/>
      <c r="B34" s="299" t="s">
        <v>91</v>
      </c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21.9" customHeight="1" spans="1:25" s="40" customFormat="1" x14ac:dyDescent="0.25">
      <c r="A35" s="298"/>
      <c r="B35" s="300" t="s">
        <v>92</v>
      </c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21.9" customHeight="1" spans="1:25" s="40" customFormat="1" x14ac:dyDescent="0.25">
      <c r="A36" s="300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21.9" customHeight="1" spans="1:25" s="40" customFormat="1" x14ac:dyDescent="0.25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21.9" customHeight="1" spans="1:25" s="40" customFormat="1" x14ac:dyDescent="0.25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21.75" customHeight="1" spans="1:25" s="40" customFormat="1" x14ac:dyDescent="0.25">
      <c r="A39" s="298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8" customHeight="1" spans="1:25" x14ac:dyDescent="0.25">
      <c r="A40" s="301" t="s">
        <v>93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</row>
    <row r="41" ht="15.9" customHeight="1" spans="1:25" s="40" customFormat="1" x14ac:dyDescent="0.25">
      <c r="A41" s="302" t="s">
        <v>94</v>
      </c>
      <c r="B41" s="303" t="s">
        <v>95</v>
      </c>
      <c r="C41" s="302" t="s">
        <v>96</v>
      </c>
      <c r="D41" s="303" t="s">
        <v>97</v>
      </c>
      <c r="E41" s="302" t="s">
        <v>98</v>
      </c>
      <c r="F41" s="302" t="s">
        <v>99</v>
      </c>
      <c r="G41" s="262" t="s">
        <v>100</v>
      </c>
      <c r="H41" s="303" t="s">
        <v>101</v>
      </c>
      <c r="I41" s="304" t="s">
        <v>102</v>
      </c>
      <c r="J41" s="262" t="s">
        <v>103</v>
      </c>
      <c r="K41" s="284" t="s">
        <v>104</v>
      </c>
      <c r="L41" s="262" t="s">
        <v>105</v>
      </c>
      <c r="M41" s="155" t="s">
        <v>106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3.5" customHeight="1" spans="1:25" s="305" customFormat="1" x14ac:dyDescent="0.25">
      <c r="A42" s="306" t="s">
        <v>107</v>
      </c>
      <c r="B42" s="306" t="s">
        <v>108</v>
      </c>
      <c r="C42" s="306" t="s">
        <v>109</v>
      </c>
      <c r="D42" s="306" t="s">
        <v>110</v>
      </c>
      <c r="E42" s="306" t="s">
        <v>111</v>
      </c>
      <c r="F42" s="306" t="s">
        <v>112</v>
      </c>
      <c r="G42" s="306" t="s">
        <v>113</v>
      </c>
      <c r="H42" s="307" t="s">
        <v>114</v>
      </c>
      <c r="I42" s="307" t="s">
        <v>115</v>
      </c>
      <c r="J42" s="306" t="s">
        <v>116</v>
      </c>
      <c r="K42" s="308" t="s">
        <v>117</v>
      </c>
      <c r="L42" s="306" t="s">
        <v>118</v>
      </c>
      <c r="M42" s="309" t="s">
        <v>119</v>
      </c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</row>
    <row r="43" ht="13.5" customHeight="1" spans="1:25" s="305" customFormat="1" x14ac:dyDescent="0.25">
      <c r="A43" s="310"/>
      <c r="B43" s="310"/>
      <c r="C43" s="310"/>
      <c r="D43" s="310"/>
      <c r="E43" s="310"/>
      <c r="F43" s="310"/>
      <c r="G43" s="310"/>
      <c r="H43" s="311"/>
      <c r="I43" s="311"/>
      <c r="J43" s="310"/>
      <c r="K43" s="312"/>
      <c r="L43" s="310"/>
      <c r="M43" s="313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</row>
    <row r="44" ht="13.2" customHeight="1" spans="1:25" x14ac:dyDescent="0.25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</row>
    <row r="45" spans="1:25" x14ac:dyDescent="0.2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</row>
    <row r="46" spans="1:25" x14ac:dyDescent="0.25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</row>
    <row r="47" spans="1:25" x14ac:dyDescent="0.25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</row>
    <row r="48" ht="19.2" customHeight="1" spans="1:25" x14ac:dyDescent="0.25">
      <c r="A48" s="294"/>
      <c r="B48" s="294"/>
      <c r="C48" s="294"/>
      <c r="D48" s="3"/>
      <c r="E48" s="3"/>
      <c r="F48" s="294"/>
      <c r="G48" s="294"/>
      <c r="H48" s="294"/>
      <c r="I48" s="138"/>
      <c r="J48" s="138"/>
      <c r="K48" s="294"/>
      <c r="L48" s="294"/>
      <c r="M48" s="294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</row>
    <row r="49" ht="19.2" customHeight="1" spans="1:25" x14ac:dyDescent="0.25">
      <c r="A49" s="314" t="s">
        <v>23</v>
      </c>
      <c r="B49" s="137"/>
      <c r="C49" s="137"/>
      <c r="D49" s="15"/>
      <c r="E49" s="15"/>
      <c r="F49" s="314" t="s">
        <v>120</v>
      </c>
      <c r="G49" s="137"/>
      <c r="H49" s="137"/>
      <c r="I49" s="138"/>
      <c r="J49" s="138"/>
      <c r="K49" s="314" t="s">
        <v>24</v>
      </c>
      <c r="L49" s="137"/>
      <c r="M49" s="137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</row>
    <row r="50" spans="1:25" x14ac:dyDescent="0.25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</row>
    <row r="51" spans="1:25" x14ac:dyDescent="0.25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</row>
    <row r="52" spans="1:25" x14ac:dyDescent="0.25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</row>
    <row r="53" spans="1:25" x14ac:dyDescent="0.25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</row>
    <row r="54" spans="1:25" x14ac:dyDescent="0.25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</row>
  </sheetData>
  <mergeCells count="31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7:M37"/>
    <mergeCell ref="B38:M38"/>
    <mergeCell ref="B39:M39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A49:C49"/>
    <mergeCell ref="F49:H49"/>
    <mergeCell ref="K49:M49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7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315" t="s">
        <v>26</v>
      </c>
      <c r="B2" s="315"/>
      <c r="C2" s="315"/>
      <c r="D2" s="315"/>
      <c r="E2" s="315"/>
      <c r="F2" s="315"/>
      <c r="G2" s="315"/>
      <c r="H2" s="31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175"/>
      <c r="B3" s="175"/>
      <c r="C3" s="175"/>
      <c r="D3" s="175"/>
      <c r="E3" s="175"/>
      <c r="F3" s="139"/>
      <c r="G3" s="139"/>
      <c r="H3" s="13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88" t="s">
        <v>121</v>
      </c>
      <c r="B4" s="188"/>
      <c r="C4" s="188"/>
      <c r="D4" s="188"/>
      <c r="E4" s="316"/>
      <c r="F4" s="317" t="s">
        <v>122</v>
      </c>
      <c r="G4" s="189"/>
      <c r="H4" s="17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18"/>
      <c r="B5" s="316"/>
      <c r="C5" s="3"/>
      <c r="D5" s="3"/>
      <c r="E5" s="316"/>
      <c r="F5" s="31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123</v>
      </c>
      <c r="B6" s="3"/>
      <c r="C6" s="3" t="str">
        <f>'OS-IN'!H6</f>
        <v>0148N</v>
      </c>
      <c r="D6" s="3"/>
      <c r="E6" s="3" t="s">
        <v>40</v>
      </c>
      <c r="F6" s="317" t="s">
        <v>124</v>
      </c>
      <c r="G6" s="316" t="s">
        <v>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16" t="s">
        <v>40</v>
      </c>
      <c r="B7" s="316"/>
      <c r="C7" s="3"/>
      <c r="D7" s="3"/>
      <c r="E7" s="3"/>
      <c r="F7" s="139"/>
      <c r="G7" s="3"/>
      <c r="H7" s="3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20" t="s">
        <v>125</v>
      </c>
      <c r="D8" s="321"/>
      <c r="E8" s="321"/>
      <c r="F8" s="321"/>
      <c r="G8" s="322"/>
      <c r="H8" s="13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75" t="s">
        <v>126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s="323" customFormat="1" x14ac:dyDescent="0.25">
      <c r="A10" s="324" t="s">
        <v>127</v>
      </c>
      <c r="B10" s="325"/>
      <c r="C10" s="326"/>
      <c r="D10" s="327" t="s">
        <v>128</v>
      </c>
      <c r="E10" s="328" t="s">
        <v>129</v>
      </c>
      <c r="F10" s="326"/>
      <c r="G10" s="329" t="s">
        <v>130</v>
      </c>
      <c r="H10" s="330" t="s">
        <v>56</v>
      </c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</row>
    <row r="11" ht="24" customHeight="1" spans="1:25" s="323" customFormat="1" x14ac:dyDescent="0.25">
      <c r="A11" s="331" t="s">
        <v>131</v>
      </c>
      <c r="B11" s="332"/>
      <c r="C11" s="333" t="s">
        <v>132</v>
      </c>
      <c r="D11" s="334"/>
      <c r="E11" s="333" t="s">
        <v>131</v>
      </c>
      <c r="F11" s="333" t="s">
        <v>132</v>
      </c>
      <c r="G11" s="335"/>
      <c r="H11" s="336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</row>
    <row r="12" ht="23.1" customHeight="1" spans="1:25" s="323" customFormat="1" x14ac:dyDescent="0.25">
      <c r="A12" s="337"/>
      <c r="B12" s="338"/>
      <c r="C12" s="339"/>
      <c r="D12" s="340"/>
      <c r="E12" s="340"/>
      <c r="F12" s="340"/>
      <c r="G12" s="340"/>
      <c r="H12" s="341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</row>
    <row r="13" ht="23.1" customHeight="1" spans="1:25" s="323" customFormat="1" x14ac:dyDescent="0.25">
      <c r="A13" s="342"/>
      <c r="B13" s="343"/>
      <c r="C13" s="344"/>
      <c r="D13" s="345"/>
      <c r="E13" s="345"/>
      <c r="F13" s="345"/>
      <c r="G13" s="345"/>
      <c r="H13" s="346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</row>
    <row r="14" ht="23.1" customHeight="1" spans="1:25" s="323" customFormat="1" x14ac:dyDescent="0.25">
      <c r="A14" s="342"/>
      <c r="B14" s="343"/>
      <c r="C14" s="344"/>
      <c r="D14" s="345"/>
      <c r="E14" s="345"/>
      <c r="F14" s="345"/>
      <c r="G14" s="345"/>
      <c r="H14" s="346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</row>
    <row r="15" ht="23.1" customHeight="1" spans="1:25" s="323" customFormat="1" x14ac:dyDescent="0.25">
      <c r="A15" s="342"/>
      <c r="B15" s="343"/>
      <c r="C15" s="344"/>
      <c r="D15" s="345"/>
      <c r="E15" s="345"/>
      <c r="F15" s="345"/>
      <c r="G15" s="345"/>
      <c r="H15" s="346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</row>
    <row r="16" ht="23.1" customHeight="1" spans="1:25" s="323" customFormat="1" x14ac:dyDescent="0.25">
      <c r="A16" s="347"/>
      <c r="B16" s="348"/>
      <c r="C16" s="344"/>
      <c r="D16" s="345"/>
      <c r="E16" s="345"/>
      <c r="F16" s="349"/>
      <c r="G16" s="345"/>
      <c r="H16" s="346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</row>
    <row r="17" ht="23.1" customHeight="1" spans="1:25" s="323" customFormat="1" x14ac:dyDescent="0.25">
      <c r="A17" s="350"/>
      <c r="B17" s="351"/>
      <c r="C17" s="352"/>
      <c r="D17" s="96"/>
      <c r="E17" s="96"/>
      <c r="F17" s="353"/>
      <c r="G17" s="96"/>
      <c r="H17" s="354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</row>
    <row r="18" ht="23.1" customHeight="1" spans="1:25" s="323" customFormat="1" x14ac:dyDescent="0.25">
      <c r="A18" s="342"/>
      <c r="B18" s="343"/>
      <c r="C18" s="344"/>
      <c r="D18" s="345"/>
      <c r="E18" s="345"/>
      <c r="F18" s="349"/>
      <c r="G18" s="345"/>
      <c r="H18" s="346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</row>
    <row r="19" ht="23.1" customHeight="1" spans="1:25" s="323" customFormat="1" x14ac:dyDescent="0.25">
      <c r="A19" s="342"/>
      <c r="B19" s="343"/>
      <c r="C19" s="344"/>
      <c r="D19" s="345"/>
      <c r="E19" s="345"/>
      <c r="F19" s="349"/>
      <c r="G19" s="345"/>
      <c r="H19" s="346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</row>
    <row r="20" ht="23.1" customHeight="1" spans="1:25" s="323" customFormat="1" x14ac:dyDescent="0.25">
      <c r="A20" s="342"/>
      <c r="B20" s="343"/>
      <c r="C20" s="344"/>
      <c r="D20" s="345"/>
      <c r="E20" s="345"/>
      <c r="F20" s="349"/>
      <c r="G20" s="345"/>
      <c r="H20" s="346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</row>
    <row r="21" ht="23.1" customHeight="1" spans="1:25" s="323" customFormat="1" x14ac:dyDescent="0.25">
      <c r="A21" s="347"/>
      <c r="B21" s="348"/>
      <c r="C21" s="355"/>
      <c r="D21" s="104"/>
      <c r="E21" s="104"/>
      <c r="F21" s="104"/>
      <c r="G21" s="104"/>
      <c r="H21" s="356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</row>
    <row r="22" ht="23.1" customHeight="1" spans="1:25" s="323" customFormat="1" x14ac:dyDescent="0.25">
      <c r="A22" s="350"/>
      <c r="B22" s="351"/>
      <c r="C22" s="357"/>
      <c r="D22" s="358"/>
      <c r="E22" s="358"/>
      <c r="F22" s="358"/>
      <c r="G22" s="358"/>
      <c r="H22" s="359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</row>
    <row r="23" ht="23.1" customHeight="1" spans="1:25" s="323" customFormat="1" x14ac:dyDescent="0.25">
      <c r="A23" s="342"/>
      <c r="B23" s="343"/>
      <c r="C23" s="344"/>
      <c r="D23" s="345"/>
      <c r="E23" s="345"/>
      <c r="F23" s="345"/>
      <c r="G23" s="345"/>
      <c r="H23" s="346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</row>
    <row r="24" ht="23.1" customHeight="1" spans="1:25" s="323" customFormat="1" x14ac:dyDescent="0.25">
      <c r="A24" s="342"/>
      <c r="B24" s="343"/>
      <c r="C24" s="344"/>
      <c r="D24" s="345"/>
      <c r="E24" s="345"/>
      <c r="F24" s="345"/>
      <c r="G24" s="345"/>
      <c r="H24" s="346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</row>
    <row r="25" ht="23.1" customHeight="1" spans="1:25" s="323" customFormat="1" x14ac:dyDescent="0.25">
      <c r="A25" s="342"/>
      <c r="B25" s="343"/>
      <c r="C25" s="344"/>
      <c r="D25" s="345"/>
      <c r="E25" s="345"/>
      <c r="F25" s="345"/>
      <c r="G25" s="345"/>
      <c r="H25" s="346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</row>
    <row r="26" ht="23.1" customHeight="1" spans="1:25" s="323" customFormat="1" x14ac:dyDescent="0.25">
      <c r="A26" s="347"/>
      <c r="B26" s="348"/>
      <c r="C26" s="360"/>
      <c r="D26" s="361"/>
      <c r="E26" s="361"/>
      <c r="F26" s="361"/>
      <c r="G26" s="361"/>
      <c r="H26" s="362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</row>
    <row r="27" ht="23.1" customHeight="1" spans="1:25" s="323" customFormat="1" x14ac:dyDescent="0.25">
      <c r="A27" s="350"/>
      <c r="B27" s="351"/>
      <c r="C27" s="352"/>
      <c r="D27" s="352"/>
      <c r="E27" s="352"/>
      <c r="F27" s="352"/>
      <c r="G27" s="352"/>
      <c r="H27" s="354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</row>
    <row r="28" ht="23.1" customHeight="1" spans="1:25" s="323" customFormat="1" x14ac:dyDescent="0.25">
      <c r="A28" s="342"/>
      <c r="B28" s="343"/>
      <c r="C28" s="344"/>
      <c r="D28" s="344"/>
      <c r="E28" s="344"/>
      <c r="F28" s="344"/>
      <c r="G28" s="344"/>
      <c r="H28" s="346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</row>
    <row r="29" ht="23.1" customHeight="1" spans="1:25" s="323" customFormat="1" x14ac:dyDescent="0.25">
      <c r="A29" s="342"/>
      <c r="B29" s="343"/>
      <c r="C29" s="363"/>
      <c r="D29" s="363"/>
      <c r="E29" s="363"/>
      <c r="F29" s="363"/>
      <c r="G29" s="363"/>
      <c r="H29" s="364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</row>
    <row r="30" ht="23.1" customHeight="1" spans="1:25" s="323" customFormat="1" x14ac:dyDescent="0.25">
      <c r="A30" s="342"/>
      <c r="B30" s="343"/>
      <c r="C30" s="363"/>
      <c r="D30" s="363"/>
      <c r="E30" s="363"/>
      <c r="F30" s="363"/>
      <c r="G30" s="363"/>
      <c r="H30" s="364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</row>
    <row r="31" ht="23.1" customHeight="1" spans="1:25" s="323" customFormat="1" x14ac:dyDescent="0.25">
      <c r="A31" s="347"/>
      <c r="B31" s="348"/>
      <c r="C31" s="365"/>
      <c r="D31" s="365"/>
      <c r="E31" s="365"/>
      <c r="F31" s="365"/>
      <c r="G31" s="365"/>
      <c r="H31" s="366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193" t="s">
        <v>133</v>
      </c>
      <c r="B33" s="191" t="s">
        <v>134</v>
      </c>
      <c r="C33" s="26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7"/>
      <c r="B34" s="191" t="s">
        <v>135</v>
      </c>
      <c r="C34" s="26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193" t="s">
        <v>136</v>
      </c>
      <c r="B35" s="191" t="s">
        <v>134</v>
      </c>
      <c r="C35" s="26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196"/>
      <c r="B36" s="194" t="s">
        <v>135</v>
      </c>
      <c r="C36" s="35"/>
      <c r="D36" s="3"/>
      <c r="E36" s="3"/>
      <c r="F36" s="3"/>
      <c r="G36" s="183"/>
      <c r="H36" s="18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68" t="s">
        <v>137</v>
      </c>
      <c r="B37" s="369"/>
      <c r="C37" s="262">
        <f>SUM(C33:C36)</f>
        <v>0</v>
      </c>
      <c r="D37" s="3"/>
      <c r="E37" s="3"/>
      <c r="F37" s="3"/>
      <c r="G37" s="184" t="s">
        <v>23</v>
      </c>
      <c r="H37" s="18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86" t="s">
        <v>25</v>
      </c>
      <c r="B38" s="186"/>
      <c r="C38" s="186"/>
      <c r="D38" s="186"/>
      <c r="E38" s="186"/>
      <c r="F38" s="186"/>
      <c r="G38" s="186"/>
      <c r="H38" s="18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315" t="s">
        <v>26</v>
      </c>
      <c r="B39" s="315"/>
      <c r="C39" s="315"/>
      <c r="D39" s="315"/>
      <c r="E39" s="315"/>
      <c r="F39" s="315"/>
      <c r="G39" s="315"/>
      <c r="H39" s="31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175"/>
      <c r="B40" s="175"/>
      <c r="C40" s="175"/>
      <c r="D40" s="175"/>
      <c r="E40" s="175"/>
      <c r="F40" s="139"/>
      <c r="G40" s="139"/>
      <c r="H40" s="13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88" t="s">
        <v>138</v>
      </c>
      <c r="B41" s="188"/>
      <c r="C41" s="188"/>
      <c r="D41" s="188"/>
      <c r="E41" s="316"/>
      <c r="F41" s="317" t="s">
        <v>122</v>
      </c>
      <c r="G41" s="189">
        <f>'OS-OUT'!L6</f>
        <v>46223</v>
      </c>
      <c r="H41" s="17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18"/>
      <c r="B42" s="316"/>
      <c r="C42" s="3"/>
      <c r="D42" s="3"/>
      <c r="E42" s="316"/>
      <c r="F42" s="31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139</v>
      </c>
      <c r="B43" s="3"/>
      <c r="C43" s="3" t="str">
        <f>'OS-OUT'!H6</f>
        <v>0149S</v>
      </c>
      <c r="D43" s="3"/>
      <c r="E43" s="3" t="s">
        <v>40</v>
      </c>
      <c r="F43" s="317" t="s">
        <v>124</v>
      </c>
      <c r="G43" s="316" t="s">
        <v>26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16" t="s">
        <v>40</v>
      </c>
      <c r="B44" s="316"/>
      <c r="C44" s="3"/>
      <c r="D44" s="3"/>
      <c r="E44" s="3"/>
      <c r="F44" s="139"/>
      <c r="G44" s="3"/>
      <c r="H44" s="31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s="323" customFormat="1" x14ac:dyDescent="0.25">
      <c r="A45" s="323"/>
      <c r="B45" s="323"/>
      <c r="C45" s="370" t="s">
        <v>125</v>
      </c>
      <c r="D45" s="321"/>
      <c r="E45" s="321"/>
      <c r="F45" s="321"/>
      <c r="G45" s="322"/>
      <c r="H45" s="371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</row>
    <row r="46" ht="17.25" customHeight="1" spans="1:25" s="323" customFormat="1" x14ac:dyDescent="0.25">
      <c r="A46" s="323"/>
      <c r="B46" s="323"/>
      <c r="C46" s="323"/>
      <c r="D46" s="323"/>
      <c r="E46" s="323"/>
      <c r="F46" s="323"/>
      <c r="G46" s="323"/>
      <c r="H46" s="372" t="s">
        <v>140</v>
      </c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</row>
    <row r="47" ht="24" customHeight="1" spans="1:25" s="323" customFormat="1" x14ac:dyDescent="0.25">
      <c r="A47" s="324" t="s">
        <v>127</v>
      </c>
      <c r="B47" s="325"/>
      <c r="C47" s="326"/>
      <c r="D47" s="327" t="s">
        <v>128</v>
      </c>
      <c r="E47" s="328" t="s">
        <v>129</v>
      </c>
      <c r="F47" s="326"/>
      <c r="G47" s="329" t="s">
        <v>130</v>
      </c>
      <c r="H47" s="330" t="s">
        <v>56</v>
      </c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</row>
    <row r="48" ht="24" customHeight="1" spans="1:25" s="323" customFormat="1" x14ac:dyDescent="0.25">
      <c r="A48" s="331" t="s">
        <v>131</v>
      </c>
      <c r="B48" s="332"/>
      <c r="C48" s="333" t="s">
        <v>132</v>
      </c>
      <c r="D48" s="334"/>
      <c r="E48" s="333" t="s">
        <v>131</v>
      </c>
      <c r="F48" s="333" t="s">
        <v>132</v>
      </c>
      <c r="G48" s="335"/>
      <c r="H48" s="336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</row>
    <row r="49" ht="23.1" customHeight="1" spans="1:25" s="323" customFormat="1" x14ac:dyDescent="0.25">
      <c r="A49" s="337" t="s">
        <v>92</v>
      </c>
      <c r="B49" s="338"/>
      <c r="C49" s="340"/>
      <c r="D49" s="340"/>
      <c r="E49" s="340"/>
      <c r="F49" s="339"/>
      <c r="G49" s="340"/>
      <c r="H49" s="37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</row>
    <row r="50" ht="23.1" customHeight="1" spans="1:25" s="323" customFormat="1" x14ac:dyDescent="0.25">
      <c r="A50" s="374"/>
      <c r="B50" s="344"/>
      <c r="C50" s="349"/>
      <c r="D50" s="345"/>
      <c r="E50" s="345"/>
      <c r="F50" s="344"/>
      <c r="G50" s="345"/>
      <c r="H50" s="375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</row>
    <row r="51" ht="23.1" customHeight="1" spans="1:25" s="323" customFormat="1" x14ac:dyDescent="0.25">
      <c r="A51" s="342"/>
      <c r="B51" s="343"/>
      <c r="C51" s="349"/>
      <c r="D51" s="345"/>
      <c r="E51" s="345"/>
      <c r="F51" s="344"/>
      <c r="G51" s="345"/>
      <c r="H51" s="375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</row>
    <row r="52" ht="23.1" customHeight="1" spans="1:25" s="323" customFormat="1" x14ac:dyDescent="0.25">
      <c r="A52" s="376"/>
      <c r="B52" s="377"/>
      <c r="C52" s="378"/>
      <c r="D52" s="345"/>
      <c r="E52" s="345"/>
      <c r="F52" s="344"/>
      <c r="G52" s="345"/>
      <c r="H52" s="375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</row>
    <row r="53" ht="23.1" customHeight="1" spans="1:25" s="323" customFormat="1" x14ac:dyDescent="0.25">
      <c r="A53" s="379"/>
      <c r="B53" s="380"/>
      <c r="C53" s="380"/>
      <c r="D53" s="361"/>
      <c r="E53" s="361"/>
      <c r="F53" s="360"/>
      <c r="G53" s="361"/>
      <c r="H53" s="381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</row>
    <row r="54" ht="23.1" customHeight="1" spans="1:25" s="323" customFormat="1" x14ac:dyDescent="0.25">
      <c r="A54" s="382"/>
      <c r="B54" s="383"/>
      <c r="C54" s="383"/>
      <c r="D54" s="96"/>
      <c r="E54" s="96"/>
      <c r="F54" s="352"/>
      <c r="G54" s="96"/>
      <c r="H54" s="384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</row>
    <row r="55" ht="23.1" customHeight="1" spans="1:25" s="323" customFormat="1" x14ac:dyDescent="0.25">
      <c r="A55" s="385"/>
      <c r="B55" s="378"/>
      <c r="C55" s="378"/>
      <c r="D55" s="345"/>
      <c r="E55" s="345"/>
      <c r="F55" s="344"/>
      <c r="G55" s="345"/>
      <c r="H55" s="375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</row>
    <row r="56" ht="23.1" customHeight="1" spans="1:25" s="323" customFormat="1" x14ac:dyDescent="0.25">
      <c r="A56" s="385"/>
      <c r="B56" s="378"/>
      <c r="C56" s="378"/>
      <c r="D56" s="345"/>
      <c r="E56" s="345"/>
      <c r="F56" s="344"/>
      <c r="G56" s="345"/>
      <c r="H56" s="375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</row>
    <row r="57" ht="23.1" customHeight="1" spans="1:25" s="323" customFormat="1" x14ac:dyDescent="0.25">
      <c r="A57" s="386"/>
      <c r="B57" s="345"/>
      <c r="C57" s="349"/>
      <c r="D57" s="345"/>
      <c r="E57" s="345"/>
      <c r="F57" s="344"/>
      <c r="G57" s="345"/>
      <c r="H57" s="375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</row>
    <row r="58" ht="23.1" customHeight="1" spans="1:25" s="323" customFormat="1" x14ac:dyDescent="0.25">
      <c r="A58" s="103"/>
      <c r="B58" s="104"/>
      <c r="C58" s="387"/>
      <c r="D58" s="104"/>
      <c r="E58" s="104"/>
      <c r="F58" s="104"/>
      <c r="G58" s="104"/>
      <c r="H58" s="388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</row>
    <row r="59" ht="23.1" customHeight="1" spans="1:25" s="323" customFormat="1" x14ac:dyDescent="0.25">
      <c r="A59" s="389"/>
      <c r="B59" s="358"/>
      <c r="C59" s="390"/>
      <c r="D59" s="358"/>
      <c r="E59" s="358"/>
      <c r="F59" s="358"/>
      <c r="G59" s="358"/>
      <c r="H59" s="391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</row>
    <row r="60" ht="23.1" customHeight="1" spans="1:25" s="323" customFormat="1" x14ac:dyDescent="0.25">
      <c r="A60" s="386"/>
      <c r="B60" s="345"/>
      <c r="C60" s="378"/>
      <c r="D60" s="345"/>
      <c r="E60" s="345"/>
      <c r="F60" s="345"/>
      <c r="G60" s="345"/>
      <c r="H60" s="375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</row>
    <row r="61" ht="23.1" customHeight="1" spans="1:25" s="323" customFormat="1" x14ac:dyDescent="0.25">
      <c r="A61" s="392"/>
      <c r="B61" s="393"/>
      <c r="C61" s="394"/>
      <c r="D61" s="345"/>
      <c r="E61" s="393"/>
      <c r="F61" s="393"/>
      <c r="G61" s="393"/>
      <c r="H61" s="395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</row>
    <row r="62" ht="23.1" customHeight="1" spans="1:25" s="323" customFormat="1" x14ac:dyDescent="0.25">
      <c r="A62" s="392"/>
      <c r="B62" s="393"/>
      <c r="C62" s="394"/>
      <c r="D62" s="345"/>
      <c r="E62" s="393"/>
      <c r="F62" s="393"/>
      <c r="G62" s="393"/>
      <c r="H62" s="395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</row>
    <row r="63" ht="23.1" customHeight="1" spans="1:25" s="323" customFormat="1" x14ac:dyDescent="0.25">
      <c r="A63" s="396"/>
      <c r="B63" s="397"/>
      <c r="C63" s="398"/>
      <c r="D63" s="104"/>
      <c r="E63" s="397"/>
      <c r="F63" s="397"/>
      <c r="G63" s="397"/>
      <c r="H63" s="399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</row>
    <row r="64" ht="23.1" customHeight="1" spans="1:25" s="323" customFormat="1" x14ac:dyDescent="0.25">
      <c r="A64" s="400"/>
      <c r="B64" s="401"/>
      <c r="C64" s="402"/>
      <c r="D64" s="96"/>
      <c r="E64" s="401"/>
      <c r="F64" s="401"/>
      <c r="G64" s="401"/>
      <c r="H64" s="40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</row>
    <row r="65" ht="23.1" customHeight="1" spans="1:25" s="323" customFormat="1" x14ac:dyDescent="0.25">
      <c r="A65" s="392"/>
      <c r="B65" s="393"/>
      <c r="C65" s="394"/>
      <c r="D65" s="345"/>
      <c r="E65" s="393"/>
      <c r="F65" s="393"/>
      <c r="G65" s="393"/>
      <c r="H65" s="395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</row>
    <row r="66" ht="23.1" customHeight="1" spans="1:25" s="323" customFormat="1" x14ac:dyDescent="0.25">
      <c r="A66" s="392"/>
      <c r="B66" s="393"/>
      <c r="C66" s="394"/>
      <c r="D66" s="345"/>
      <c r="E66" s="393"/>
      <c r="F66" s="393"/>
      <c r="G66" s="393"/>
      <c r="H66" s="395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</row>
    <row r="67" ht="23.1" customHeight="1" spans="1:25" s="323" customFormat="1" x14ac:dyDescent="0.25">
      <c r="A67" s="392"/>
      <c r="B67" s="393"/>
      <c r="C67" s="394"/>
      <c r="D67" s="393"/>
      <c r="E67" s="393"/>
      <c r="F67" s="393"/>
      <c r="G67" s="393"/>
      <c r="H67" s="395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</row>
    <row r="68" ht="23.1" customHeight="1" spans="1:25" s="323" customFormat="1" x14ac:dyDescent="0.25">
      <c r="A68" s="396"/>
      <c r="B68" s="397"/>
      <c r="C68" s="398"/>
      <c r="D68" s="397"/>
      <c r="E68" s="397"/>
      <c r="F68" s="398"/>
      <c r="G68" s="397"/>
      <c r="H68" s="399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193" t="s">
        <v>133</v>
      </c>
      <c r="B70" s="191" t="s">
        <v>134</v>
      </c>
      <c r="C70" s="26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67"/>
      <c r="B71" s="191" t="s">
        <v>135</v>
      </c>
      <c r="C71" s="26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193" t="s">
        <v>136</v>
      </c>
      <c r="B72" s="191" t="s">
        <v>134</v>
      </c>
      <c r="C72" s="26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196"/>
      <c r="B73" s="194" t="s">
        <v>135</v>
      </c>
      <c r="C73" s="35"/>
      <c r="D73" s="3"/>
      <c r="E73" s="3"/>
      <c r="F73" s="3"/>
      <c r="G73" s="183"/>
      <c r="H73" s="18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68" t="s">
        <v>137</v>
      </c>
      <c r="B74" s="369"/>
      <c r="C74" s="262">
        <f>SUM(C70:C73)</f>
        <v>0</v>
      </c>
      <c r="D74" s="3"/>
      <c r="E74" s="3"/>
      <c r="F74" s="3"/>
      <c r="G74" s="184" t="s">
        <v>23</v>
      </c>
      <c r="H74" s="18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0">
    <mergeCell ref="A1:H1"/>
    <mergeCell ref="A2:H2"/>
    <mergeCell ref="A4:D4"/>
    <mergeCell ref="G4:H4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15748031496062992" right="0.15748031496062992" top="0.3937007874015748" bottom="0.3937007874015748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3" width="9" style="1" customWidth="1"/>
    <col min="234" max="234" width="13.8984375" style="1" customWidth="1"/>
    <col min="235" max="235" width="9.8984375" style="1" customWidth="1"/>
    <col min="236" max="236" width="8.3984375" style="1" customWidth="1"/>
    <col min="237" max="237" width="8.19921875" style="1" customWidth="1"/>
    <col min="238" max="238" width="5.59765625" style="1" customWidth="1"/>
    <col min="239" max="240" width="8.3984375" style="1" customWidth="1"/>
    <col min="241" max="241" width="11.09765625" style="1" customWidth="1"/>
    <col min="242" max="242" width="11.59765625" style="1" customWidth="1"/>
    <col min="243" max="489" width="9" style="1" customWidth="1"/>
    <col min="490" max="490" width="13.8984375" style="1" customWidth="1"/>
    <col min="491" max="491" width="9.8984375" style="1" customWidth="1"/>
    <col min="492" max="492" width="8.3984375" style="1" customWidth="1"/>
    <col min="493" max="493" width="8.19921875" style="1" customWidth="1"/>
    <col min="494" max="494" width="5.59765625" style="1" customWidth="1"/>
    <col min="495" max="496" width="8.3984375" style="1" customWidth="1"/>
    <col min="497" max="497" width="11.09765625" style="1" customWidth="1"/>
    <col min="498" max="498" width="11.59765625" style="1" customWidth="1"/>
    <col min="499" max="745" width="9" style="1" customWidth="1"/>
    <col min="746" max="746" width="13.8984375" style="1" customWidth="1"/>
    <col min="747" max="747" width="9.8984375" style="1" customWidth="1"/>
    <col min="748" max="748" width="8.3984375" style="1" customWidth="1"/>
    <col min="749" max="749" width="8.19921875" style="1" customWidth="1"/>
    <col min="750" max="750" width="5.59765625" style="1" customWidth="1"/>
    <col min="751" max="752" width="8.3984375" style="1" customWidth="1"/>
    <col min="753" max="753" width="11.09765625" style="1" customWidth="1"/>
    <col min="754" max="754" width="11.59765625" style="1" customWidth="1"/>
    <col min="755" max="1001" width="9" style="1" customWidth="1"/>
    <col min="1002" max="1002" width="13.8984375" style="1" customWidth="1"/>
    <col min="1003" max="1003" width="9.8984375" style="1" customWidth="1"/>
    <col min="1004" max="1004" width="8.3984375" style="1" customWidth="1"/>
    <col min="1005" max="1005" width="8.19921875" style="1" customWidth="1"/>
    <col min="1006" max="1006" width="5.59765625" style="1" customWidth="1"/>
    <col min="1007" max="1008" width="8.3984375" style="1" customWidth="1"/>
    <col min="1009" max="1009" width="11.09765625" style="1" customWidth="1"/>
    <col min="1010" max="1010" width="11.59765625" style="1" customWidth="1"/>
    <col min="1011" max="1257" width="9" style="1" customWidth="1"/>
    <col min="1258" max="1258" width="13.8984375" style="1" customWidth="1"/>
    <col min="1259" max="1259" width="9.8984375" style="1" customWidth="1"/>
    <col min="1260" max="1260" width="8.3984375" style="1" customWidth="1"/>
    <col min="1261" max="1261" width="8.19921875" style="1" customWidth="1"/>
    <col min="1262" max="1262" width="5.59765625" style="1" customWidth="1"/>
    <col min="1263" max="1264" width="8.3984375" style="1" customWidth="1"/>
    <col min="1265" max="1265" width="11.09765625" style="1" customWidth="1"/>
    <col min="1266" max="1266" width="11.59765625" style="1" customWidth="1"/>
    <col min="1267" max="1513" width="9" style="1" customWidth="1"/>
    <col min="1514" max="1514" width="13.8984375" style="1" customWidth="1"/>
    <col min="1515" max="1515" width="9.8984375" style="1" customWidth="1"/>
    <col min="1516" max="1516" width="8.3984375" style="1" customWidth="1"/>
    <col min="1517" max="1517" width="8.19921875" style="1" customWidth="1"/>
    <col min="1518" max="1518" width="5.59765625" style="1" customWidth="1"/>
    <col min="1519" max="1520" width="8.3984375" style="1" customWidth="1"/>
    <col min="1521" max="1521" width="11.09765625" style="1" customWidth="1"/>
    <col min="1522" max="1522" width="11.59765625" style="1" customWidth="1"/>
    <col min="1523" max="1769" width="9" style="1" customWidth="1"/>
    <col min="1770" max="1770" width="13.8984375" style="1" customWidth="1"/>
    <col min="1771" max="1771" width="9.8984375" style="1" customWidth="1"/>
    <col min="1772" max="1772" width="8.3984375" style="1" customWidth="1"/>
    <col min="1773" max="1773" width="8.19921875" style="1" customWidth="1"/>
    <col min="1774" max="1774" width="5.59765625" style="1" customWidth="1"/>
    <col min="1775" max="1776" width="8.3984375" style="1" customWidth="1"/>
    <col min="1777" max="1777" width="11.09765625" style="1" customWidth="1"/>
    <col min="1778" max="1778" width="11.59765625" style="1" customWidth="1"/>
    <col min="1779" max="2025" width="9" style="1" customWidth="1"/>
    <col min="2026" max="2026" width="13.8984375" style="1" customWidth="1"/>
    <col min="2027" max="2027" width="9.8984375" style="1" customWidth="1"/>
    <col min="2028" max="2028" width="8.3984375" style="1" customWidth="1"/>
    <col min="2029" max="2029" width="8.19921875" style="1" customWidth="1"/>
    <col min="2030" max="2030" width="5.59765625" style="1" customWidth="1"/>
    <col min="2031" max="2032" width="8.3984375" style="1" customWidth="1"/>
    <col min="2033" max="2033" width="11.09765625" style="1" customWidth="1"/>
    <col min="2034" max="2034" width="11.59765625" style="1" customWidth="1"/>
    <col min="2035" max="2281" width="9" style="1" customWidth="1"/>
    <col min="2282" max="2282" width="13.8984375" style="1" customWidth="1"/>
    <col min="2283" max="2283" width="9.8984375" style="1" customWidth="1"/>
    <col min="2284" max="2284" width="8.3984375" style="1" customWidth="1"/>
    <col min="2285" max="2285" width="8.19921875" style="1" customWidth="1"/>
    <col min="2286" max="2286" width="5.59765625" style="1" customWidth="1"/>
    <col min="2287" max="2288" width="8.3984375" style="1" customWidth="1"/>
    <col min="2289" max="2289" width="11.09765625" style="1" customWidth="1"/>
    <col min="2290" max="2290" width="11.59765625" style="1" customWidth="1"/>
    <col min="2291" max="2537" width="9" style="1" customWidth="1"/>
    <col min="2538" max="2538" width="13.8984375" style="1" customWidth="1"/>
    <col min="2539" max="2539" width="9.8984375" style="1" customWidth="1"/>
    <col min="2540" max="2540" width="8.3984375" style="1" customWidth="1"/>
    <col min="2541" max="2541" width="8.19921875" style="1" customWidth="1"/>
    <col min="2542" max="2542" width="5.59765625" style="1" customWidth="1"/>
    <col min="2543" max="2544" width="8.3984375" style="1" customWidth="1"/>
    <col min="2545" max="2545" width="11.09765625" style="1" customWidth="1"/>
    <col min="2546" max="2546" width="11.59765625" style="1" customWidth="1"/>
    <col min="2547" max="2793" width="9" style="1" customWidth="1"/>
    <col min="2794" max="2794" width="13.8984375" style="1" customWidth="1"/>
    <col min="2795" max="2795" width="9.8984375" style="1" customWidth="1"/>
    <col min="2796" max="2796" width="8.3984375" style="1" customWidth="1"/>
    <col min="2797" max="2797" width="8.19921875" style="1" customWidth="1"/>
    <col min="2798" max="2798" width="5.59765625" style="1" customWidth="1"/>
    <col min="2799" max="2800" width="8.3984375" style="1" customWidth="1"/>
    <col min="2801" max="2801" width="11.09765625" style="1" customWidth="1"/>
    <col min="2802" max="2802" width="11.59765625" style="1" customWidth="1"/>
    <col min="2803" max="3049" width="9" style="1" customWidth="1"/>
    <col min="3050" max="3050" width="13.8984375" style="1" customWidth="1"/>
    <col min="3051" max="3051" width="9.8984375" style="1" customWidth="1"/>
    <col min="3052" max="3052" width="8.3984375" style="1" customWidth="1"/>
    <col min="3053" max="3053" width="8.19921875" style="1" customWidth="1"/>
    <col min="3054" max="3054" width="5.59765625" style="1" customWidth="1"/>
    <col min="3055" max="3056" width="8.3984375" style="1" customWidth="1"/>
    <col min="3057" max="3057" width="11.09765625" style="1" customWidth="1"/>
    <col min="3058" max="3058" width="11.59765625" style="1" customWidth="1"/>
    <col min="3059" max="3305" width="9" style="1" customWidth="1"/>
    <col min="3306" max="3306" width="13.8984375" style="1" customWidth="1"/>
    <col min="3307" max="3307" width="9.8984375" style="1" customWidth="1"/>
    <col min="3308" max="3308" width="8.3984375" style="1" customWidth="1"/>
    <col min="3309" max="3309" width="8.19921875" style="1" customWidth="1"/>
    <col min="3310" max="3310" width="5.59765625" style="1" customWidth="1"/>
    <col min="3311" max="3312" width="8.3984375" style="1" customWidth="1"/>
    <col min="3313" max="3313" width="11.09765625" style="1" customWidth="1"/>
    <col min="3314" max="3314" width="11.59765625" style="1" customWidth="1"/>
    <col min="3315" max="3561" width="9" style="1" customWidth="1"/>
    <col min="3562" max="3562" width="13.8984375" style="1" customWidth="1"/>
    <col min="3563" max="3563" width="9.8984375" style="1" customWidth="1"/>
    <col min="3564" max="3564" width="8.3984375" style="1" customWidth="1"/>
    <col min="3565" max="3565" width="8.19921875" style="1" customWidth="1"/>
    <col min="3566" max="3566" width="5.59765625" style="1" customWidth="1"/>
    <col min="3567" max="3568" width="8.3984375" style="1" customWidth="1"/>
    <col min="3569" max="3569" width="11.09765625" style="1" customWidth="1"/>
    <col min="3570" max="3570" width="11.59765625" style="1" customWidth="1"/>
    <col min="3571" max="3817" width="9" style="1" customWidth="1"/>
    <col min="3818" max="3818" width="13.8984375" style="1" customWidth="1"/>
    <col min="3819" max="3819" width="9.8984375" style="1" customWidth="1"/>
    <col min="3820" max="3820" width="8.3984375" style="1" customWidth="1"/>
    <col min="3821" max="3821" width="8.19921875" style="1" customWidth="1"/>
    <col min="3822" max="3822" width="5.59765625" style="1" customWidth="1"/>
    <col min="3823" max="3824" width="8.3984375" style="1" customWidth="1"/>
    <col min="3825" max="3825" width="11.09765625" style="1" customWidth="1"/>
    <col min="3826" max="3826" width="11.59765625" style="1" customWidth="1"/>
    <col min="3827" max="4073" width="9" style="1" customWidth="1"/>
    <col min="4074" max="4074" width="13.8984375" style="1" customWidth="1"/>
    <col min="4075" max="4075" width="9.8984375" style="1" customWidth="1"/>
    <col min="4076" max="4076" width="8.3984375" style="1" customWidth="1"/>
    <col min="4077" max="4077" width="8.19921875" style="1" customWidth="1"/>
    <col min="4078" max="4078" width="5.59765625" style="1" customWidth="1"/>
    <col min="4079" max="4080" width="8.3984375" style="1" customWidth="1"/>
    <col min="4081" max="4081" width="11.09765625" style="1" customWidth="1"/>
    <col min="4082" max="4082" width="11.59765625" style="1" customWidth="1"/>
    <col min="4083" max="4329" width="9" style="1" customWidth="1"/>
    <col min="4330" max="4330" width="13.8984375" style="1" customWidth="1"/>
    <col min="4331" max="4331" width="9.8984375" style="1" customWidth="1"/>
    <col min="4332" max="4332" width="8.3984375" style="1" customWidth="1"/>
    <col min="4333" max="4333" width="8.19921875" style="1" customWidth="1"/>
    <col min="4334" max="4334" width="5.59765625" style="1" customWidth="1"/>
    <col min="4335" max="4336" width="8.3984375" style="1" customWidth="1"/>
    <col min="4337" max="4337" width="11.09765625" style="1" customWidth="1"/>
    <col min="4338" max="4338" width="11.59765625" style="1" customWidth="1"/>
    <col min="4339" max="4585" width="9" style="1" customWidth="1"/>
    <col min="4586" max="4586" width="13.8984375" style="1" customWidth="1"/>
    <col min="4587" max="4587" width="9.8984375" style="1" customWidth="1"/>
    <col min="4588" max="4588" width="8.3984375" style="1" customWidth="1"/>
    <col min="4589" max="4589" width="8.19921875" style="1" customWidth="1"/>
    <col min="4590" max="4590" width="5.59765625" style="1" customWidth="1"/>
    <col min="4591" max="4592" width="8.3984375" style="1" customWidth="1"/>
    <col min="4593" max="4593" width="11.09765625" style="1" customWidth="1"/>
    <col min="4594" max="4594" width="11.59765625" style="1" customWidth="1"/>
    <col min="4595" max="4841" width="9" style="1" customWidth="1"/>
    <col min="4842" max="4842" width="13.8984375" style="1" customWidth="1"/>
    <col min="4843" max="4843" width="9.8984375" style="1" customWidth="1"/>
    <col min="4844" max="4844" width="8.3984375" style="1" customWidth="1"/>
    <col min="4845" max="4845" width="8.19921875" style="1" customWidth="1"/>
    <col min="4846" max="4846" width="5.59765625" style="1" customWidth="1"/>
    <col min="4847" max="4848" width="8.3984375" style="1" customWidth="1"/>
    <col min="4849" max="4849" width="11.09765625" style="1" customWidth="1"/>
    <col min="4850" max="4850" width="11.59765625" style="1" customWidth="1"/>
    <col min="4851" max="5097" width="9" style="1" customWidth="1"/>
    <col min="5098" max="5098" width="13.8984375" style="1" customWidth="1"/>
    <col min="5099" max="5099" width="9.8984375" style="1" customWidth="1"/>
    <col min="5100" max="5100" width="8.3984375" style="1" customWidth="1"/>
    <col min="5101" max="5101" width="8.19921875" style="1" customWidth="1"/>
    <col min="5102" max="5102" width="5.59765625" style="1" customWidth="1"/>
    <col min="5103" max="5104" width="8.3984375" style="1" customWidth="1"/>
    <col min="5105" max="5105" width="11.09765625" style="1" customWidth="1"/>
    <col min="5106" max="5106" width="11.59765625" style="1" customWidth="1"/>
    <col min="5107" max="5353" width="9" style="1" customWidth="1"/>
    <col min="5354" max="5354" width="13.8984375" style="1" customWidth="1"/>
    <col min="5355" max="5355" width="9.8984375" style="1" customWidth="1"/>
    <col min="5356" max="5356" width="8.3984375" style="1" customWidth="1"/>
    <col min="5357" max="5357" width="8.19921875" style="1" customWidth="1"/>
    <col min="5358" max="5358" width="5.59765625" style="1" customWidth="1"/>
    <col min="5359" max="5360" width="8.3984375" style="1" customWidth="1"/>
    <col min="5361" max="5361" width="11.09765625" style="1" customWidth="1"/>
    <col min="5362" max="5362" width="11.59765625" style="1" customWidth="1"/>
    <col min="5363" max="5609" width="9" style="1" customWidth="1"/>
    <col min="5610" max="5610" width="13.8984375" style="1" customWidth="1"/>
    <col min="5611" max="5611" width="9.8984375" style="1" customWidth="1"/>
    <col min="5612" max="5612" width="8.3984375" style="1" customWidth="1"/>
    <col min="5613" max="5613" width="8.19921875" style="1" customWidth="1"/>
    <col min="5614" max="5614" width="5.59765625" style="1" customWidth="1"/>
    <col min="5615" max="5616" width="8.3984375" style="1" customWidth="1"/>
    <col min="5617" max="5617" width="11.09765625" style="1" customWidth="1"/>
    <col min="5618" max="5618" width="11.59765625" style="1" customWidth="1"/>
    <col min="5619" max="5865" width="9" style="1" customWidth="1"/>
    <col min="5866" max="5866" width="13.8984375" style="1" customWidth="1"/>
    <col min="5867" max="5867" width="9.8984375" style="1" customWidth="1"/>
    <col min="5868" max="5868" width="8.3984375" style="1" customWidth="1"/>
    <col min="5869" max="5869" width="8.19921875" style="1" customWidth="1"/>
    <col min="5870" max="5870" width="5.59765625" style="1" customWidth="1"/>
    <col min="5871" max="5872" width="8.3984375" style="1" customWidth="1"/>
    <col min="5873" max="5873" width="11.09765625" style="1" customWidth="1"/>
    <col min="5874" max="5874" width="11.59765625" style="1" customWidth="1"/>
    <col min="5875" max="6121" width="9" style="1" customWidth="1"/>
    <col min="6122" max="6122" width="13.8984375" style="1" customWidth="1"/>
    <col min="6123" max="6123" width="9.8984375" style="1" customWidth="1"/>
    <col min="6124" max="6124" width="8.3984375" style="1" customWidth="1"/>
    <col min="6125" max="6125" width="8.19921875" style="1" customWidth="1"/>
    <col min="6126" max="6126" width="5.59765625" style="1" customWidth="1"/>
    <col min="6127" max="6128" width="8.3984375" style="1" customWidth="1"/>
    <col min="6129" max="6129" width="11.09765625" style="1" customWidth="1"/>
    <col min="6130" max="6130" width="11.59765625" style="1" customWidth="1"/>
    <col min="6131" max="6377" width="9" style="1" customWidth="1"/>
    <col min="6378" max="6378" width="13.8984375" style="1" customWidth="1"/>
    <col min="6379" max="6379" width="9.8984375" style="1" customWidth="1"/>
    <col min="6380" max="6380" width="8.3984375" style="1" customWidth="1"/>
    <col min="6381" max="6381" width="8.19921875" style="1" customWidth="1"/>
    <col min="6382" max="6382" width="5.59765625" style="1" customWidth="1"/>
    <col min="6383" max="6384" width="8.3984375" style="1" customWidth="1"/>
    <col min="6385" max="6385" width="11.09765625" style="1" customWidth="1"/>
    <col min="6386" max="6386" width="11.59765625" style="1" customWidth="1"/>
    <col min="6387" max="6633" width="9" style="1" customWidth="1"/>
    <col min="6634" max="6634" width="13.8984375" style="1" customWidth="1"/>
    <col min="6635" max="6635" width="9.8984375" style="1" customWidth="1"/>
    <col min="6636" max="6636" width="8.3984375" style="1" customWidth="1"/>
    <col min="6637" max="6637" width="8.19921875" style="1" customWidth="1"/>
    <col min="6638" max="6638" width="5.59765625" style="1" customWidth="1"/>
    <col min="6639" max="6640" width="8.3984375" style="1" customWidth="1"/>
    <col min="6641" max="6641" width="11.09765625" style="1" customWidth="1"/>
    <col min="6642" max="6642" width="11.59765625" style="1" customWidth="1"/>
    <col min="6643" max="6889" width="9" style="1" customWidth="1"/>
    <col min="6890" max="6890" width="13.8984375" style="1" customWidth="1"/>
    <col min="6891" max="6891" width="9.8984375" style="1" customWidth="1"/>
    <col min="6892" max="6892" width="8.3984375" style="1" customWidth="1"/>
    <col min="6893" max="6893" width="8.19921875" style="1" customWidth="1"/>
    <col min="6894" max="6894" width="5.59765625" style="1" customWidth="1"/>
    <col min="6895" max="6896" width="8.3984375" style="1" customWidth="1"/>
    <col min="6897" max="6897" width="11.09765625" style="1" customWidth="1"/>
    <col min="6898" max="6898" width="11.59765625" style="1" customWidth="1"/>
    <col min="6899" max="7145" width="9" style="1" customWidth="1"/>
    <col min="7146" max="7146" width="13.8984375" style="1" customWidth="1"/>
    <col min="7147" max="7147" width="9.8984375" style="1" customWidth="1"/>
    <col min="7148" max="7148" width="8.3984375" style="1" customWidth="1"/>
    <col min="7149" max="7149" width="8.19921875" style="1" customWidth="1"/>
    <col min="7150" max="7150" width="5.59765625" style="1" customWidth="1"/>
    <col min="7151" max="7152" width="8.3984375" style="1" customWidth="1"/>
    <col min="7153" max="7153" width="11.09765625" style="1" customWidth="1"/>
    <col min="7154" max="7154" width="11.59765625" style="1" customWidth="1"/>
    <col min="7155" max="7401" width="9" style="1" customWidth="1"/>
    <col min="7402" max="7402" width="13.8984375" style="1" customWidth="1"/>
    <col min="7403" max="7403" width="9.8984375" style="1" customWidth="1"/>
    <col min="7404" max="7404" width="8.3984375" style="1" customWidth="1"/>
    <col min="7405" max="7405" width="8.19921875" style="1" customWidth="1"/>
    <col min="7406" max="7406" width="5.59765625" style="1" customWidth="1"/>
    <col min="7407" max="7408" width="8.3984375" style="1" customWidth="1"/>
    <col min="7409" max="7409" width="11.09765625" style="1" customWidth="1"/>
    <col min="7410" max="7410" width="11.59765625" style="1" customWidth="1"/>
    <col min="7411" max="7657" width="9" style="1" customWidth="1"/>
    <col min="7658" max="7658" width="13.8984375" style="1" customWidth="1"/>
    <col min="7659" max="7659" width="9.8984375" style="1" customWidth="1"/>
    <col min="7660" max="7660" width="8.3984375" style="1" customWidth="1"/>
    <col min="7661" max="7661" width="8.19921875" style="1" customWidth="1"/>
    <col min="7662" max="7662" width="5.59765625" style="1" customWidth="1"/>
    <col min="7663" max="7664" width="8.3984375" style="1" customWidth="1"/>
    <col min="7665" max="7665" width="11.09765625" style="1" customWidth="1"/>
    <col min="7666" max="7666" width="11.59765625" style="1" customWidth="1"/>
    <col min="7667" max="7913" width="9" style="1" customWidth="1"/>
    <col min="7914" max="7914" width="13.8984375" style="1" customWidth="1"/>
    <col min="7915" max="7915" width="9.8984375" style="1" customWidth="1"/>
    <col min="7916" max="7916" width="8.3984375" style="1" customWidth="1"/>
    <col min="7917" max="7917" width="8.19921875" style="1" customWidth="1"/>
    <col min="7918" max="7918" width="5.59765625" style="1" customWidth="1"/>
    <col min="7919" max="7920" width="8.3984375" style="1" customWidth="1"/>
    <col min="7921" max="7921" width="11.09765625" style="1" customWidth="1"/>
    <col min="7922" max="7922" width="11.59765625" style="1" customWidth="1"/>
    <col min="7923" max="8169" width="9" style="1" customWidth="1"/>
    <col min="8170" max="8170" width="13.8984375" style="1" customWidth="1"/>
    <col min="8171" max="8171" width="9.8984375" style="1" customWidth="1"/>
    <col min="8172" max="8172" width="8.3984375" style="1" customWidth="1"/>
    <col min="8173" max="8173" width="8.19921875" style="1" customWidth="1"/>
    <col min="8174" max="8174" width="5.59765625" style="1" customWidth="1"/>
    <col min="8175" max="8176" width="8.3984375" style="1" customWidth="1"/>
    <col min="8177" max="8177" width="11.09765625" style="1" customWidth="1"/>
    <col min="8178" max="8178" width="11.59765625" style="1" customWidth="1"/>
    <col min="8179" max="8425" width="9" style="1" customWidth="1"/>
    <col min="8426" max="8426" width="13.8984375" style="1" customWidth="1"/>
    <col min="8427" max="8427" width="9.8984375" style="1" customWidth="1"/>
    <col min="8428" max="8428" width="8.3984375" style="1" customWidth="1"/>
    <col min="8429" max="8429" width="8.19921875" style="1" customWidth="1"/>
    <col min="8430" max="8430" width="5.59765625" style="1" customWidth="1"/>
    <col min="8431" max="8432" width="8.3984375" style="1" customWidth="1"/>
    <col min="8433" max="8433" width="11.09765625" style="1" customWidth="1"/>
    <col min="8434" max="8434" width="11.59765625" style="1" customWidth="1"/>
    <col min="8435" max="8681" width="9" style="1" customWidth="1"/>
    <col min="8682" max="8682" width="13.8984375" style="1" customWidth="1"/>
    <col min="8683" max="8683" width="9.8984375" style="1" customWidth="1"/>
    <col min="8684" max="8684" width="8.3984375" style="1" customWidth="1"/>
    <col min="8685" max="8685" width="8.19921875" style="1" customWidth="1"/>
    <col min="8686" max="8686" width="5.59765625" style="1" customWidth="1"/>
    <col min="8687" max="8688" width="8.3984375" style="1" customWidth="1"/>
    <col min="8689" max="8689" width="11.09765625" style="1" customWidth="1"/>
    <col min="8690" max="8690" width="11.59765625" style="1" customWidth="1"/>
    <col min="8691" max="8937" width="9" style="1" customWidth="1"/>
    <col min="8938" max="8938" width="13.8984375" style="1" customWidth="1"/>
    <col min="8939" max="8939" width="9.8984375" style="1" customWidth="1"/>
    <col min="8940" max="8940" width="8.3984375" style="1" customWidth="1"/>
    <col min="8941" max="8941" width="8.19921875" style="1" customWidth="1"/>
    <col min="8942" max="8942" width="5.59765625" style="1" customWidth="1"/>
    <col min="8943" max="8944" width="8.3984375" style="1" customWidth="1"/>
    <col min="8945" max="8945" width="11.09765625" style="1" customWidth="1"/>
    <col min="8946" max="8946" width="11.59765625" style="1" customWidth="1"/>
    <col min="8947" max="9193" width="9" style="1" customWidth="1"/>
    <col min="9194" max="9194" width="13.8984375" style="1" customWidth="1"/>
    <col min="9195" max="9195" width="9.8984375" style="1" customWidth="1"/>
    <col min="9196" max="9196" width="8.3984375" style="1" customWidth="1"/>
    <col min="9197" max="9197" width="8.19921875" style="1" customWidth="1"/>
    <col min="9198" max="9198" width="5.59765625" style="1" customWidth="1"/>
    <col min="9199" max="9200" width="8.3984375" style="1" customWidth="1"/>
    <col min="9201" max="9201" width="11.09765625" style="1" customWidth="1"/>
    <col min="9202" max="9202" width="11.59765625" style="1" customWidth="1"/>
    <col min="9203" max="9449" width="9" style="1" customWidth="1"/>
    <col min="9450" max="9450" width="13.8984375" style="1" customWidth="1"/>
    <col min="9451" max="9451" width="9.8984375" style="1" customWidth="1"/>
    <col min="9452" max="9452" width="8.3984375" style="1" customWidth="1"/>
    <col min="9453" max="9453" width="8.19921875" style="1" customWidth="1"/>
    <col min="9454" max="9454" width="5.59765625" style="1" customWidth="1"/>
    <col min="9455" max="9456" width="8.3984375" style="1" customWidth="1"/>
    <col min="9457" max="9457" width="11.09765625" style="1" customWidth="1"/>
    <col min="9458" max="9458" width="11.59765625" style="1" customWidth="1"/>
    <col min="9459" max="9705" width="9" style="1" customWidth="1"/>
    <col min="9706" max="9706" width="13.8984375" style="1" customWidth="1"/>
    <col min="9707" max="9707" width="9.8984375" style="1" customWidth="1"/>
    <col min="9708" max="9708" width="8.3984375" style="1" customWidth="1"/>
    <col min="9709" max="9709" width="8.19921875" style="1" customWidth="1"/>
    <col min="9710" max="9710" width="5.59765625" style="1" customWidth="1"/>
    <col min="9711" max="9712" width="8.3984375" style="1" customWidth="1"/>
    <col min="9713" max="9713" width="11.09765625" style="1" customWidth="1"/>
    <col min="9714" max="9714" width="11.59765625" style="1" customWidth="1"/>
    <col min="9715" max="9961" width="9" style="1" customWidth="1"/>
    <col min="9962" max="9962" width="13.8984375" style="1" customWidth="1"/>
    <col min="9963" max="9963" width="9.8984375" style="1" customWidth="1"/>
    <col min="9964" max="9964" width="8.3984375" style="1" customWidth="1"/>
    <col min="9965" max="9965" width="8.19921875" style="1" customWidth="1"/>
    <col min="9966" max="9966" width="5.59765625" style="1" customWidth="1"/>
    <col min="9967" max="9968" width="8.3984375" style="1" customWidth="1"/>
    <col min="9969" max="9969" width="11.09765625" style="1" customWidth="1"/>
    <col min="9970" max="9970" width="11.59765625" style="1" customWidth="1"/>
    <col min="9971" max="10217" width="9" style="1" customWidth="1"/>
    <col min="10218" max="10218" width="13.8984375" style="1" customWidth="1"/>
    <col min="10219" max="10219" width="9.8984375" style="1" customWidth="1"/>
    <col min="10220" max="10220" width="8.3984375" style="1" customWidth="1"/>
    <col min="10221" max="10221" width="8.19921875" style="1" customWidth="1"/>
    <col min="10222" max="10222" width="5.59765625" style="1" customWidth="1"/>
    <col min="10223" max="10224" width="8.3984375" style="1" customWidth="1"/>
    <col min="10225" max="10225" width="11.09765625" style="1" customWidth="1"/>
    <col min="10226" max="10226" width="11.59765625" style="1" customWidth="1"/>
    <col min="10227" max="10473" width="9" style="1" customWidth="1"/>
    <col min="10474" max="10474" width="13.8984375" style="1" customWidth="1"/>
    <col min="10475" max="10475" width="9.8984375" style="1" customWidth="1"/>
    <col min="10476" max="10476" width="8.3984375" style="1" customWidth="1"/>
    <col min="10477" max="10477" width="8.19921875" style="1" customWidth="1"/>
    <col min="10478" max="10478" width="5.59765625" style="1" customWidth="1"/>
    <col min="10479" max="10480" width="8.3984375" style="1" customWidth="1"/>
    <col min="10481" max="10481" width="11.09765625" style="1" customWidth="1"/>
    <col min="10482" max="10482" width="11.59765625" style="1" customWidth="1"/>
    <col min="10483" max="10729" width="9" style="1" customWidth="1"/>
    <col min="10730" max="10730" width="13.8984375" style="1" customWidth="1"/>
    <col min="10731" max="10731" width="9.8984375" style="1" customWidth="1"/>
    <col min="10732" max="10732" width="8.3984375" style="1" customWidth="1"/>
    <col min="10733" max="10733" width="8.19921875" style="1" customWidth="1"/>
    <col min="10734" max="10734" width="5.59765625" style="1" customWidth="1"/>
    <col min="10735" max="10736" width="8.3984375" style="1" customWidth="1"/>
    <col min="10737" max="10737" width="11.09765625" style="1" customWidth="1"/>
    <col min="10738" max="10738" width="11.59765625" style="1" customWidth="1"/>
    <col min="10739" max="10985" width="9" style="1" customWidth="1"/>
    <col min="10986" max="10986" width="13.8984375" style="1" customWidth="1"/>
    <col min="10987" max="10987" width="9.8984375" style="1" customWidth="1"/>
    <col min="10988" max="10988" width="8.3984375" style="1" customWidth="1"/>
    <col min="10989" max="10989" width="8.19921875" style="1" customWidth="1"/>
    <col min="10990" max="10990" width="5.59765625" style="1" customWidth="1"/>
    <col min="10991" max="10992" width="8.3984375" style="1" customWidth="1"/>
    <col min="10993" max="10993" width="11.09765625" style="1" customWidth="1"/>
    <col min="10994" max="10994" width="11.59765625" style="1" customWidth="1"/>
    <col min="10995" max="11241" width="9" style="1" customWidth="1"/>
    <col min="11242" max="11242" width="13.8984375" style="1" customWidth="1"/>
    <col min="11243" max="11243" width="9.8984375" style="1" customWidth="1"/>
    <col min="11244" max="11244" width="8.3984375" style="1" customWidth="1"/>
    <col min="11245" max="11245" width="8.19921875" style="1" customWidth="1"/>
    <col min="11246" max="11246" width="5.59765625" style="1" customWidth="1"/>
    <col min="11247" max="11248" width="8.3984375" style="1" customWidth="1"/>
    <col min="11249" max="11249" width="11.09765625" style="1" customWidth="1"/>
    <col min="11250" max="11250" width="11.59765625" style="1" customWidth="1"/>
    <col min="11251" max="11497" width="9" style="1" customWidth="1"/>
    <col min="11498" max="11498" width="13.8984375" style="1" customWidth="1"/>
    <col min="11499" max="11499" width="9.8984375" style="1" customWidth="1"/>
    <col min="11500" max="11500" width="8.3984375" style="1" customWidth="1"/>
    <col min="11501" max="11501" width="8.19921875" style="1" customWidth="1"/>
    <col min="11502" max="11502" width="5.59765625" style="1" customWidth="1"/>
    <col min="11503" max="11504" width="8.3984375" style="1" customWidth="1"/>
    <col min="11505" max="11505" width="11.09765625" style="1" customWidth="1"/>
    <col min="11506" max="11506" width="11.59765625" style="1" customWidth="1"/>
    <col min="11507" max="11753" width="9" style="1" customWidth="1"/>
    <col min="11754" max="11754" width="13.8984375" style="1" customWidth="1"/>
    <col min="11755" max="11755" width="9.8984375" style="1" customWidth="1"/>
    <col min="11756" max="11756" width="8.3984375" style="1" customWidth="1"/>
    <col min="11757" max="11757" width="8.19921875" style="1" customWidth="1"/>
    <col min="11758" max="11758" width="5.59765625" style="1" customWidth="1"/>
    <col min="11759" max="11760" width="8.3984375" style="1" customWidth="1"/>
    <col min="11761" max="11761" width="11.09765625" style="1" customWidth="1"/>
    <col min="11762" max="11762" width="11.59765625" style="1" customWidth="1"/>
    <col min="11763" max="12009" width="9" style="1" customWidth="1"/>
    <col min="12010" max="12010" width="13.8984375" style="1" customWidth="1"/>
    <col min="12011" max="12011" width="9.8984375" style="1" customWidth="1"/>
    <col min="12012" max="12012" width="8.3984375" style="1" customWidth="1"/>
    <col min="12013" max="12013" width="8.19921875" style="1" customWidth="1"/>
    <col min="12014" max="12014" width="5.59765625" style="1" customWidth="1"/>
    <col min="12015" max="12016" width="8.3984375" style="1" customWidth="1"/>
    <col min="12017" max="12017" width="11.09765625" style="1" customWidth="1"/>
    <col min="12018" max="12018" width="11.59765625" style="1" customWidth="1"/>
    <col min="12019" max="12265" width="9" style="1" customWidth="1"/>
    <col min="12266" max="12266" width="13.8984375" style="1" customWidth="1"/>
    <col min="12267" max="12267" width="9.8984375" style="1" customWidth="1"/>
    <col min="12268" max="12268" width="8.3984375" style="1" customWidth="1"/>
    <col min="12269" max="12269" width="8.19921875" style="1" customWidth="1"/>
    <col min="12270" max="12270" width="5.59765625" style="1" customWidth="1"/>
    <col min="12271" max="12272" width="8.3984375" style="1" customWidth="1"/>
    <col min="12273" max="12273" width="11.09765625" style="1" customWidth="1"/>
    <col min="12274" max="12274" width="11.59765625" style="1" customWidth="1"/>
    <col min="12275" max="12521" width="9" style="1" customWidth="1"/>
    <col min="12522" max="12522" width="13.8984375" style="1" customWidth="1"/>
    <col min="12523" max="12523" width="9.8984375" style="1" customWidth="1"/>
    <col min="12524" max="12524" width="8.3984375" style="1" customWidth="1"/>
    <col min="12525" max="12525" width="8.19921875" style="1" customWidth="1"/>
    <col min="12526" max="12526" width="5.59765625" style="1" customWidth="1"/>
    <col min="12527" max="12528" width="8.3984375" style="1" customWidth="1"/>
    <col min="12529" max="12529" width="11.09765625" style="1" customWidth="1"/>
    <col min="12530" max="12530" width="11.59765625" style="1" customWidth="1"/>
    <col min="12531" max="12777" width="9" style="1" customWidth="1"/>
    <col min="12778" max="12778" width="13.8984375" style="1" customWidth="1"/>
    <col min="12779" max="12779" width="9.8984375" style="1" customWidth="1"/>
    <col min="12780" max="12780" width="8.3984375" style="1" customWidth="1"/>
    <col min="12781" max="12781" width="8.19921875" style="1" customWidth="1"/>
    <col min="12782" max="12782" width="5.59765625" style="1" customWidth="1"/>
    <col min="12783" max="12784" width="8.3984375" style="1" customWidth="1"/>
    <col min="12785" max="12785" width="11.09765625" style="1" customWidth="1"/>
    <col min="12786" max="12786" width="11.59765625" style="1" customWidth="1"/>
    <col min="12787" max="13033" width="9" style="1" customWidth="1"/>
    <col min="13034" max="13034" width="13.8984375" style="1" customWidth="1"/>
    <col min="13035" max="13035" width="9.8984375" style="1" customWidth="1"/>
    <col min="13036" max="13036" width="8.3984375" style="1" customWidth="1"/>
    <col min="13037" max="13037" width="8.19921875" style="1" customWidth="1"/>
    <col min="13038" max="13038" width="5.59765625" style="1" customWidth="1"/>
    <col min="13039" max="13040" width="8.3984375" style="1" customWidth="1"/>
    <col min="13041" max="13041" width="11.09765625" style="1" customWidth="1"/>
    <col min="13042" max="13042" width="11.59765625" style="1" customWidth="1"/>
    <col min="13043" max="13289" width="9" style="1" customWidth="1"/>
    <col min="13290" max="13290" width="13.8984375" style="1" customWidth="1"/>
    <col min="13291" max="13291" width="9.8984375" style="1" customWidth="1"/>
    <col min="13292" max="13292" width="8.3984375" style="1" customWidth="1"/>
    <col min="13293" max="13293" width="8.19921875" style="1" customWidth="1"/>
    <col min="13294" max="13294" width="5.59765625" style="1" customWidth="1"/>
    <col min="13295" max="13296" width="8.3984375" style="1" customWidth="1"/>
    <col min="13297" max="13297" width="11.09765625" style="1" customWidth="1"/>
    <col min="13298" max="13298" width="11.59765625" style="1" customWidth="1"/>
    <col min="13299" max="13545" width="9" style="1" customWidth="1"/>
    <col min="13546" max="13546" width="13.8984375" style="1" customWidth="1"/>
    <col min="13547" max="13547" width="9.8984375" style="1" customWidth="1"/>
    <col min="13548" max="13548" width="8.3984375" style="1" customWidth="1"/>
    <col min="13549" max="13549" width="8.19921875" style="1" customWidth="1"/>
    <col min="13550" max="13550" width="5.59765625" style="1" customWidth="1"/>
    <col min="13551" max="13552" width="8.3984375" style="1" customWidth="1"/>
    <col min="13553" max="13553" width="11.09765625" style="1" customWidth="1"/>
    <col min="13554" max="13554" width="11.59765625" style="1" customWidth="1"/>
    <col min="13555" max="13801" width="9" style="1" customWidth="1"/>
    <col min="13802" max="13802" width="13.8984375" style="1" customWidth="1"/>
    <col min="13803" max="13803" width="9.8984375" style="1" customWidth="1"/>
    <col min="13804" max="13804" width="8.3984375" style="1" customWidth="1"/>
    <col min="13805" max="13805" width="8.19921875" style="1" customWidth="1"/>
    <col min="13806" max="13806" width="5.59765625" style="1" customWidth="1"/>
    <col min="13807" max="13808" width="8.3984375" style="1" customWidth="1"/>
    <col min="13809" max="13809" width="11.09765625" style="1" customWidth="1"/>
    <col min="13810" max="13810" width="11.59765625" style="1" customWidth="1"/>
    <col min="13811" max="14057" width="9" style="1" customWidth="1"/>
    <col min="14058" max="14058" width="13.8984375" style="1" customWidth="1"/>
    <col min="14059" max="14059" width="9.8984375" style="1" customWidth="1"/>
    <col min="14060" max="14060" width="8.3984375" style="1" customWidth="1"/>
    <col min="14061" max="14061" width="8.19921875" style="1" customWidth="1"/>
    <col min="14062" max="14062" width="5.59765625" style="1" customWidth="1"/>
    <col min="14063" max="14064" width="8.3984375" style="1" customWidth="1"/>
    <col min="14065" max="14065" width="11.09765625" style="1" customWidth="1"/>
    <col min="14066" max="14066" width="11.59765625" style="1" customWidth="1"/>
    <col min="14067" max="14313" width="9" style="1" customWidth="1"/>
    <col min="14314" max="14314" width="13.8984375" style="1" customWidth="1"/>
    <col min="14315" max="14315" width="9.8984375" style="1" customWidth="1"/>
    <col min="14316" max="14316" width="8.3984375" style="1" customWidth="1"/>
    <col min="14317" max="14317" width="8.19921875" style="1" customWidth="1"/>
    <col min="14318" max="14318" width="5.59765625" style="1" customWidth="1"/>
    <col min="14319" max="14320" width="8.3984375" style="1" customWidth="1"/>
    <col min="14321" max="14321" width="11.09765625" style="1" customWidth="1"/>
    <col min="14322" max="14322" width="11.59765625" style="1" customWidth="1"/>
    <col min="14323" max="14569" width="9" style="1" customWidth="1"/>
    <col min="14570" max="14570" width="13.8984375" style="1" customWidth="1"/>
    <col min="14571" max="14571" width="9.8984375" style="1" customWidth="1"/>
    <col min="14572" max="14572" width="8.3984375" style="1" customWidth="1"/>
    <col min="14573" max="14573" width="8.19921875" style="1" customWidth="1"/>
    <col min="14574" max="14574" width="5.59765625" style="1" customWidth="1"/>
    <col min="14575" max="14576" width="8.3984375" style="1" customWidth="1"/>
    <col min="14577" max="14577" width="11.09765625" style="1" customWidth="1"/>
    <col min="14578" max="14578" width="11.59765625" style="1" customWidth="1"/>
    <col min="14579" max="14825" width="9" style="1" customWidth="1"/>
    <col min="14826" max="14826" width="13.8984375" style="1" customWidth="1"/>
    <col min="14827" max="14827" width="9.8984375" style="1" customWidth="1"/>
    <col min="14828" max="14828" width="8.3984375" style="1" customWidth="1"/>
    <col min="14829" max="14829" width="8.19921875" style="1" customWidth="1"/>
    <col min="14830" max="14830" width="5.59765625" style="1" customWidth="1"/>
    <col min="14831" max="14832" width="8.3984375" style="1" customWidth="1"/>
    <col min="14833" max="14833" width="11.09765625" style="1" customWidth="1"/>
    <col min="14834" max="14834" width="11.59765625" style="1" customWidth="1"/>
    <col min="14835" max="15081" width="9" style="1" customWidth="1"/>
    <col min="15082" max="15082" width="13.8984375" style="1" customWidth="1"/>
    <col min="15083" max="15083" width="9.8984375" style="1" customWidth="1"/>
    <col min="15084" max="15084" width="8.3984375" style="1" customWidth="1"/>
    <col min="15085" max="15085" width="8.19921875" style="1" customWidth="1"/>
    <col min="15086" max="15086" width="5.59765625" style="1" customWidth="1"/>
    <col min="15087" max="15088" width="8.3984375" style="1" customWidth="1"/>
    <col min="15089" max="15089" width="11.09765625" style="1" customWidth="1"/>
    <col min="15090" max="15090" width="11.59765625" style="1" customWidth="1"/>
    <col min="15091" max="15337" width="9" style="1" customWidth="1"/>
    <col min="15338" max="15338" width="13.8984375" style="1" customWidth="1"/>
    <col min="15339" max="15339" width="9.8984375" style="1" customWidth="1"/>
    <col min="15340" max="15340" width="8.3984375" style="1" customWidth="1"/>
    <col min="15341" max="15341" width="8.19921875" style="1" customWidth="1"/>
    <col min="15342" max="15342" width="5.59765625" style="1" customWidth="1"/>
    <col min="15343" max="15344" width="8.3984375" style="1" customWidth="1"/>
    <col min="15345" max="15345" width="11.09765625" style="1" customWidth="1"/>
    <col min="15346" max="15346" width="11.59765625" style="1" customWidth="1"/>
    <col min="15347" max="15593" width="9" style="1" customWidth="1"/>
    <col min="15594" max="15594" width="13.8984375" style="1" customWidth="1"/>
    <col min="15595" max="15595" width="9.8984375" style="1" customWidth="1"/>
    <col min="15596" max="15596" width="8.3984375" style="1" customWidth="1"/>
    <col min="15597" max="15597" width="8.19921875" style="1" customWidth="1"/>
    <col min="15598" max="15598" width="5.59765625" style="1" customWidth="1"/>
    <col min="15599" max="15600" width="8.3984375" style="1" customWidth="1"/>
    <col min="15601" max="15601" width="11.09765625" style="1" customWidth="1"/>
    <col min="15602" max="15602" width="11.59765625" style="1" customWidth="1"/>
    <col min="15603" max="15849" width="9" style="1" customWidth="1"/>
    <col min="15850" max="15850" width="13.8984375" style="1" customWidth="1"/>
    <col min="15851" max="15851" width="9.8984375" style="1" customWidth="1"/>
    <col min="15852" max="15852" width="8.3984375" style="1" customWidth="1"/>
    <col min="15853" max="15853" width="8.19921875" style="1" customWidth="1"/>
    <col min="15854" max="15854" width="5.59765625" style="1" customWidth="1"/>
    <col min="15855" max="15856" width="8.3984375" style="1" customWidth="1"/>
    <col min="15857" max="15857" width="11.09765625" style="1" customWidth="1"/>
    <col min="15858" max="15858" width="11.59765625" style="1" customWidth="1"/>
    <col min="15859" max="16105" width="9" style="1" customWidth="1"/>
    <col min="16106" max="16106" width="13.8984375" style="1" customWidth="1"/>
    <col min="16107" max="16107" width="9.8984375" style="1" customWidth="1"/>
    <col min="16108" max="16108" width="8.3984375" style="1" customWidth="1"/>
    <col min="16109" max="16109" width="8.19921875" style="1" customWidth="1"/>
    <col min="16110" max="16110" width="5.59765625" style="1" customWidth="1"/>
    <col min="16111" max="16112" width="8.3984375" style="1" customWidth="1"/>
    <col min="16113" max="16113" width="11.09765625" style="1" customWidth="1"/>
    <col min="16114" max="16114" width="11.59765625" style="1" customWidth="1"/>
    <col min="16115" max="16384" width="9" style="1" customWidth="1"/>
  </cols>
  <sheetData>
    <row r="1" ht="27.9" customHeight="1" spans="1:25" s="267" customFormat="1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</row>
    <row r="2" ht="18" customHeight="1" spans="1:25" s="3" customFormat="1" x14ac:dyDescent="0.25">
      <c r="A2" s="315" t="s">
        <v>26</v>
      </c>
      <c r="B2" s="315"/>
      <c r="C2" s="315"/>
      <c r="D2" s="315"/>
      <c r="E2" s="315"/>
      <c r="F2" s="315"/>
      <c r="G2" s="315"/>
      <c r="H2" s="315"/>
      <c r="I2" s="31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87" t="s">
        <v>141</v>
      </c>
      <c r="B4" s="187"/>
      <c r="C4" s="187"/>
      <c r="D4" s="187"/>
      <c r="E4" s="187"/>
      <c r="F4" s="187"/>
      <c r="G4" s="187"/>
      <c r="H4" s="187"/>
      <c r="I4" s="18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75" t="s">
        <v>142</v>
      </c>
      <c r="B5" s="175"/>
      <c r="C5" s="175"/>
      <c r="D5" s="175"/>
      <c r="E5" s="175"/>
      <c r="F5" s="175"/>
      <c r="G5" s="175"/>
      <c r="H5" s="175"/>
      <c r="I5" s="17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75"/>
      <c r="B6" s="175"/>
      <c r="C6" s="175"/>
      <c r="D6" s="175"/>
      <c r="E6" s="175"/>
      <c r="F6" s="175"/>
      <c r="G6" s="175"/>
      <c r="H6" s="175"/>
      <c r="I6" s="319" t="s">
        <v>143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s="3" customFormat="1" x14ac:dyDescent="0.25">
      <c r="A7" s="3" t="s">
        <v>144</v>
      </c>
      <c r="B7" s="3"/>
      <c r="C7" s="3"/>
      <c r="D7" s="3" t="s">
        <v>145</v>
      </c>
      <c r="E7" s="175" t="str">
        <f>'OS-IN'!H6</f>
        <v>0148N</v>
      </c>
      <c r="F7" s="175"/>
      <c r="G7" s="319" t="s">
        <v>5</v>
      </c>
      <c r="H7" s="189">
        <f>'OS-IN'!L6</f>
        <v>46223</v>
      </c>
      <c r="I7" s="17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s="3" customFormat="1" x14ac:dyDescent="0.25">
      <c r="A8" s="3" t="s">
        <v>146</v>
      </c>
      <c r="B8" s="3"/>
      <c r="C8" s="3"/>
      <c r="D8" s="3" t="s">
        <v>7</v>
      </c>
      <c r="E8" s="175">
        <f>'Final Work'!G6</f>
        <v>6</v>
      </c>
      <c r="F8" s="175"/>
      <c r="G8" s="319" t="s">
        <v>8</v>
      </c>
      <c r="H8" s="372" t="s">
        <v>147</v>
      </c>
      <c r="I8" s="37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45" customFormat="1" x14ac:dyDescent="0.25">
      <c r="A10" s="260" t="s">
        <v>148</v>
      </c>
      <c r="B10" s="404" t="s">
        <v>132</v>
      </c>
      <c r="C10" s="260" t="s">
        <v>128</v>
      </c>
      <c r="D10" s="405" t="s">
        <v>149</v>
      </c>
      <c r="E10" s="155"/>
      <c r="F10" s="406" t="s">
        <v>150</v>
      </c>
      <c r="G10" s="405"/>
      <c r="H10" s="406" t="s">
        <v>151</v>
      </c>
      <c r="I10" s="260" t="s">
        <v>56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21" customHeight="1" spans="1:25" s="145" customFormat="1" x14ac:dyDescent="0.25">
      <c r="A11" s="32"/>
      <c r="B11" s="407"/>
      <c r="C11" s="32"/>
      <c r="D11" s="408" t="s">
        <v>152</v>
      </c>
      <c r="E11" s="409"/>
      <c r="F11" s="410" t="s">
        <v>153</v>
      </c>
      <c r="G11" s="408" t="s">
        <v>154</v>
      </c>
      <c r="H11" s="411" t="s">
        <v>155</v>
      </c>
      <c r="I11" s="32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7.1" customHeight="1" spans="1:25" s="40" customFormat="1" x14ac:dyDescent="0.25">
      <c r="A12" s="252"/>
      <c r="B12" s="412"/>
      <c r="C12" s="413"/>
      <c r="D12" s="256"/>
      <c r="E12" s="256"/>
      <c r="F12" s="414"/>
      <c r="G12" s="414"/>
      <c r="H12" s="415"/>
      <c r="I12" s="64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7.1" customHeight="1" spans="1:25" s="40" customFormat="1" x14ac:dyDescent="0.25">
      <c r="A13" s="406"/>
      <c r="B13" s="413"/>
      <c r="C13" s="413"/>
      <c r="D13" s="406"/>
      <c r="E13" s="406"/>
      <c r="F13" s="416"/>
      <c r="G13" s="416"/>
      <c r="H13" s="417"/>
      <c r="I13" s="53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7.1" customHeight="1" spans="1:25" s="40" customFormat="1" x14ac:dyDescent="0.25">
      <c r="A14" s="406"/>
      <c r="B14" s="413"/>
      <c r="C14" s="413"/>
      <c r="D14" s="406"/>
      <c r="E14" s="406"/>
      <c r="F14" s="416"/>
      <c r="G14" s="416"/>
      <c r="H14" s="417"/>
      <c r="I14" s="53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7.1" customHeight="1" spans="1:25" s="40" customFormat="1" x14ac:dyDescent="0.25">
      <c r="A15" s="406"/>
      <c r="B15" s="413"/>
      <c r="C15" s="413"/>
      <c r="D15" s="406"/>
      <c r="E15" s="406"/>
      <c r="F15" s="416"/>
      <c r="G15" s="416"/>
      <c r="H15" s="417"/>
      <c r="I15" s="53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7.1" customHeight="1" spans="1:25" s="40" customFormat="1" x14ac:dyDescent="0.25">
      <c r="A16" s="418"/>
      <c r="B16" s="419"/>
      <c r="C16" s="419"/>
      <c r="D16" s="420"/>
      <c r="E16" s="420"/>
      <c r="F16" s="421"/>
      <c r="G16" s="421"/>
      <c r="H16" s="422"/>
      <c r="I16" s="72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7.1" customHeight="1" spans="1:25" s="40" customFormat="1" x14ac:dyDescent="0.25">
      <c r="A17" s="252"/>
      <c r="B17" s="423"/>
      <c r="C17" s="423"/>
      <c r="D17" s="252"/>
      <c r="E17" s="252"/>
      <c r="F17" s="424"/>
      <c r="G17" s="424"/>
      <c r="H17" s="425"/>
      <c r="I17" s="8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7.1" customHeight="1" spans="1:25" s="40" customFormat="1" x14ac:dyDescent="0.25">
      <c r="A18" s="406"/>
      <c r="B18" s="413"/>
      <c r="C18" s="413"/>
      <c r="D18" s="406"/>
      <c r="E18" s="406"/>
      <c r="F18" s="416"/>
      <c r="G18" s="416"/>
      <c r="H18" s="417"/>
      <c r="I18" s="53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7.1" customHeight="1" spans="1:25" s="40" customFormat="1" x14ac:dyDescent="0.25">
      <c r="A19" s="406"/>
      <c r="B19" s="413"/>
      <c r="C19" s="413"/>
      <c r="D19" s="406"/>
      <c r="E19" s="406"/>
      <c r="F19" s="416"/>
      <c r="G19" s="416"/>
      <c r="H19" s="417"/>
      <c r="I19" s="64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7.1" customHeight="1" spans="1:25" s="40" customFormat="1" x14ac:dyDescent="0.25">
      <c r="A20" s="406"/>
      <c r="B20" s="413"/>
      <c r="C20" s="413"/>
      <c r="D20" s="406"/>
      <c r="E20" s="406"/>
      <c r="F20" s="416"/>
      <c r="G20" s="416"/>
      <c r="H20" s="417"/>
      <c r="I20" s="53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7.1" customHeight="1" spans="1:25" s="40" customFormat="1" x14ac:dyDescent="0.25">
      <c r="A21" s="418"/>
      <c r="B21" s="419"/>
      <c r="C21" s="419"/>
      <c r="D21" s="418"/>
      <c r="E21" s="418"/>
      <c r="F21" s="421"/>
      <c r="G21" s="421"/>
      <c r="H21" s="422"/>
      <c r="I21" s="72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7.1" customHeight="1" spans="1:25" s="40" customFormat="1" x14ac:dyDescent="0.25">
      <c r="A22" s="252"/>
      <c r="B22" s="423"/>
      <c r="C22" s="423"/>
      <c r="D22" s="252"/>
      <c r="E22" s="252"/>
      <c r="F22" s="424"/>
      <c r="G22" s="424"/>
      <c r="H22" s="425"/>
      <c r="I22" s="64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7.1" customHeight="1" spans="1:25" s="40" customFormat="1" x14ac:dyDescent="0.25">
      <c r="A23" s="406"/>
      <c r="B23" s="413"/>
      <c r="C23" s="413"/>
      <c r="D23" s="406"/>
      <c r="E23" s="406"/>
      <c r="F23" s="416"/>
      <c r="G23" s="416"/>
      <c r="H23" s="417"/>
      <c r="I23" s="53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7.1" customHeight="1" spans="1:25" s="40" customFormat="1" x14ac:dyDescent="0.25">
      <c r="A24" s="252"/>
      <c r="B24" s="423"/>
      <c r="C24" s="423"/>
      <c r="D24" s="252"/>
      <c r="E24" s="252"/>
      <c r="F24" s="424"/>
      <c r="G24" s="424"/>
      <c r="H24" s="425"/>
      <c r="I24" s="53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7.1" customHeight="1" spans="1:25" s="40" customFormat="1" x14ac:dyDescent="0.25">
      <c r="A25" s="406"/>
      <c r="B25" s="413"/>
      <c r="C25" s="413"/>
      <c r="D25" s="406"/>
      <c r="E25" s="406"/>
      <c r="F25" s="416"/>
      <c r="G25" s="416"/>
      <c r="H25" s="417"/>
      <c r="I25" s="53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7.1" customHeight="1" spans="1:25" s="40" customFormat="1" x14ac:dyDescent="0.25">
      <c r="A26" s="418"/>
      <c r="B26" s="419"/>
      <c r="C26" s="419"/>
      <c r="D26" s="418"/>
      <c r="E26" s="418"/>
      <c r="F26" s="421"/>
      <c r="G26" s="421"/>
      <c r="H26" s="422"/>
      <c r="I26" s="72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7.1" customHeight="1" spans="1:25" s="40" customFormat="1" x14ac:dyDescent="0.25">
      <c r="A27" s="252"/>
      <c r="B27" s="423"/>
      <c r="C27" s="423"/>
      <c r="D27" s="252"/>
      <c r="E27" s="252"/>
      <c r="F27" s="424"/>
      <c r="G27" s="424"/>
      <c r="H27" s="425"/>
      <c r="I27" s="64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7.1" customHeight="1" spans="1:25" s="40" customFormat="1" x14ac:dyDescent="0.25">
      <c r="A28" s="406"/>
      <c r="B28" s="413"/>
      <c r="C28" s="413"/>
      <c r="D28" s="406"/>
      <c r="E28" s="406"/>
      <c r="F28" s="416"/>
      <c r="G28" s="416"/>
      <c r="H28" s="417"/>
      <c r="I28" s="6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7.1" customHeight="1" spans="1:25" s="40" customFormat="1" x14ac:dyDescent="0.25">
      <c r="A29" s="252"/>
      <c r="B29" s="423"/>
      <c r="C29" s="423"/>
      <c r="D29" s="252"/>
      <c r="E29" s="252"/>
      <c r="F29" s="424"/>
      <c r="G29" s="424"/>
      <c r="H29" s="425"/>
      <c r="I29" s="53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7.1" customHeight="1" spans="1:25" s="40" customFormat="1" x14ac:dyDescent="0.25">
      <c r="A30" s="406"/>
      <c r="B30" s="413"/>
      <c r="C30" s="413"/>
      <c r="D30" s="406"/>
      <c r="E30" s="406"/>
      <c r="F30" s="416"/>
      <c r="G30" s="416"/>
      <c r="H30" s="417"/>
      <c r="I30" s="53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7.1" customHeight="1" spans="1:25" s="40" customFormat="1" x14ac:dyDescent="0.25">
      <c r="A31" s="418"/>
      <c r="B31" s="419"/>
      <c r="C31" s="419"/>
      <c r="D31" s="418"/>
      <c r="E31" s="418"/>
      <c r="F31" s="421"/>
      <c r="G31" s="421"/>
      <c r="H31" s="422"/>
      <c r="I31" s="72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7.1" customHeight="1" spans="1:25" s="40" customFormat="1" x14ac:dyDescent="0.25">
      <c r="A32" s="252"/>
      <c r="B32" s="423"/>
      <c r="C32" s="423"/>
      <c r="D32" s="252"/>
      <c r="E32" s="252"/>
      <c r="F32" s="416"/>
      <c r="G32" s="416"/>
      <c r="H32" s="425"/>
      <c r="I32" s="53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7.1" customHeight="1" spans="1:25" s="40" customFormat="1" x14ac:dyDescent="0.25">
      <c r="A33" s="406"/>
      <c r="B33" s="426"/>
      <c r="C33" s="413"/>
      <c r="D33" s="406"/>
      <c r="E33" s="406"/>
      <c r="F33" s="416"/>
      <c r="G33" s="416"/>
      <c r="H33" s="417"/>
      <c r="I33" s="53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7.1" customHeight="1" spans="1:25" s="40" customFormat="1" x14ac:dyDescent="0.25">
      <c r="A34" s="406"/>
      <c r="B34" s="426"/>
      <c r="C34" s="413"/>
      <c r="D34" s="262"/>
      <c r="E34" s="262"/>
      <c r="F34" s="416"/>
      <c r="G34" s="416"/>
      <c r="H34" s="417"/>
      <c r="I34" s="64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7.1" customHeight="1" spans="1:25" s="40" customFormat="1" x14ac:dyDescent="0.25">
      <c r="A35" s="406"/>
      <c r="B35" s="426"/>
      <c r="C35" s="413"/>
      <c r="D35" s="262"/>
      <c r="E35" s="262"/>
      <c r="F35" s="416"/>
      <c r="G35" s="416"/>
      <c r="H35" s="417"/>
      <c r="I35" s="53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7.1" customHeight="1" spans="1:25" s="40" customFormat="1" x14ac:dyDescent="0.25">
      <c r="A36" s="406"/>
      <c r="B36" s="413"/>
      <c r="C36" s="413"/>
      <c r="D36" s="406"/>
      <c r="E36" s="406"/>
      <c r="F36" s="416"/>
      <c r="G36" s="416"/>
      <c r="H36" s="417"/>
      <c r="I36" s="53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.9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7" customHeight="1" spans="1:25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4.7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7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7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8" customHeight="1" spans="1:25" s="40" customFormat="1" x14ac:dyDescent="0.25">
      <c r="A48" s="185" t="s">
        <v>156</v>
      </c>
      <c r="B48" s="185"/>
      <c r="C48" s="40"/>
      <c r="D48" s="185" t="s">
        <v>157</v>
      </c>
      <c r="E48" s="185"/>
      <c r="F48" s="185"/>
      <c r="G48" s="40"/>
      <c r="H48" s="185" t="s">
        <v>158</v>
      </c>
      <c r="I48" s="185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7.9" customHeight="1" hidden="1" spans="1:25" s="267" customFormat="1" x14ac:dyDescent="0.25">
      <c r="A49" s="186" t="s">
        <v>25</v>
      </c>
      <c r="B49" s="186"/>
      <c r="C49" s="186"/>
      <c r="D49" s="186"/>
      <c r="E49" s="186"/>
      <c r="F49" s="186"/>
      <c r="G49" s="186"/>
      <c r="H49" s="186"/>
      <c r="I49" s="18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</row>
    <row r="50" ht="18" customHeight="1" hidden="1" spans="1:25" s="3" customFormat="1" x14ac:dyDescent="0.25">
      <c r="A50" s="315" t="s">
        <v>26</v>
      </c>
      <c r="B50" s="315"/>
      <c r="C50" s="315"/>
      <c r="D50" s="315"/>
      <c r="E50" s="315"/>
      <c r="F50" s="315"/>
      <c r="G50" s="315"/>
      <c r="H50" s="315"/>
      <c r="I50" s="3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hidden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7" customHeight="1" hidden="1" spans="1:25" s="3" customFormat="1" x14ac:dyDescent="0.25">
      <c r="A52" s="187" t="s">
        <v>141</v>
      </c>
      <c r="B52" s="187"/>
      <c r="C52" s="187"/>
      <c r="D52" s="187"/>
      <c r="E52" s="187"/>
      <c r="F52" s="187"/>
      <c r="G52" s="187"/>
      <c r="H52" s="187"/>
      <c r="I52" s="18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idden="1" spans="1:25" s="3" customFormat="1" x14ac:dyDescent="0.25">
      <c r="A53" s="175" t="s">
        <v>142</v>
      </c>
      <c r="B53" s="175"/>
      <c r="C53" s="175"/>
      <c r="D53" s="175"/>
      <c r="E53" s="175"/>
      <c r="F53" s="175"/>
      <c r="G53" s="175"/>
      <c r="H53" s="175"/>
      <c r="I53" s="17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 hidden="1" spans="1:25" s="3" customFormat="1" x14ac:dyDescent="0.25">
      <c r="A54" s="175"/>
      <c r="B54" s="175"/>
      <c r="C54" s="175"/>
      <c r="D54" s="175"/>
      <c r="E54" s="175"/>
      <c r="F54" s="175"/>
      <c r="G54" s="175"/>
      <c r="H54" s="175"/>
      <c r="I54" s="319" t="s">
        <v>159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idden="1" spans="1:25" s="3" customFormat="1" x14ac:dyDescent="0.25">
      <c r="A55" s="3" t="s">
        <v>144</v>
      </c>
      <c r="B55" s="3"/>
      <c r="C55" s="3"/>
      <c r="D55" s="3" t="s">
        <v>145</v>
      </c>
      <c r="E55" s="175" t="str">
        <f>E7</f>
        <v>0148N</v>
      </c>
      <c r="F55" s="175"/>
      <c r="G55" s="319" t="s">
        <v>5</v>
      </c>
      <c r="H55" s="189">
        <f>H7</f>
        <v>46223</v>
      </c>
      <c r="I55" s="17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idden="1" spans="1:25" s="3" customFormat="1" x14ac:dyDescent="0.25">
      <c r="A56" s="3" t="s">
        <v>146</v>
      </c>
      <c r="B56" s="3"/>
      <c r="C56" s="3"/>
      <c r="D56" s="3" t="s">
        <v>7</v>
      </c>
      <c r="E56" s="175">
        <v>7</v>
      </c>
      <c r="F56" s="175"/>
      <c r="G56" s="319" t="s">
        <v>8</v>
      </c>
      <c r="H56" s="372" t="s">
        <v>147</v>
      </c>
      <c r="I56" s="37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9" customHeight="1" hidden="1" spans="1:25" s="3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 hidden="1" spans="1:25" s="145" customFormat="1" x14ac:dyDescent="0.25">
      <c r="A58" s="260" t="s">
        <v>148</v>
      </c>
      <c r="B58" s="404" t="s">
        <v>132</v>
      </c>
      <c r="C58" s="260" t="s">
        <v>128</v>
      </c>
      <c r="D58" s="405" t="s">
        <v>149</v>
      </c>
      <c r="E58" s="155"/>
      <c r="F58" s="406" t="s">
        <v>150</v>
      </c>
      <c r="G58" s="405"/>
      <c r="H58" s="406" t="s">
        <v>151</v>
      </c>
      <c r="I58" s="260" t="s">
        <v>56</v>
      </c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21" customHeight="1" hidden="1" spans="1:25" s="145" customFormat="1" x14ac:dyDescent="0.25">
      <c r="A59" s="32"/>
      <c r="B59" s="407"/>
      <c r="C59" s="32"/>
      <c r="D59" s="408" t="s">
        <v>152</v>
      </c>
      <c r="E59" s="409"/>
      <c r="F59" s="410" t="s">
        <v>153</v>
      </c>
      <c r="G59" s="408" t="s">
        <v>154</v>
      </c>
      <c r="H59" s="411" t="s">
        <v>155</v>
      </c>
      <c r="I59" s="32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21" customHeight="1" hidden="1" spans="1:25" s="40" customFormat="1" x14ac:dyDescent="0.25">
      <c r="A60" s="252"/>
      <c r="B60" s="412"/>
      <c r="C60" s="412"/>
      <c r="D60" s="256"/>
      <c r="E60" s="256"/>
      <c r="F60" s="414"/>
      <c r="G60" s="414"/>
      <c r="H60" s="415"/>
      <c r="I60" s="427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1" customHeight="1" hidden="1" spans="1:25" s="40" customFormat="1" x14ac:dyDescent="0.25">
      <c r="A61" s="406"/>
      <c r="B61" s="413"/>
      <c r="C61" s="413"/>
      <c r="D61" s="406"/>
      <c r="E61" s="406"/>
      <c r="F61" s="416"/>
      <c r="G61" s="416"/>
      <c r="H61" s="417"/>
      <c r="I61" s="61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1" customHeight="1" hidden="1" spans="1:25" s="40" customFormat="1" x14ac:dyDescent="0.25">
      <c r="A62" s="406"/>
      <c r="B62" s="413"/>
      <c r="C62" s="413"/>
      <c r="D62" s="406"/>
      <c r="E62" s="406"/>
      <c r="F62" s="416"/>
      <c r="G62" s="416"/>
      <c r="H62" s="417"/>
      <c r="I62" s="61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1" customHeight="1" hidden="1" spans="1:25" s="40" customFormat="1" x14ac:dyDescent="0.25">
      <c r="A63" s="406"/>
      <c r="B63" s="413"/>
      <c r="C63" s="413"/>
      <c r="D63" s="406"/>
      <c r="E63" s="406"/>
      <c r="F63" s="416"/>
      <c r="G63" s="416"/>
      <c r="H63" s="417"/>
      <c r="I63" s="61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1" customHeight="1" hidden="1" spans="1:25" s="40" customFormat="1" x14ac:dyDescent="0.25">
      <c r="A64" s="418"/>
      <c r="B64" s="428"/>
      <c r="C64" s="419"/>
      <c r="D64" s="420"/>
      <c r="E64" s="420"/>
      <c r="F64" s="421"/>
      <c r="G64" s="421"/>
      <c r="H64" s="417"/>
      <c r="I64" s="397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1" customHeight="1" hidden="1" spans="1:25" s="40" customFormat="1" x14ac:dyDescent="0.25">
      <c r="A65" s="358"/>
      <c r="B65" s="429"/>
      <c r="C65" s="423"/>
      <c r="D65" s="28"/>
      <c r="E65" s="28"/>
      <c r="F65" s="430"/>
      <c r="G65" s="430"/>
      <c r="H65" s="431"/>
      <c r="I65" s="40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1" customHeight="1" hidden="1" spans="1:25" s="40" customFormat="1" x14ac:dyDescent="0.25">
      <c r="A66" s="432"/>
      <c r="B66" s="413"/>
      <c r="C66" s="413"/>
      <c r="D66" s="406"/>
      <c r="E66" s="406"/>
      <c r="F66" s="416"/>
      <c r="G66" s="416"/>
      <c r="H66" s="417"/>
      <c r="I66" s="61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1" customHeight="1" hidden="1" spans="1:25" s="40" customFormat="1" x14ac:dyDescent="0.25">
      <c r="A67" s="432"/>
      <c r="B67" s="413"/>
      <c r="C67" s="413"/>
      <c r="D67" s="406"/>
      <c r="E67" s="406"/>
      <c r="F67" s="416"/>
      <c r="G67" s="416"/>
      <c r="H67" s="417"/>
      <c r="I67" s="61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1" customHeight="1" hidden="1" spans="1:25" s="40" customFormat="1" x14ac:dyDescent="0.25">
      <c r="A68" s="432"/>
      <c r="B68" s="413"/>
      <c r="C68" s="413"/>
      <c r="D68" s="406"/>
      <c r="E68" s="406"/>
      <c r="F68" s="416"/>
      <c r="G68" s="416"/>
      <c r="H68" s="417"/>
      <c r="I68" s="6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1" customHeight="1" hidden="1" spans="1:25" s="40" customFormat="1" x14ac:dyDescent="0.25">
      <c r="A69" s="104"/>
      <c r="B69" s="419"/>
      <c r="C69" s="419"/>
      <c r="D69" s="418"/>
      <c r="E69" s="418"/>
      <c r="F69" s="421"/>
      <c r="G69" s="421"/>
      <c r="H69" s="422"/>
      <c r="I69" s="397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1" customHeight="1" hidden="1" spans="1:25" s="40" customFormat="1" x14ac:dyDescent="0.25">
      <c r="A70" s="96"/>
      <c r="B70" s="429"/>
      <c r="C70" s="423"/>
      <c r="D70" s="28"/>
      <c r="E70" s="28"/>
      <c r="F70" s="430"/>
      <c r="G70" s="430"/>
      <c r="H70" s="431"/>
      <c r="I70" s="401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1" customHeight="1" hidden="1" spans="1:25" s="40" customFormat="1" x14ac:dyDescent="0.25">
      <c r="A71" s="432"/>
      <c r="B71" s="413"/>
      <c r="C71" s="413"/>
      <c r="D71" s="406"/>
      <c r="E71" s="406"/>
      <c r="F71" s="416"/>
      <c r="G71" s="416"/>
      <c r="H71" s="417"/>
      <c r="I71" s="61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1" customHeight="1" hidden="1" spans="1:25" s="40" customFormat="1" x14ac:dyDescent="0.25">
      <c r="A72" s="432"/>
      <c r="B72" s="413"/>
      <c r="C72" s="413"/>
      <c r="D72" s="406"/>
      <c r="E72" s="406"/>
      <c r="F72" s="416"/>
      <c r="G72" s="416"/>
      <c r="H72" s="417"/>
      <c r="I72" s="61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1" customHeight="1" hidden="1" spans="1:25" s="40" customFormat="1" x14ac:dyDescent="0.25">
      <c r="A73" s="432"/>
      <c r="B73" s="413"/>
      <c r="C73" s="413"/>
      <c r="D73" s="406"/>
      <c r="E73" s="406"/>
      <c r="F73" s="416"/>
      <c r="G73" s="416"/>
      <c r="H73" s="417"/>
      <c r="I73" s="61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21" customHeight="1" hidden="1" spans="1:25" s="40" customFormat="1" x14ac:dyDescent="0.25">
      <c r="A74" s="104"/>
      <c r="B74" s="419"/>
      <c r="C74" s="419"/>
      <c r="D74" s="418"/>
      <c r="E74" s="418"/>
      <c r="F74" s="421"/>
      <c r="G74" s="421"/>
      <c r="H74" s="422"/>
      <c r="I74" s="397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21" customHeight="1" hidden="1" spans="1:25" s="40" customFormat="1" x14ac:dyDescent="0.25">
      <c r="A75" s="433"/>
      <c r="B75" s="423"/>
      <c r="C75" s="423"/>
      <c r="D75" s="252"/>
      <c r="E75" s="252"/>
      <c r="F75" s="416"/>
      <c r="G75" s="416"/>
      <c r="H75" s="425"/>
      <c r="I75" s="434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21" customHeight="1" hidden="1" spans="1:25" s="40" customFormat="1" x14ac:dyDescent="0.25">
      <c r="A76" s="435"/>
      <c r="B76" s="426"/>
      <c r="C76" s="413"/>
      <c r="D76" s="262"/>
      <c r="E76" s="262"/>
      <c r="F76" s="416"/>
      <c r="G76" s="416"/>
      <c r="H76" s="436"/>
      <c r="I76" s="437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21" customHeight="1" hidden="1" spans="1:25" s="40" customFormat="1" x14ac:dyDescent="0.25">
      <c r="A77" s="435"/>
      <c r="B77" s="426"/>
      <c r="C77" s="413"/>
      <c r="D77" s="262"/>
      <c r="E77" s="262"/>
      <c r="F77" s="416"/>
      <c r="G77" s="416"/>
      <c r="H77" s="436"/>
      <c r="I77" s="437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21" customHeight="1" hidden="1" spans="1:25" s="40" customFormat="1" x14ac:dyDescent="0.25">
      <c r="A78" s="435"/>
      <c r="B78" s="426"/>
      <c r="C78" s="426"/>
      <c r="D78" s="262"/>
      <c r="E78" s="262"/>
      <c r="F78" s="416"/>
      <c r="G78" s="416"/>
      <c r="H78" s="436"/>
      <c r="I78" s="437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21" customHeight="1" hidden="1" spans="1:25" s="40" customFormat="1" x14ac:dyDescent="0.25">
      <c r="A79" s="438"/>
      <c r="B79" s="419"/>
      <c r="C79" s="419"/>
      <c r="D79" s="418"/>
      <c r="E79" s="418"/>
      <c r="F79" s="421"/>
      <c r="G79" s="421"/>
      <c r="H79" s="422"/>
      <c r="I79" s="439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6.9" customHeight="1" hidden="1" spans="1:25" s="3" customForma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" customHeight="1" hidden="1" spans="1:25" s="40" customFormat="1" x14ac:dyDescent="0.25">
      <c r="A81" s="40" t="s">
        <v>160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" customHeight="1" hidden="1" spans="1:25" s="40" customFormat="1" x14ac:dyDescent="0.25">
      <c r="A82" s="40" t="s">
        <v>161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5" customHeight="1" hidden="1" spans="1:25" s="40" customFormat="1" x14ac:dyDescent="0.25">
      <c r="A83" s="40" t="s">
        <v>162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15" customHeight="1" hidden="1" spans="1:25" s="40" customFormat="1" x14ac:dyDescent="0.25">
      <c r="A84" s="40" t="s">
        <v>163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ht="15" customHeight="1" hidden="1" spans="1:25" s="40" customFormat="1" x14ac:dyDescent="0.25">
      <c r="A85" s="40" t="s">
        <v>164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ht="15" customHeight="1" hidden="1" spans="1:25" s="40" customFormat="1" x14ac:dyDescent="0.25">
      <c r="A86" s="40" t="s">
        <v>165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</row>
    <row r="87" ht="14.25" customHeight="1" hidden="1" spans="1:25" s="40" customForma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</row>
    <row r="88" ht="14.25" customHeight="1" hidden="1" spans="1:25" s="40" customForma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</row>
    <row r="89" ht="15.9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9" customHeight="1" hidden="1" spans="1:25" s="3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8" customHeight="1" hidden="1" spans="1:25" s="40" customFormat="1" x14ac:dyDescent="0.25">
      <c r="A91" s="185" t="s">
        <v>156</v>
      </c>
      <c r="B91" s="185"/>
      <c r="C91" s="40"/>
      <c r="D91" s="185" t="s">
        <v>157</v>
      </c>
      <c r="E91" s="185"/>
      <c r="F91" s="185"/>
      <c r="G91" s="40"/>
      <c r="H91" s="185" t="s">
        <v>158</v>
      </c>
      <c r="I91" s="185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</row>
    <row r="92" ht="27" customHeight="1" spans="1:25" s="267" customFormat="1" x14ac:dyDescent="0.25">
      <c r="A92" s="186" t="s">
        <v>25</v>
      </c>
      <c r="B92" s="186"/>
      <c r="C92" s="186"/>
      <c r="D92" s="186"/>
      <c r="E92" s="186"/>
      <c r="F92" s="186"/>
      <c r="G92" s="186"/>
      <c r="H92" s="186"/>
      <c r="I92" s="18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</row>
    <row r="93" ht="18" customHeight="1" spans="1:25" s="3" customFormat="1" x14ac:dyDescent="0.25">
      <c r="A93" s="315" t="s">
        <v>26</v>
      </c>
      <c r="B93" s="315"/>
      <c r="C93" s="315"/>
      <c r="D93" s="315"/>
      <c r="E93" s="315"/>
      <c r="F93" s="315"/>
      <c r="G93" s="315"/>
      <c r="H93" s="315"/>
      <c r="I93" s="3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1.25" customHeight="1" spans="1:25" s="3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6.25" customHeight="1" spans="1:25" x14ac:dyDescent="0.25">
      <c r="A95" s="187" t="s">
        <v>141</v>
      </c>
      <c r="B95" s="187"/>
      <c r="C95" s="187"/>
      <c r="D95" s="187"/>
      <c r="E95" s="187"/>
      <c r="F95" s="187"/>
      <c r="G95" s="187"/>
      <c r="H95" s="187"/>
      <c r="I95" s="18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75" t="s">
        <v>142</v>
      </c>
      <c r="B96" s="175"/>
      <c r="C96" s="175"/>
      <c r="D96" s="175"/>
      <c r="E96" s="175"/>
      <c r="F96" s="175"/>
      <c r="G96" s="175"/>
      <c r="H96" s="175"/>
      <c r="I96" s="17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 spans="1:25" x14ac:dyDescent="0.25">
      <c r="A97" s="175"/>
      <c r="B97" s="175"/>
      <c r="C97" s="175"/>
      <c r="D97" s="175"/>
      <c r="E97" s="175"/>
      <c r="F97" s="175"/>
      <c r="G97" s="175"/>
      <c r="H97" s="175"/>
      <c r="I97" s="319" t="s">
        <v>143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3" t="s">
        <v>144</v>
      </c>
      <c r="B98" s="3"/>
      <c r="C98" s="3"/>
      <c r="D98" s="3" t="s">
        <v>145</v>
      </c>
      <c r="E98" s="175" t="str">
        <f>'OS-OUT'!H6</f>
        <v>0149S</v>
      </c>
      <c r="F98" s="175"/>
      <c r="G98" s="319" t="s">
        <v>5</v>
      </c>
      <c r="H98" s="189">
        <f>'OS-OUT'!L6</f>
        <v>46223</v>
      </c>
      <c r="I98" s="17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3" t="s">
        <v>146</v>
      </c>
      <c r="B99" s="3"/>
      <c r="C99" s="3"/>
      <c r="D99" s="3" t="s">
        <v>7</v>
      </c>
      <c r="E99" s="175">
        <f>'Final Work'!G6</f>
        <v>6</v>
      </c>
      <c r="F99" s="175"/>
      <c r="G99" s="319" t="s">
        <v>8</v>
      </c>
      <c r="H99" s="372" t="s">
        <v>147</v>
      </c>
      <c r="I99" s="37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9" customHeight="1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260" t="s">
        <v>148</v>
      </c>
      <c r="B101" s="260" t="s">
        <v>132</v>
      </c>
      <c r="C101" s="260" t="s">
        <v>128</v>
      </c>
      <c r="D101" s="405" t="s">
        <v>149</v>
      </c>
      <c r="E101" s="155"/>
      <c r="F101" s="405" t="s">
        <v>150</v>
      </c>
      <c r="G101" s="155"/>
      <c r="H101" s="406" t="s">
        <v>151</v>
      </c>
      <c r="I101" s="260" t="s">
        <v>56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32"/>
      <c r="B102" s="32"/>
      <c r="C102" s="32"/>
      <c r="D102" s="408" t="s">
        <v>152</v>
      </c>
      <c r="E102" s="409"/>
      <c r="F102" s="410" t="s">
        <v>153</v>
      </c>
      <c r="G102" s="408" t="s">
        <v>154</v>
      </c>
      <c r="H102" s="411" t="s">
        <v>155</v>
      </c>
      <c r="I102" s="3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40" t="s">
        <v>166</v>
      </c>
      <c r="B103" s="441"/>
      <c r="C103" s="413" t="s">
        <v>167</v>
      </c>
      <c r="D103" s="252"/>
      <c r="E103" s="252"/>
      <c r="F103" s="442">
        <v>-18</v>
      </c>
      <c r="G103" s="442">
        <v>-11.4</v>
      </c>
      <c r="H103" s="425" t="s">
        <v>168</v>
      </c>
      <c r="I103" s="443" t="s">
        <v>169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44"/>
      <c r="B104" s="445"/>
      <c r="C104" s="413"/>
      <c r="D104" s="406"/>
      <c r="E104" s="406"/>
      <c r="F104" s="446"/>
      <c r="G104" s="446"/>
      <c r="H104" s="447"/>
      <c r="I104" s="44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44"/>
      <c r="B105" s="445"/>
      <c r="C105" s="413"/>
      <c r="D105" s="406"/>
      <c r="E105" s="406"/>
      <c r="F105" s="446"/>
      <c r="G105" s="446"/>
      <c r="H105" s="447"/>
      <c r="I105" s="44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448"/>
      <c r="B106" s="445"/>
      <c r="C106" s="448"/>
      <c r="D106" s="406"/>
      <c r="E106" s="406"/>
      <c r="F106" s="446"/>
      <c r="G106" s="446"/>
      <c r="H106" s="447"/>
      <c r="I106" s="44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449"/>
      <c r="B107" s="450"/>
      <c r="C107" s="449"/>
      <c r="D107" s="418"/>
      <c r="E107" s="418"/>
      <c r="F107" s="451"/>
      <c r="G107" s="451"/>
      <c r="H107" s="452"/>
      <c r="I107" s="44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43"/>
      <c r="B108" s="441"/>
      <c r="C108" s="443"/>
      <c r="D108" s="252"/>
      <c r="E108" s="252"/>
      <c r="F108" s="442"/>
      <c r="G108" s="442"/>
      <c r="H108" s="453"/>
      <c r="I108" s="44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35"/>
      <c r="B109" s="426"/>
      <c r="C109" s="426"/>
      <c r="D109" s="152"/>
      <c r="E109" s="155"/>
      <c r="F109" s="435"/>
      <c r="G109" s="454"/>
      <c r="H109" s="455"/>
      <c r="I109" s="45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57"/>
      <c r="B110" s="457"/>
      <c r="C110" s="457"/>
      <c r="D110" s="152"/>
      <c r="E110" s="155"/>
      <c r="F110" s="458"/>
      <c r="G110" s="458"/>
      <c r="H110" s="455"/>
      <c r="I110" s="45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57"/>
      <c r="B111" s="457"/>
      <c r="C111" s="457"/>
      <c r="D111" s="152"/>
      <c r="E111" s="155"/>
      <c r="F111" s="458"/>
      <c r="G111" s="458"/>
      <c r="H111" s="455"/>
      <c r="I111" s="45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59"/>
      <c r="B112" s="459"/>
      <c r="C112" s="459"/>
      <c r="D112" s="159"/>
      <c r="E112" s="160"/>
      <c r="F112" s="460"/>
      <c r="G112" s="460"/>
      <c r="H112" s="452"/>
      <c r="I112" s="45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61"/>
      <c r="B113" s="461"/>
      <c r="C113" s="461"/>
      <c r="D113" s="29"/>
      <c r="E113" s="27"/>
      <c r="F113" s="462"/>
      <c r="G113" s="462"/>
      <c r="H113" s="453"/>
      <c r="I113" s="46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57"/>
      <c r="B114" s="457"/>
      <c r="C114" s="457"/>
      <c r="D114" s="152"/>
      <c r="E114" s="155"/>
      <c r="F114" s="458"/>
      <c r="G114" s="458"/>
      <c r="H114" s="455"/>
      <c r="I114" s="45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57"/>
      <c r="B115" s="457"/>
      <c r="C115" s="457"/>
      <c r="D115" s="152"/>
      <c r="E115" s="155"/>
      <c r="F115" s="458"/>
      <c r="G115" s="458"/>
      <c r="H115" s="455"/>
      <c r="I115" s="45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1" customHeight="1" spans="1:25" x14ac:dyDescent="0.25">
      <c r="A116" s="457"/>
      <c r="B116" s="457"/>
      <c r="C116" s="457"/>
      <c r="D116" s="152"/>
      <c r="E116" s="155"/>
      <c r="F116" s="458"/>
      <c r="G116" s="458"/>
      <c r="H116" s="455"/>
      <c r="I116" s="45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1" customHeight="1" spans="1:25" x14ac:dyDescent="0.25">
      <c r="A117" s="463"/>
      <c r="B117" s="463"/>
      <c r="C117" s="463"/>
      <c r="D117" s="159"/>
      <c r="E117" s="160"/>
      <c r="F117" s="464"/>
      <c r="G117" s="464"/>
      <c r="H117" s="260"/>
      <c r="I117" s="46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1" customHeight="1" spans="1:25" x14ac:dyDescent="0.25">
      <c r="A118" s="465"/>
      <c r="B118" s="465"/>
      <c r="C118" s="465"/>
      <c r="D118" s="29"/>
      <c r="E118" s="27"/>
      <c r="F118" s="466"/>
      <c r="G118" s="466"/>
      <c r="H118" s="28"/>
      <c r="I118" s="46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1" customHeight="1" spans="1:25" x14ac:dyDescent="0.25">
      <c r="A119" s="457"/>
      <c r="B119" s="457"/>
      <c r="C119" s="457"/>
      <c r="D119" s="152"/>
      <c r="E119" s="155"/>
      <c r="F119" s="458"/>
      <c r="G119" s="458"/>
      <c r="H119" s="262"/>
      <c r="I119" s="45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1" customHeight="1" spans="1:25" x14ac:dyDescent="0.25">
      <c r="A120" s="467"/>
      <c r="B120" s="467"/>
      <c r="C120" s="467"/>
      <c r="D120" s="152"/>
      <c r="E120" s="155"/>
      <c r="F120" s="467"/>
      <c r="G120" s="262"/>
      <c r="H120" s="262"/>
      <c r="I120" s="26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1" customHeight="1" spans="1:25" x14ac:dyDescent="0.25">
      <c r="A121" s="467"/>
      <c r="B121" s="467"/>
      <c r="C121" s="467"/>
      <c r="D121" s="152"/>
      <c r="E121" s="155"/>
      <c r="F121" s="467"/>
      <c r="G121" s="262"/>
      <c r="H121" s="262"/>
      <c r="I121" s="26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1" customHeight="1" spans="1:25" x14ac:dyDescent="0.25">
      <c r="A122" s="468"/>
      <c r="B122" s="468"/>
      <c r="C122" s="468"/>
      <c r="D122" s="159"/>
      <c r="E122" s="160"/>
      <c r="F122" s="468"/>
      <c r="G122" s="418"/>
      <c r="H122" s="418"/>
      <c r="I122" s="41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5.4" customHeight="1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spans="1:25" x14ac:dyDescent="0.25">
      <c r="A124" s="40" t="s">
        <v>160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" customHeight="1" spans="1:25" x14ac:dyDescent="0.25">
      <c r="A125" s="40" t="s">
        <v>161</v>
      </c>
      <c r="B125" s="40"/>
      <c r="C125" s="40"/>
      <c r="D125" s="40"/>
      <c r="E125" s="40"/>
      <c r="F125" s="40"/>
      <c r="G125" s="40"/>
      <c r="H125" s="40"/>
      <c r="I125" s="4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" customHeight="1" spans="1:25" x14ac:dyDescent="0.25">
      <c r="A126" s="40" t="s">
        <v>162</v>
      </c>
      <c r="B126" s="40"/>
      <c r="C126" s="40"/>
      <c r="D126" s="40"/>
      <c r="E126" s="40"/>
      <c r="F126" s="40"/>
      <c r="G126" s="40"/>
      <c r="H126" s="40"/>
      <c r="I126" s="4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" customHeight="1" spans="1:25" x14ac:dyDescent="0.25">
      <c r="A127" s="40" t="s">
        <v>163</v>
      </c>
      <c r="B127" s="40"/>
      <c r="C127" s="40"/>
      <c r="D127" s="40"/>
      <c r="E127" s="40"/>
      <c r="F127" s="40"/>
      <c r="G127" s="40"/>
      <c r="H127" s="40"/>
      <c r="I127" s="4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" customHeight="1" spans="1:25" x14ac:dyDescent="0.25">
      <c r="A128" s="40" t="s">
        <v>164</v>
      </c>
      <c r="B128" s="40"/>
      <c r="C128" s="40"/>
      <c r="D128" s="40"/>
      <c r="E128" s="40"/>
      <c r="F128" s="40"/>
      <c r="G128" s="40"/>
      <c r="H128" s="40"/>
      <c r="I128" s="4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" customHeight="1" spans="1:25" x14ac:dyDescent="0.25">
      <c r="A129" s="40" t="s">
        <v>165</v>
      </c>
      <c r="B129" s="40"/>
      <c r="C129" s="40"/>
      <c r="D129" s="40"/>
      <c r="E129" s="40"/>
      <c r="F129" s="40"/>
      <c r="G129" s="40"/>
      <c r="H129" s="40"/>
      <c r="I129" s="4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7" customHeight="1" spans="1:25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7" customHeight="1" spans="1:25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7" customHeight="1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7" customHeight="1" spans="1:25" x14ac:dyDescent="0.25">
      <c r="A133" s="183"/>
      <c r="B133" s="183"/>
      <c r="C133" s="3"/>
      <c r="D133" s="183"/>
      <c r="E133" s="183"/>
      <c r="F133" s="183"/>
      <c r="G133" s="3"/>
      <c r="H133" s="183"/>
      <c r="I133" s="18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" customHeight="1" spans="1:25" x14ac:dyDescent="0.25">
      <c r="A134" s="185" t="s">
        <v>156</v>
      </c>
      <c r="B134" s="185"/>
      <c r="C134" s="40"/>
      <c r="D134" s="185" t="s">
        <v>157</v>
      </c>
      <c r="E134" s="185"/>
      <c r="F134" s="185"/>
      <c r="G134" s="40"/>
      <c r="H134" s="185" t="s">
        <v>158</v>
      </c>
      <c r="I134" s="18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A91:B91"/>
    <mergeCell ref="D91:F91"/>
    <mergeCell ref="H91:I91"/>
    <mergeCell ref="A92:I92"/>
    <mergeCell ref="A93:I93"/>
    <mergeCell ref="A95:I95"/>
    <mergeCell ref="A96:I96"/>
    <mergeCell ref="E98:F98"/>
    <mergeCell ref="H98:I98"/>
    <mergeCell ref="E99:F99"/>
    <mergeCell ref="H99:I99"/>
    <mergeCell ref="D101:E101"/>
    <mergeCell ref="F101:G101"/>
    <mergeCell ref="A101:A102"/>
    <mergeCell ref="B101:B102"/>
    <mergeCell ref="C101:C102"/>
    <mergeCell ref="D102:E102"/>
    <mergeCell ref="I101:I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A134:B134"/>
    <mergeCell ref="D134:F134"/>
    <mergeCell ref="H134:I134"/>
  </mergeCells>
  <printOptions horizontalCentered="1" verticalCentered="1"/>
  <pageMargins left="0.3937007874015748" right="0.3937007874015748" top="0.5905511811023623" bottom="0.3937007874015748" header="0" footer="0"/>
  <pageSetup paperSize="9" orientation="portrait" horizontalDpi="4294967295" verticalDpi="4294967295" scale="95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86" t="s">
        <v>25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87" t="s">
        <v>63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64</v>
      </c>
      <c r="B6" s="188" t="s">
        <v>3</v>
      </c>
      <c r="C6" s="3"/>
      <c r="D6" s="3"/>
      <c r="E6" s="3"/>
      <c r="F6" s="3"/>
      <c r="G6" s="3"/>
      <c r="H6" s="3"/>
      <c r="I6" s="3" t="s">
        <v>78</v>
      </c>
      <c r="J6" s="3"/>
      <c r="K6" s="3" t="str">
        <f>'OS-OUT'!H6</f>
        <v>0149S</v>
      </c>
      <c r="L6" s="3"/>
      <c r="M6" s="3"/>
      <c r="N6" s="3"/>
      <c r="O6" s="188" t="s">
        <v>66</v>
      </c>
      <c r="P6" s="189">
        <f>'OS-OUT'!L6</f>
        <v>46223</v>
      </c>
      <c r="Q6" s="175"/>
      <c r="R6" s="17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8" t="s">
        <v>67</v>
      </c>
      <c r="B8" s="188" t="s">
        <v>26</v>
      </c>
      <c r="C8" s="188"/>
      <c r="D8" s="188"/>
      <c r="E8" s="188"/>
      <c r="F8" s="3"/>
      <c r="G8" s="3"/>
      <c r="H8" s="3"/>
      <c r="I8" s="3" t="s">
        <v>68</v>
      </c>
      <c r="J8" s="175"/>
      <c r="K8" s="3"/>
      <c r="L8" s="3"/>
      <c r="M8" s="3"/>
      <c r="N8" s="3"/>
      <c r="O8" s="188" t="s">
        <v>79</v>
      </c>
      <c r="P8" s="175">
        <f>'Final Work'!G6</f>
        <v>6</v>
      </c>
      <c r="Q8" s="175"/>
      <c r="R8" s="17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193" t="s">
        <v>11</v>
      </c>
      <c r="B10" s="193" t="s">
        <v>48</v>
      </c>
      <c r="C10" s="247" t="s">
        <v>70</v>
      </c>
      <c r="D10" s="184"/>
      <c r="E10" s="248"/>
      <c r="F10" s="247" t="s">
        <v>71</v>
      </c>
      <c r="G10" s="184"/>
      <c r="H10" s="184"/>
      <c r="I10" s="248"/>
      <c r="J10" s="193" t="s">
        <v>72</v>
      </c>
      <c r="K10" s="193" t="s">
        <v>73</v>
      </c>
      <c r="L10" s="247" t="s">
        <v>80</v>
      </c>
      <c r="M10" s="184"/>
      <c r="N10" s="184"/>
      <c r="O10" s="184"/>
      <c r="P10" s="184"/>
      <c r="Q10" s="184"/>
      <c r="R10" s="248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196"/>
      <c r="B11" s="196"/>
      <c r="C11" s="249"/>
      <c r="D11" s="250"/>
      <c r="E11" s="251"/>
      <c r="F11" s="249"/>
      <c r="G11" s="250"/>
      <c r="H11" s="250"/>
      <c r="I11" s="251"/>
      <c r="J11" s="196" t="s">
        <v>57</v>
      </c>
      <c r="K11" s="196"/>
      <c r="L11" s="249"/>
      <c r="M11" s="250"/>
      <c r="N11" s="250"/>
      <c r="O11" s="250"/>
      <c r="P11" s="250"/>
      <c r="Q11" s="250"/>
      <c r="R11" s="251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252"/>
      <c r="B12" s="252"/>
      <c r="C12" s="254"/>
      <c r="D12" s="255"/>
      <c r="E12" s="150"/>
      <c r="F12" s="254"/>
      <c r="G12" s="255"/>
      <c r="H12" s="255"/>
      <c r="I12" s="150"/>
      <c r="J12" s="252"/>
      <c r="K12" s="252"/>
      <c r="L12" s="281"/>
      <c r="M12" s="282"/>
      <c r="N12" s="282"/>
      <c r="O12" s="282"/>
      <c r="P12" s="282"/>
      <c r="Q12" s="282"/>
      <c r="R12" s="283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262"/>
      <c r="B13" s="262"/>
      <c r="C13" s="152"/>
      <c r="D13" s="284"/>
      <c r="E13" s="155"/>
      <c r="F13" s="152"/>
      <c r="G13" s="284"/>
      <c r="H13" s="284"/>
      <c r="I13" s="155"/>
      <c r="J13" s="262"/>
      <c r="K13" s="262"/>
      <c r="L13" s="266"/>
      <c r="M13" s="266"/>
      <c r="N13" s="266"/>
      <c r="O13" s="266"/>
      <c r="P13" s="266"/>
      <c r="Q13" s="266"/>
      <c r="R13" s="266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62"/>
      <c r="B14" s="262"/>
      <c r="C14" s="152"/>
      <c r="D14" s="284"/>
      <c r="E14" s="155"/>
      <c r="F14" s="152"/>
      <c r="G14" s="284"/>
      <c r="H14" s="284"/>
      <c r="I14" s="155"/>
      <c r="J14" s="262"/>
      <c r="K14" s="262"/>
      <c r="L14" s="266"/>
      <c r="M14" s="266"/>
      <c r="N14" s="266"/>
      <c r="O14" s="266"/>
      <c r="P14" s="266"/>
      <c r="Q14" s="266"/>
      <c r="R14" s="266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62"/>
      <c r="B15" s="262"/>
      <c r="C15" s="152"/>
      <c r="D15" s="284"/>
      <c r="E15" s="155"/>
      <c r="F15" s="152"/>
      <c r="G15" s="284"/>
      <c r="H15" s="284"/>
      <c r="I15" s="155"/>
      <c r="J15" s="262"/>
      <c r="K15" s="262"/>
      <c r="L15" s="266"/>
      <c r="M15" s="266"/>
      <c r="N15" s="266"/>
      <c r="O15" s="266"/>
      <c r="P15" s="266"/>
      <c r="Q15" s="266"/>
      <c r="R15" s="266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62"/>
      <c r="B16" s="262"/>
      <c r="C16" s="152"/>
      <c r="D16" s="284"/>
      <c r="E16" s="155"/>
      <c r="F16" s="152"/>
      <c r="G16" s="284"/>
      <c r="H16" s="284"/>
      <c r="I16" s="155"/>
      <c r="J16" s="262"/>
      <c r="K16" s="262"/>
      <c r="L16" s="266"/>
      <c r="M16" s="266"/>
      <c r="N16" s="266"/>
      <c r="O16" s="266"/>
      <c r="P16" s="266"/>
      <c r="Q16" s="266"/>
      <c r="R16" s="266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62"/>
      <c r="B17" s="262"/>
      <c r="C17" s="152"/>
      <c r="D17" s="284"/>
      <c r="E17" s="155"/>
      <c r="F17" s="152"/>
      <c r="G17" s="284"/>
      <c r="H17" s="284"/>
      <c r="I17" s="155"/>
      <c r="J17" s="262"/>
      <c r="K17" s="262"/>
      <c r="L17" s="266"/>
      <c r="M17" s="266"/>
      <c r="N17" s="266"/>
      <c r="O17" s="266"/>
      <c r="P17" s="266"/>
      <c r="Q17" s="266"/>
      <c r="R17" s="266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62"/>
      <c r="B18" s="262"/>
      <c r="C18" s="152"/>
      <c r="D18" s="284"/>
      <c r="E18" s="155"/>
      <c r="F18" s="152"/>
      <c r="G18" s="284"/>
      <c r="H18" s="284"/>
      <c r="I18" s="155"/>
      <c r="J18" s="262"/>
      <c r="K18" s="262"/>
      <c r="L18" s="266"/>
      <c r="M18" s="266"/>
      <c r="N18" s="266"/>
      <c r="O18" s="266"/>
      <c r="P18" s="266"/>
      <c r="Q18" s="266"/>
      <c r="R18" s="266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62"/>
      <c r="B19" s="262"/>
      <c r="C19" s="152"/>
      <c r="D19" s="284"/>
      <c r="E19" s="155"/>
      <c r="F19" s="152"/>
      <c r="G19" s="284"/>
      <c r="H19" s="284"/>
      <c r="I19" s="155"/>
      <c r="J19" s="262"/>
      <c r="K19" s="262"/>
      <c r="L19" s="266"/>
      <c r="M19" s="266"/>
      <c r="N19" s="266"/>
      <c r="O19" s="266"/>
      <c r="P19" s="266"/>
      <c r="Q19" s="266"/>
      <c r="R19" s="266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62"/>
      <c r="B20" s="262"/>
      <c r="C20" s="152"/>
      <c r="D20" s="284"/>
      <c r="E20" s="155"/>
      <c r="F20" s="152"/>
      <c r="G20" s="284"/>
      <c r="H20" s="284"/>
      <c r="I20" s="155"/>
      <c r="J20" s="262"/>
      <c r="K20" s="262"/>
      <c r="L20" s="266"/>
      <c r="M20" s="266"/>
      <c r="N20" s="266"/>
      <c r="O20" s="266"/>
      <c r="P20" s="266"/>
      <c r="Q20" s="266"/>
      <c r="R20" s="266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62"/>
      <c r="B21" s="262"/>
      <c r="C21" s="152"/>
      <c r="D21" s="284"/>
      <c r="E21" s="155"/>
      <c r="F21" s="152"/>
      <c r="G21" s="284"/>
      <c r="H21" s="284"/>
      <c r="I21" s="155"/>
      <c r="J21" s="262"/>
      <c r="K21" s="262"/>
      <c r="L21" s="266"/>
      <c r="M21" s="266"/>
      <c r="N21" s="266"/>
      <c r="O21" s="266"/>
      <c r="P21" s="266"/>
      <c r="Q21" s="266"/>
      <c r="R21" s="266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62"/>
      <c r="B22" s="262"/>
      <c r="C22" s="152"/>
      <c r="D22" s="284"/>
      <c r="E22" s="155"/>
      <c r="F22" s="152"/>
      <c r="G22" s="284"/>
      <c r="H22" s="284"/>
      <c r="I22" s="155"/>
      <c r="J22" s="262"/>
      <c r="K22" s="262"/>
      <c r="L22" s="266"/>
      <c r="M22" s="266"/>
      <c r="N22" s="266"/>
      <c r="O22" s="266"/>
      <c r="P22" s="266"/>
      <c r="Q22" s="266"/>
      <c r="R22" s="266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62"/>
      <c r="B23" s="262"/>
      <c r="C23" s="152"/>
      <c r="D23" s="284"/>
      <c r="E23" s="155"/>
      <c r="F23" s="152"/>
      <c r="G23" s="284"/>
      <c r="H23" s="284"/>
      <c r="I23" s="155"/>
      <c r="J23" s="262"/>
      <c r="K23" s="262"/>
      <c r="L23" s="266"/>
      <c r="M23" s="266"/>
      <c r="N23" s="266"/>
      <c r="O23" s="266"/>
      <c r="P23" s="266"/>
      <c r="Q23" s="266"/>
      <c r="R23" s="266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62"/>
      <c r="B24" s="262"/>
      <c r="C24" s="152"/>
      <c r="D24" s="284"/>
      <c r="E24" s="155"/>
      <c r="F24" s="152"/>
      <c r="G24" s="284"/>
      <c r="H24" s="284"/>
      <c r="I24" s="155"/>
      <c r="J24" s="262"/>
      <c r="K24" s="262"/>
      <c r="L24" s="266"/>
      <c r="M24" s="266"/>
      <c r="N24" s="266"/>
      <c r="O24" s="266"/>
      <c r="P24" s="266"/>
      <c r="Q24" s="266"/>
      <c r="R24" s="266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262"/>
      <c r="B25" s="262"/>
      <c r="C25" s="152"/>
      <c r="D25" s="284"/>
      <c r="E25" s="155"/>
      <c r="F25" s="152"/>
      <c r="G25" s="284"/>
      <c r="H25" s="284"/>
      <c r="I25" s="155"/>
      <c r="J25" s="262"/>
      <c r="K25" s="262"/>
      <c r="L25" s="266"/>
      <c r="M25" s="266"/>
      <c r="N25" s="266"/>
      <c r="O25" s="266"/>
      <c r="P25" s="266"/>
      <c r="Q25" s="266"/>
      <c r="R25" s="266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262"/>
      <c r="B26" s="262"/>
      <c r="C26" s="152"/>
      <c r="D26" s="284"/>
      <c r="E26" s="155"/>
      <c r="F26" s="152"/>
      <c r="G26" s="284"/>
      <c r="H26" s="284"/>
      <c r="I26" s="155"/>
      <c r="J26" s="262"/>
      <c r="K26" s="262"/>
      <c r="L26" s="266"/>
      <c r="M26" s="266"/>
      <c r="N26" s="266"/>
      <c r="O26" s="266"/>
      <c r="P26" s="266"/>
      <c r="Q26" s="266"/>
      <c r="R26" s="266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62"/>
      <c r="B27" s="262"/>
      <c r="C27" s="152"/>
      <c r="D27" s="284"/>
      <c r="E27" s="155"/>
      <c r="F27" s="152"/>
      <c r="G27" s="284"/>
      <c r="H27" s="284"/>
      <c r="I27" s="155"/>
      <c r="J27" s="262"/>
      <c r="K27" s="262"/>
      <c r="L27" s="266"/>
      <c r="M27" s="266"/>
      <c r="N27" s="266"/>
      <c r="O27" s="266"/>
      <c r="P27" s="266"/>
      <c r="Q27" s="266"/>
      <c r="R27" s="266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3"/>
      <c r="B31" s="183"/>
      <c r="C31" s="183"/>
      <c r="D31" s="183"/>
      <c r="E31" s="3"/>
      <c r="F31" s="3"/>
      <c r="G31" s="3"/>
      <c r="H31" s="3"/>
      <c r="I31" s="183"/>
      <c r="J31" s="183"/>
      <c r="K31" s="183"/>
      <c r="L31" s="3"/>
      <c r="M31" s="3"/>
      <c r="N31" s="3"/>
      <c r="O31" s="183"/>
      <c r="P31" s="183"/>
      <c r="Q31" s="183"/>
      <c r="R31" s="183"/>
      <c r="S31" s="3"/>
      <c r="T31" s="3"/>
      <c r="U31" s="3"/>
      <c r="V31" s="3"/>
      <c r="W31" s="3"/>
      <c r="X31" s="3"/>
      <c r="Y31" s="3"/>
    </row>
    <row r="32" spans="1:25" x14ac:dyDescent="0.25">
      <c r="A32" s="184" t="s">
        <v>23</v>
      </c>
      <c r="B32" s="184"/>
      <c r="C32" s="184"/>
      <c r="D32" s="184"/>
      <c r="E32" s="3"/>
      <c r="F32" s="3"/>
      <c r="G32" s="3"/>
      <c r="H32" s="3"/>
      <c r="I32" s="184" t="s">
        <v>62</v>
      </c>
      <c r="J32" s="184"/>
      <c r="K32" s="184"/>
      <c r="L32" s="3"/>
      <c r="M32" s="3"/>
      <c r="N32" s="3"/>
      <c r="O32" s="184" t="s">
        <v>24</v>
      </c>
      <c r="P32" s="184"/>
      <c r="Q32" s="184"/>
      <c r="R32" s="184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9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13" width="9" style="1" customWidth="1"/>
    <col min="214" max="215" width="7" style="1" customWidth="1"/>
    <col min="216" max="216" width="9.09765625" style="1" customWidth="1"/>
    <col min="217" max="225" width="7.09765625" style="1" customWidth="1"/>
    <col min="226" max="469" width="9" style="1" customWidth="1"/>
    <col min="470" max="471" width="7" style="1" customWidth="1"/>
    <col min="472" max="472" width="9.09765625" style="1" customWidth="1"/>
    <col min="473" max="481" width="7.09765625" style="1" customWidth="1"/>
    <col min="482" max="725" width="9" style="1" customWidth="1"/>
    <col min="726" max="727" width="7" style="1" customWidth="1"/>
    <col min="728" max="728" width="9.09765625" style="1" customWidth="1"/>
    <col min="729" max="737" width="7.09765625" style="1" customWidth="1"/>
    <col min="738" max="981" width="9" style="1" customWidth="1"/>
    <col min="982" max="983" width="7" style="1" customWidth="1"/>
    <col min="984" max="984" width="9.09765625" style="1" customWidth="1"/>
    <col min="985" max="993" width="7.09765625" style="1" customWidth="1"/>
    <col min="994" max="1237" width="9" style="1" customWidth="1"/>
    <col min="1238" max="1239" width="7" style="1" customWidth="1"/>
    <col min="1240" max="1240" width="9.09765625" style="1" customWidth="1"/>
    <col min="1241" max="1249" width="7.09765625" style="1" customWidth="1"/>
    <col min="1250" max="1493" width="9" style="1" customWidth="1"/>
    <col min="1494" max="1495" width="7" style="1" customWidth="1"/>
    <col min="1496" max="1496" width="9.09765625" style="1" customWidth="1"/>
    <col min="1497" max="1505" width="7.09765625" style="1" customWidth="1"/>
    <col min="1506" max="1749" width="9" style="1" customWidth="1"/>
    <col min="1750" max="1751" width="7" style="1" customWidth="1"/>
    <col min="1752" max="1752" width="9.09765625" style="1" customWidth="1"/>
    <col min="1753" max="1761" width="7.09765625" style="1" customWidth="1"/>
    <col min="1762" max="2005" width="9" style="1" customWidth="1"/>
    <col min="2006" max="2007" width="7" style="1" customWidth="1"/>
    <col min="2008" max="2008" width="9.09765625" style="1" customWidth="1"/>
    <col min="2009" max="2017" width="7.09765625" style="1" customWidth="1"/>
    <col min="2018" max="2261" width="9" style="1" customWidth="1"/>
    <col min="2262" max="2263" width="7" style="1" customWidth="1"/>
    <col min="2264" max="2264" width="9.09765625" style="1" customWidth="1"/>
    <col min="2265" max="2273" width="7.09765625" style="1" customWidth="1"/>
    <col min="2274" max="2517" width="9" style="1" customWidth="1"/>
    <col min="2518" max="2519" width="7" style="1" customWidth="1"/>
    <col min="2520" max="2520" width="9.09765625" style="1" customWidth="1"/>
    <col min="2521" max="2529" width="7.09765625" style="1" customWidth="1"/>
    <col min="2530" max="2773" width="9" style="1" customWidth="1"/>
    <col min="2774" max="2775" width="7" style="1" customWidth="1"/>
    <col min="2776" max="2776" width="9.09765625" style="1" customWidth="1"/>
    <col min="2777" max="2785" width="7.09765625" style="1" customWidth="1"/>
    <col min="2786" max="3029" width="9" style="1" customWidth="1"/>
    <col min="3030" max="3031" width="7" style="1" customWidth="1"/>
    <col min="3032" max="3032" width="9.09765625" style="1" customWidth="1"/>
    <col min="3033" max="3041" width="7.09765625" style="1" customWidth="1"/>
    <col min="3042" max="3285" width="9" style="1" customWidth="1"/>
    <col min="3286" max="3287" width="7" style="1" customWidth="1"/>
    <col min="3288" max="3288" width="9.09765625" style="1" customWidth="1"/>
    <col min="3289" max="3297" width="7.09765625" style="1" customWidth="1"/>
    <col min="3298" max="3541" width="9" style="1" customWidth="1"/>
    <col min="3542" max="3543" width="7" style="1" customWidth="1"/>
    <col min="3544" max="3544" width="9.09765625" style="1" customWidth="1"/>
    <col min="3545" max="3553" width="7.09765625" style="1" customWidth="1"/>
    <col min="3554" max="3797" width="9" style="1" customWidth="1"/>
    <col min="3798" max="3799" width="7" style="1" customWidth="1"/>
    <col min="3800" max="3800" width="9.09765625" style="1" customWidth="1"/>
    <col min="3801" max="3809" width="7.09765625" style="1" customWidth="1"/>
    <col min="3810" max="4053" width="9" style="1" customWidth="1"/>
    <col min="4054" max="4055" width="7" style="1" customWidth="1"/>
    <col min="4056" max="4056" width="9.09765625" style="1" customWidth="1"/>
    <col min="4057" max="4065" width="7.09765625" style="1" customWidth="1"/>
    <col min="4066" max="4309" width="9" style="1" customWidth="1"/>
    <col min="4310" max="4311" width="7" style="1" customWidth="1"/>
    <col min="4312" max="4312" width="9.09765625" style="1" customWidth="1"/>
    <col min="4313" max="4321" width="7.09765625" style="1" customWidth="1"/>
    <col min="4322" max="4565" width="9" style="1" customWidth="1"/>
    <col min="4566" max="4567" width="7" style="1" customWidth="1"/>
    <col min="4568" max="4568" width="9.09765625" style="1" customWidth="1"/>
    <col min="4569" max="4577" width="7.09765625" style="1" customWidth="1"/>
    <col min="4578" max="4821" width="9" style="1" customWidth="1"/>
    <col min="4822" max="4823" width="7" style="1" customWidth="1"/>
    <col min="4824" max="4824" width="9.09765625" style="1" customWidth="1"/>
    <col min="4825" max="4833" width="7.09765625" style="1" customWidth="1"/>
    <col min="4834" max="5077" width="9" style="1" customWidth="1"/>
    <col min="5078" max="5079" width="7" style="1" customWidth="1"/>
    <col min="5080" max="5080" width="9.09765625" style="1" customWidth="1"/>
    <col min="5081" max="5089" width="7.09765625" style="1" customWidth="1"/>
    <col min="5090" max="5333" width="9" style="1" customWidth="1"/>
    <col min="5334" max="5335" width="7" style="1" customWidth="1"/>
    <col min="5336" max="5336" width="9.09765625" style="1" customWidth="1"/>
    <col min="5337" max="5345" width="7.09765625" style="1" customWidth="1"/>
    <col min="5346" max="5589" width="9" style="1" customWidth="1"/>
    <col min="5590" max="5591" width="7" style="1" customWidth="1"/>
    <col min="5592" max="5592" width="9.09765625" style="1" customWidth="1"/>
    <col min="5593" max="5601" width="7.09765625" style="1" customWidth="1"/>
    <col min="5602" max="5845" width="9" style="1" customWidth="1"/>
    <col min="5846" max="5847" width="7" style="1" customWidth="1"/>
    <col min="5848" max="5848" width="9.09765625" style="1" customWidth="1"/>
    <col min="5849" max="5857" width="7.09765625" style="1" customWidth="1"/>
    <col min="5858" max="6101" width="9" style="1" customWidth="1"/>
    <col min="6102" max="6103" width="7" style="1" customWidth="1"/>
    <col min="6104" max="6104" width="9.09765625" style="1" customWidth="1"/>
    <col min="6105" max="6113" width="7.09765625" style="1" customWidth="1"/>
    <col min="6114" max="6357" width="9" style="1" customWidth="1"/>
    <col min="6358" max="6359" width="7" style="1" customWidth="1"/>
    <col min="6360" max="6360" width="9.09765625" style="1" customWidth="1"/>
    <col min="6361" max="6369" width="7.09765625" style="1" customWidth="1"/>
    <col min="6370" max="6613" width="9" style="1" customWidth="1"/>
    <col min="6614" max="6615" width="7" style="1" customWidth="1"/>
    <col min="6616" max="6616" width="9.09765625" style="1" customWidth="1"/>
    <col min="6617" max="6625" width="7.09765625" style="1" customWidth="1"/>
    <col min="6626" max="6869" width="9" style="1" customWidth="1"/>
    <col min="6870" max="6871" width="7" style="1" customWidth="1"/>
    <col min="6872" max="6872" width="9.09765625" style="1" customWidth="1"/>
    <col min="6873" max="6881" width="7.09765625" style="1" customWidth="1"/>
    <col min="6882" max="7125" width="9" style="1" customWidth="1"/>
    <col min="7126" max="7127" width="7" style="1" customWidth="1"/>
    <col min="7128" max="7128" width="9.09765625" style="1" customWidth="1"/>
    <col min="7129" max="7137" width="7.09765625" style="1" customWidth="1"/>
    <col min="7138" max="7381" width="9" style="1" customWidth="1"/>
    <col min="7382" max="7383" width="7" style="1" customWidth="1"/>
    <col min="7384" max="7384" width="9.09765625" style="1" customWidth="1"/>
    <col min="7385" max="7393" width="7.09765625" style="1" customWidth="1"/>
    <col min="7394" max="7637" width="9" style="1" customWidth="1"/>
    <col min="7638" max="7639" width="7" style="1" customWidth="1"/>
    <col min="7640" max="7640" width="9.09765625" style="1" customWidth="1"/>
    <col min="7641" max="7649" width="7.09765625" style="1" customWidth="1"/>
    <col min="7650" max="7893" width="9" style="1" customWidth="1"/>
    <col min="7894" max="7895" width="7" style="1" customWidth="1"/>
    <col min="7896" max="7896" width="9.09765625" style="1" customWidth="1"/>
    <col min="7897" max="7905" width="7.09765625" style="1" customWidth="1"/>
    <col min="7906" max="8149" width="9" style="1" customWidth="1"/>
    <col min="8150" max="8151" width="7" style="1" customWidth="1"/>
    <col min="8152" max="8152" width="9.09765625" style="1" customWidth="1"/>
    <col min="8153" max="8161" width="7.09765625" style="1" customWidth="1"/>
    <col min="8162" max="8405" width="9" style="1" customWidth="1"/>
    <col min="8406" max="8407" width="7" style="1" customWidth="1"/>
    <col min="8408" max="8408" width="9.09765625" style="1" customWidth="1"/>
    <col min="8409" max="8417" width="7.09765625" style="1" customWidth="1"/>
    <col min="8418" max="8661" width="9" style="1" customWidth="1"/>
    <col min="8662" max="8663" width="7" style="1" customWidth="1"/>
    <col min="8664" max="8664" width="9.09765625" style="1" customWidth="1"/>
    <col min="8665" max="8673" width="7.09765625" style="1" customWidth="1"/>
    <col min="8674" max="8917" width="9" style="1" customWidth="1"/>
    <col min="8918" max="8919" width="7" style="1" customWidth="1"/>
    <col min="8920" max="8920" width="9.09765625" style="1" customWidth="1"/>
    <col min="8921" max="8929" width="7.09765625" style="1" customWidth="1"/>
    <col min="8930" max="9173" width="9" style="1" customWidth="1"/>
    <col min="9174" max="9175" width="7" style="1" customWidth="1"/>
    <col min="9176" max="9176" width="9.09765625" style="1" customWidth="1"/>
    <col min="9177" max="9185" width="7.09765625" style="1" customWidth="1"/>
    <col min="9186" max="9429" width="9" style="1" customWidth="1"/>
    <col min="9430" max="9431" width="7" style="1" customWidth="1"/>
    <col min="9432" max="9432" width="9.09765625" style="1" customWidth="1"/>
    <col min="9433" max="9441" width="7.09765625" style="1" customWidth="1"/>
    <col min="9442" max="9685" width="9" style="1" customWidth="1"/>
    <col min="9686" max="9687" width="7" style="1" customWidth="1"/>
    <col min="9688" max="9688" width="9.09765625" style="1" customWidth="1"/>
    <col min="9689" max="9697" width="7.09765625" style="1" customWidth="1"/>
    <col min="9698" max="9941" width="9" style="1" customWidth="1"/>
    <col min="9942" max="9943" width="7" style="1" customWidth="1"/>
    <col min="9944" max="9944" width="9.09765625" style="1" customWidth="1"/>
    <col min="9945" max="9953" width="7.09765625" style="1" customWidth="1"/>
    <col min="9954" max="10197" width="9" style="1" customWidth="1"/>
    <col min="10198" max="10199" width="7" style="1" customWidth="1"/>
    <col min="10200" max="10200" width="9.09765625" style="1" customWidth="1"/>
    <col min="10201" max="10209" width="7.09765625" style="1" customWidth="1"/>
    <col min="10210" max="10453" width="9" style="1" customWidth="1"/>
    <col min="10454" max="10455" width="7" style="1" customWidth="1"/>
    <col min="10456" max="10456" width="9.09765625" style="1" customWidth="1"/>
    <col min="10457" max="10465" width="7.09765625" style="1" customWidth="1"/>
    <col min="10466" max="10709" width="9" style="1" customWidth="1"/>
    <col min="10710" max="10711" width="7" style="1" customWidth="1"/>
    <col min="10712" max="10712" width="9.09765625" style="1" customWidth="1"/>
    <col min="10713" max="10721" width="7.09765625" style="1" customWidth="1"/>
    <col min="10722" max="10965" width="9" style="1" customWidth="1"/>
    <col min="10966" max="10967" width="7" style="1" customWidth="1"/>
    <col min="10968" max="10968" width="9.09765625" style="1" customWidth="1"/>
    <col min="10969" max="10977" width="7.09765625" style="1" customWidth="1"/>
    <col min="10978" max="11221" width="9" style="1" customWidth="1"/>
    <col min="11222" max="11223" width="7" style="1" customWidth="1"/>
    <col min="11224" max="11224" width="9.09765625" style="1" customWidth="1"/>
    <col min="11225" max="11233" width="7.09765625" style="1" customWidth="1"/>
    <col min="11234" max="11477" width="9" style="1" customWidth="1"/>
    <col min="11478" max="11479" width="7" style="1" customWidth="1"/>
    <col min="11480" max="11480" width="9.09765625" style="1" customWidth="1"/>
    <col min="11481" max="11489" width="7.09765625" style="1" customWidth="1"/>
    <col min="11490" max="11733" width="9" style="1" customWidth="1"/>
    <col min="11734" max="11735" width="7" style="1" customWidth="1"/>
    <col min="11736" max="11736" width="9.09765625" style="1" customWidth="1"/>
    <col min="11737" max="11745" width="7.09765625" style="1" customWidth="1"/>
    <col min="11746" max="11989" width="9" style="1" customWidth="1"/>
    <col min="11990" max="11991" width="7" style="1" customWidth="1"/>
    <col min="11992" max="11992" width="9.09765625" style="1" customWidth="1"/>
    <col min="11993" max="12001" width="7.09765625" style="1" customWidth="1"/>
    <col min="12002" max="12245" width="9" style="1" customWidth="1"/>
    <col min="12246" max="12247" width="7" style="1" customWidth="1"/>
    <col min="12248" max="12248" width="9.09765625" style="1" customWidth="1"/>
    <col min="12249" max="12257" width="7.09765625" style="1" customWidth="1"/>
    <col min="12258" max="12501" width="9" style="1" customWidth="1"/>
    <col min="12502" max="12503" width="7" style="1" customWidth="1"/>
    <col min="12504" max="12504" width="9.09765625" style="1" customWidth="1"/>
    <col min="12505" max="12513" width="7.09765625" style="1" customWidth="1"/>
    <col min="12514" max="12757" width="9" style="1" customWidth="1"/>
    <col min="12758" max="12759" width="7" style="1" customWidth="1"/>
    <col min="12760" max="12760" width="9.09765625" style="1" customWidth="1"/>
    <col min="12761" max="12769" width="7.09765625" style="1" customWidth="1"/>
    <col min="12770" max="13013" width="9" style="1" customWidth="1"/>
    <col min="13014" max="13015" width="7" style="1" customWidth="1"/>
    <col min="13016" max="13016" width="9.09765625" style="1" customWidth="1"/>
    <col min="13017" max="13025" width="7.09765625" style="1" customWidth="1"/>
    <col min="13026" max="13269" width="9" style="1" customWidth="1"/>
    <col min="13270" max="13271" width="7" style="1" customWidth="1"/>
    <col min="13272" max="13272" width="9.09765625" style="1" customWidth="1"/>
    <col min="13273" max="13281" width="7.09765625" style="1" customWidth="1"/>
    <col min="13282" max="13525" width="9" style="1" customWidth="1"/>
    <col min="13526" max="13527" width="7" style="1" customWidth="1"/>
    <col min="13528" max="13528" width="9.09765625" style="1" customWidth="1"/>
    <col min="13529" max="13537" width="7.09765625" style="1" customWidth="1"/>
    <col min="13538" max="13781" width="9" style="1" customWidth="1"/>
    <col min="13782" max="13783" width="7" style="1" customWidth="1"/>
    <col min="13784" max="13784" width="9.09765625" style="1" customWidth="1"/>
    <col min="13785" max="13793" width="7.09765625" style="1" customWidth="1"/>
    <col min="13794" max="14037" width="9" style="1" customWidth="1"/>
    <col min="14038" max="14039" width="7" style="1" customWidth="1"/>
    <col min="14040" max="14040" width="9.09765625" style="1" customWidth="1"/>
    <col min="14041" max="14049" width="7.09765625" style="1" customWidth="1"/>
    <col min="14050" max="14293" width="9" style="1" customWidth="1"/>
    <col min="14294" max="14295" width="7" style="1" customWidth="1"/>
    <col min="14296" max="14296" width="9.09765625" style="1" customWidth="1"/>
    <col min="14297" max="14305" width="7.09765625" style="1" customWidth="1"/>
    <col min="14306" max="14549" width="9" style="1" customWidth="1"/>
    <col min="14550" max="14551" width="7" style="1" customWidth="1"/>
    <col min="14552" max="14552" width="9.09765625" style="1" customWidth="1"/>
    <col min="14553" max="14561" width="7.09765625" style="1" customWidth="1"/>
    <col min="14562" max="14805" width="9" style="1" customWidth="1"/>
    <col min="14806" max="14807" width="7" style="1" customWidth="1"/>
    <col min="14808" max="14808" width="9.09765625" style="1" customWidth="1"/>
    <col min="14809" max="14817" width="7.09765625" style="1" customWidth="1"/>
    <col min="14818" max="15061" width="9" style="1" customWidth="1"/>
    <col min="15062" max="15063" width="7" style="1" customWidth="1"/>
    <col min="15064" max="15064" width="9.09765625" style="1" customWidth="1"/>
    <col min="15065" max="15073" width="7.09765625" style="1" customWidth="1"/>
    <col min="15074" max="15317" width="9" style="1" customWidth="1"/>
    <col min="15318" max="15319" width="7" style="1" customWidth="1"/>
    <col min="15320" max="15320" width="9.09765625" style="1" customWidth="1"/>
    <col min="15321" max="15329" width="7.09765625" style="1" customWidth="1"/>
    <col min="15330" max="15573" width="9" style="1" customWidth="1"/>
    <col min="15574" max="15575" width="7" style="1" customWidth="1"/>
    <col min="15576" max="15576" width="9.09765625" style="1" customWidth="1"/>
    <col min="15577" max="15585" width="7.09765625" style="1" customWidth="1"/>
    <col min="15586" max="15829" width="9" style="1" customWidth="1"/>
    <col min="15830" max="15831" width="7" style="1" customWidth="1"/>
    <col min="15832" max="15832" width="9.09765625" style="1" customWidth="1"/>
    <col min="15833" max="15841" width="7.09765625" style="1" customWidth="1"/>
    <col min="15842" max="16085" width="9" style="1" customWidth="1"/>
    <col min="16086" max="16087" width="7" style="1" customWidth="1"/>
    <col min="16088" max="16088" width="9.09765625" style="1" customWidth="1"/>
    <col min="16089" max="16097" width="7.09765625" style="1" customWidth="1"/>
    <col min="16098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" customHeight="1" spans="1:25" x14ac:dyDescent="0.25">
      <c r="A4" s="8" t="s">
        <v>2</v>
      </c>
      <c r="B4" s="9" t="s">
        <v>3</v>
      </c>
      <c r="C4" s="1"/>
      <c r="D4" s="2"/>
      <c r="E4" s="10"/>
      <c r="F4" s="10" t="s">
        <v>4</v>
      </c>
      <c r="G4" s="11"/>
      <c r="H4" s="11"/>
      <c r="I4" s="11"/>
      <c r="J4" s="1" t="s">
        <v>5</v>
      </c>
      <c r="K4" s="1"/>
      <c r="L4" s="12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</row>
    <row r="5" ht="3" customHeight="1" spans="1:25" x14ac:dyDescent="0.25">
      <c r="A5" s="1"/>
      <c r="B5" s="1"/>
      <c r="C5" s="1"/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" customHeight="1" spans="1:25" x14ac:dyDescent="0.25">
      <c r="A6" s="14" t="s">
        <v>6</v>
      </c>
      <c r="B6" s="15"/>
      <c r="C6" s="1"/>
      <c r="D6" s="2"/>
      <c r="E6" s="16"/>
      <c r="F6" s="16" t="s">
        <v>7</v>
      </c>
      <c r="G6" s="11"/>
      <c r="H6" s="11"/>
      <c r="I6" s="11"/>
      <c r="J6" s="1" t="s">
        <v>8</v>
      </c>
      <c r="K6" s="17"/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3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(256)</v>
      </c>
      <c r="E8" s="25"/>
      <c r="F8" s="25"/>
      <c r="G8" s="25"/>
      <c r="H8" s="24" t="str">
        <f>+"LOAD ("&amp;H82+I82+J82+K82+H83+I83+J83+K83&amp;")"</f>
        <v>LOAD (241)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" customHeight="1" spans="1:2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hidden="1" spans="1:2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hidden="1" spans="1:25" s="40" customFormat="1" x14ac:dyDescent="0.25">
      <c r="A11" s="49"/>
      <c r="B11" s="50"/>
      <c r="C11" s="51" t="s">
        <v>19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hidden="1" spans="1:25" s="40" customFormat="1" x14ac:dyDescent="0.25">
      <c r="A12" s="49"/>
      <c r="B12" s="57"/>
      <c r="C12" s="51" t="s">
        <v>18</v>
      </c>
      <c r="D12" s="52"/>
      <c r="E12" s="53"/>
      <c r="F12" s="53"/>
      <c r="G12" s="54"/>
      <c r="H12" s="52"/>
      <c r="I12" s="53"/>
      <c r="J12" s="53"/>
      <c r="K12" s="55"/>
      <c r="L12" s="56"/>
      <c r="M12" s="53"/>
      <c r="N12" s="53"/>
      <c r="O12" s="55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hidden="1" spans="1:25" s="40" customFormat="1" x14ac:dyDescent="0.25">
      <c r="A13" s="49"/>
      <c r="B13" s="50"/>
      <c r="C13" s="51" t="s">
        <v>19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7"/>
      <c r="C14" s="58" t="s">
        <v>18</v>
      </c>
      <c r="D14" s="52"/>
      <c r="E14" s="53"/>
      <c r="F14" s="53"/>
      <c r="G14" s="54"/>
      <c r="H14" s="52"/>
      <c r="I14" s="53"/>
      <c r="J14" s="53"/>
      <c r="K14" s="55"/>
      <c r="L14" s="56"/>
      <c r="M14" s="53"/>
      <c r="N14" s="53"/>
      <c r="O14" s="55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58" t="s">
        <v>19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49"/>
      <c r="B16" s="57"/>
      <c r="C16" s="58" t="s">
        <v>18</v>
      </c>
      <c r="D16" s="52"/>
      <c r="E16" s="53"/>
      <c r="F16" s="53"/>
      <c r="G16" s="59"/>
      <c r="H16" s="56"/>
      <c r="I16" s="53"/>
      <c r="J16" s="53"/>
      <c r="K16" s="60"/>
      <c r="L16" s="52"/>
      <c r="M16" s="53"/>
      <c r="N16" s="53"/>
      <c r="O16" s="5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58" t="s">
        <v>19</v>
      </c>
      <c r="D17" s="52"/>
      <c r="E17" s="53"/>
      <c r="F17" s="53"/>
      <c r="G17" s="59"/>
      <c r="H17" s="56"/>
      <c r="I17" s="53"/>
      <c r="J17" s="53"/>
      <c r="K17" s="60"/>
      <c r="L17" s="52"/>
      <c r="M17" s="53"/>
      <c r="N17" s="53"/>
      <c r="O17" s="59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1"/>
      <c r="C18" s="51" t="s">
        <v>18</v>
      </c>
      <c r="D18" s="56"/>
      <c r="E18" s="53"/>
      <c r="F18" s="53"/>
      <c r="G18" s="59"/>
      <c r="H18" s="56"/>
      <c r="I18" s="53"/>
      <c r="J18" s="53"/>
      <c r="K18" s="59"/>
      <c r="L18" s="56"/>
      <c r="M18" s="53"/>
      <c r="N18" s="53"/>
      <c r="O18" s="5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61"/>
      <c r="C19" s="51" t="s">
        <v>19</v>
      </c>
      <c r="D19" s="56"/>
      <c r="E19" s="53"/>
      <c r="F19" s="53"/>
      <c r="G19" s="59"/>
      <c r="H19" s="56"/>
      <c r="I19" s="53"/>
      <c r="J19" s="53"/>
      <c r="K19" s="59"/>
      <c r="L19" s="56"/>
      <c r="M19" s="53"/>
      <c r="N19" s="53"/>
      <c r="O19" s="59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62" t="s">
        <v>18</v>
      </c>
      <c r="D20" s="63"/>
      <c r="E20" s="64"/>
      <c r="F20" s="64"/>
      <c r="G20" s="65"/>
      <c r="H20" s="66"/>
      <c r="I20" s="64"/>
      <c r="J20" s="64"/>
      <c r="K20" s="67"/>
      <c r="L20" s="63"/>
      <c r="M20" s="64"/>
      <c r="N20" s="64"/>
      <c r="O20" s="65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8"/>
      <c r="B21" s="69"/>
      <c r="C21" s="70" t="s">
        <v>19</v>
      </c>
      <c r="D21" s="71"/>
      <c r="E21" s="72"/>
      <c r="F21" s="72"/>
      <c r="G21" s="73"/>
      <c r="H21" s="74"/>
      <c r="I21" s="72"/>
      <c r="J21" s="72"/>
      <c r="K21" s="75"/>
      <c r="L21" s="71"/>
      <c r="M21" s="72"/>
      <c r="N21" s="72"/>
      <c r="O21" s="73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hidden="1" spans="1:25" s="40" customFormat="1" x14ac:dyDescent="0.25">
      <c r="A22" s="76"/>
      <c r="B22" s="77"/>
      <c r="C22" s="78" t="s">
        <v>18</v>
      </c>
      <c r="D22" s="79"/>
      <c r="E22" s="80"/>
      <c r="F22" s="80"/>
      <c r="G22" s="81"/>
      <c r="H22" s="79"/>
      <c r="I22" s="80"/>
      <c r="J22" s="80"/>
      <c r="K22" s="82"/>
      <c r="L22" s="83"/>
      <c r="M22" s="80"/>
      <c r="N22" s="80"/>
      <c r="O22" s="82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hidden="1" spans="1:25" s="40" customFormat="1" x14ac:dyDescent="0.25">
      <c r="A23" s="49"/>
      <c r="B23" s="50"/>
      <c r="C23" s="51" t="s">
        <v>19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57"/>
      <c r="C24" s="51" t="s">
        <v>18</v>
      </c>
      <c r="D24" s="52"/>
      <c r="E24" s="53"/>
      <c r="F24" s="53"/>
      <c r="G24" s="54"/>
      <c r="H24" s="52"/>
      <c r="I24" s="53"/>
      <c r="J24" s="53"/>
      <c r="K24" s="55"/>
      <c r="L24" s="56"/>
      <c r="M24" s="53"/>
      <c r="N24" s="53"/>
      <c r="O24" s="55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50"/>
      <c r="C25" s="51" t="s">
        <v>19</v>
      </c>
      <c r="D25" s="52"/>
      <c r="E25" s="53"/>
      <c r="F25" s="53"/>
      <c r="G25" s="54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7"/>
      <c r="C26" s="58" t="s">
        <v>18</v>
      </c>
      <c r="D26" s="52"/>
      <c r="E26" s="53"/>
      <c r="F26" s="53"/>
      <c r="G26" s="54"/>
      <c r="H26" s="52"/>
      <c r="I26" s="53"/>
      <c r="J26" s="53"/>
      <c r="K26" s="55"/>
      <c r="L26" s="56"/>
      <c r="M26" s="53"/>
      <c r="N26" s="53"/>
      <c r="O26" s="5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58" t="s">
        <v>19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49"/>
      <c r="B28" s="57"/>
      <c r="C28" s="58" t="s">
        <v>18</v>
      </c>
      <c r="D28" s="52"/>
      <c r="E28" s="53"/>
      <c r="F28" s="53"/>
      <c r="G28" s="59"/>
      <c r="H28" s="56"/>
      <c r="I28" s="53"/>
      <c r="J28" s="53"/>
      <c r="K28" s="60"/>
      <c r="L28" s="52"/>
      <c r="M28" s="53"/>
      <c r="N28" s="53"/>
      <c r="O28" s="59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50"/>
      <c r="C29" s="58" t="s">
        <v>19</v>
      </c>
      <c r="D29" s="52"/>
      <c r="E29" s="53"/>
      <c r="F29" s="53"/>
      <c r="G29" s="59"/>
      <c r="H29" s="56"/>
      <c r="I29" s="53"/>
      <c r="J29" s="53"/>
      <c r="K29" s="60"/>
      <c r="L29" s="52"/>
      <c r="M29" s="53"/>
      <c r="N29" s="53"/>
      <c r="O29" s="59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61"/>
      <c r="C30" s="51" t="s">
        <v>18</v>
      </c>
      <c r="D30" s="56"/>
      <c r="E30" s="53"/>
      <c r="F30" s="53"/>
      <c r="G30" s="59"/>
      <c r="H30" s="56"/>
      <c r="I30" s="53"/>
      <c r="J30" s="53"/>
      <c r="K30" s="59"/>
      <c r="L30" s="56"/>
      <c r="M30" s="53"/>
      <c r="N30" s="53"/>
      <c r="O30" s="5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61"/>
      <c r="C31" s="51" t="s">
        <v>19</v>
      </c>
      <c r="D31" s="56"/>
      <c r="E31" s="53"/>
      <c r="F31" s="53"/>
      <c r="G31" s="59"/>
      <c r="H31" s="56"/>
      <c r="I31" s="53"/>
      <c r="J31" s="53"/>
      <c r="K31" s="59"/>
      <c r="L31" s="56"/>
      <c r="M31" s="53"/>
      <c r="N31" s="53"/>
      <c r="O31" s="59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84"/>
      <c r="C32" s="62" t="s">
        <v>18</v>
      </c>
      <c r="D32" s="63"/>
      <c r="E32" s="64"/>
      <c r="F32" s="64"/>
      <c r="G32" s="65"/>
      <c r="H32" s="66"/>
      <c r="I32" s="64"/>
      <c r="J32" s="64"/>
      <c r="K32" s="67"/>
      <c r="L32" s="63"/>
      <c r="M32" s="64"/>
      <c r="N32" s="64"/>
      <c r="O32" s="65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8"/>
      <c r="B33" s="69"/>
      <c r="C33" s="70" t="s">
        <v>19</v>
      </c>
      <c r="D33" s="71"/>
      <c r="E33" s="72"/>
      <c r="F33" s="72"/>
      <c r="G33" s="73"/>
      <c r="H33" s="74"/>
      <c r="I33" s="72"/>
      <c r="J33" s="72"/>
      <c r="K33" s="75"/>
      <c r="L33" s="71"/>
      <c r="M33" s="72"/>
      <c r="N33" s="72"/>
      <c r="O33" s="73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hidden="1" spans="1:25" s="40" customFormat="1" x14ac:dyDescent="0.25">
      <c r="A34" s="49"/>
      <c r="B34" s="84"/>
      <c r="C34" s="85" t="s">
        <v>18</v>
      </c>
      <c r="D34" s="63"/>
      <c r="E34" s="64"/>
      <c r="F34" s="64"/>
      <c r="G34" s="86"/>
      <c r="H34" s="63"/>
      <c r="I34" s="64"/>
      <c r="J34" s="64"/>
      <c r="K34" s="87"/>
      <c r="L34" s="66"/>
      <c r="M34" s="64"/>
      <c r="N34" s="64"/>
      <c r="O34" s="87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hidden="1" spans="1:25" s="40" customFormat="1" x14ac:dyDescent="0.25">
      <c r="A35" s="49"/>
      <c r="B35" s="50"/>
      <c r="C35" s="51" t="s">
        <v>19</v>
      </c>
      <c r="D35" s="52"/>
      <c r="E35" s="53"/>
      <c r="F35" s="53"/>
      <c r="G35" s="54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hidden="1" spans="1:25" s="40" customFormat="1" x14ac:dyDescent="0.25">
      <c r="A36" s="49"/>
      <c r="B36" s="57"/>
      <c r="C36" s="85" t="s">
        <v>18</v>
      </c>
      <c r="D36" s="63"/>
      <c r="E36" s="64"/>
      <c r="F36" s="64"/>
      <c r="G36" s="86"/>
      <c r="H36" s="63"/>
      <c r="I36" s="64"/>
      <c r="J36" s="64"/>
      <c r="K36" s="87"/>
      <c r="L36" s="66"/>
      <c r="M36" s="64"/>
      <c r="N36" s="64"/>
      <c r="O36" s="87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hidden="1" spans="1:25" s="40" customFormat="1" x14ac:dyDescent="0.25">
      <c r="A37" s="49"/>
      <c r="B37" s="50"/>
      <c r="C37" s="51" t="s">
        <v>19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hidden="1" spans="1:25" s="40" customFormat="1" x14ac:dyDescent="0.25">
      <c r="A38" s="49"/>
      <c r="B38" s="57"/>
      <c r="C38" s="51" t="s">
        <v>18</v>
      </c>
      <c r="D38" s="52"/>
      <c r="E38" s="53"/>
      <c r="F38" s="53"/>
      <c r="G38" s="54"/>
      <c r="H38" s="52"/>
      <c r="I38" s="53"/>
      <c r="J38" s="53"/>
      <c r="K38" s="55"/>
      <c r="L38" s="56"/>
      <c r="M38" s="53"/>
      <c r="N38" s="53"/>
      <c r="O38" s="55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hidden="1" spans="1:25" s="40" customFormat="1" x14ac:dyDescent="0.25">
      <c r="A39" s="49"/>
      <c r="B39" s="50"/>
      <c r="C39" s="51" t="s">
        <v>19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9"/>
      <c r="B40" s="57"/>
      <c r="C40" s="58" t="s">
        <v>18</v>
      </c>
      <c r="D40" s="52"/>
      <c r="E40" s="53"/>
      <c r="F40" s="53"/>
      <c r="G40" s="54"/>
      <c r="H40" s="52"/>
      <c r="I40" s="53"/>
      <c r="J40" s="53"/>
      <c r="K40" s="55"/>
      <c r="L40" s="56"/>
      <c r="M40" s="53"/>
      <c r="N40" s="53"/>
      <c r="O40" s="55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9"/>
      <c r="B41" s="50"/>
      <c r="C41" s="58" t="s">
        <v>19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9"/>
      <c r="B42" s="61"/>
      <c r="C42" s="58" t="s">
        <v>18</v>
      </c>
      <c r="D42" s="52"/>
      <c r="E42" s="53"/>
      <c r="F42" s="53"/>
      <c r="G42" s="59"/>
      <c r="H42" s="56"/>
      <c r="I42" s="53"/>
      <c r="J42" s="53"/>
      <c r="K42" s="60"/>
      <c r="L42" s="52"/>
      <c r="M42" s="53"/>
      <c r="N42" s="53"/>
      <c r="O42" s="59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49"/>
      <c r="B43" s="61"/>
      <c r="C43" s="58" t="s">
        <v>19</v>
      </c>
      <c r="D43" s="52"/>
      <c r="E43" s="53"/>
      <c r="F43" s="53"/>
      <c r="G43" s="59"/>
      <c r="H43" s="56"/>
      <c r="I43" s="53"/>
      <c r="J43" s="53"/>
      <c r="K43" s="60"/>
      <c r="L43" s="52"/>
      <c r="M43" s="53"/>
      <c r="N43" s="53"/>
      <c r="O43" s="59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5" customHeight="1" spans="1:25" s="40" customFormat="1" x14ac:dyDescent="0.25">
      <c r="A44" s="49"/>
      <c r="B44" s="84"/>
      <c r="C44" s="88" t="s">
        <v>18</v>
      </c>
      <c r="D44" s="63"/>
      <c r="E44" s="64"/>
      <c r="F44" s="64"/>
      <c r="G44" s="65"/>
      <c r="H44" s="66"/>
      <c r="I44" s="64"/>
      <c r="J44" s="64"/>
      <c r="K44" s="67"/>
      <c r="L44" s="63"/>
      <c r="M44" s="64"/>
      <c r="N44" s="64"/>
      <c r="O44" s="65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5" customHeight="1" spans="1:25" s="40" customFormat="1" x14ac:dyDescent="0.25">
      <c r="A45" s="68"/>
      <c r="B45" s="69"/>
      <c r="C45" s="70" t="s">
        <v>19</v>
      </c>
      <c r="D45" s="71"/>
      <c r="E45" s="72"/>
      <c r="F45" s="72"/>
      <c r="G45" s="73"/>
      <c r="H45" s="74"/>
      <c r="I45" s="72"/>
      <c r="J45" s="72"/>
      <c r="K45" s="75"/>
      <c r="L45" s="71"/>
      <c r="M45" s="72"/>
      <c r="N45" s="72"/>
      <c r="O45" s="73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5" customHeight="1" spans="1:25" s="40" customFormat="1" x14ac:dyDescent="0.25">
      <c r="A46" s="76"/>
      <c r="B46" s="77"/>
      <c r="C46" s="78" t="s">
        <v>18</v>
      </c>
      <c r="D46" s="79"/>
      <c r="E46" s="80"/>
      <c r="F46" s="80"/>
      <c r="G46" s="81"/>
      <c r="H46" s="79"/>
      <c r="I46" s="80"/>
      <c r="J46" s="80"/>
      <c r="K46" s="82"/>
      <c r="L46" s="83"/>
      <c r="M46" s="80"/>
      <c r="N46" s="80"/>
      <c r="O46" s="8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5" customHeight="1" spans="1:25" s="40" customFormat="1" x14ac:dyDescent="0.25">
      <c r="A47" s="49"/>
      <c r="B47" s="50"/>
      <c r="C47" s="51" t="s">
        <v>19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5" customHeight="1" hidden="1" spans="1:25" s="40" customFormat="1" x14ac:dyDescent="0.25">
      <c r="A48" s="49"/>
      <c r="B48" s="57"/>
      <c r="C48" s="85" t="s">
        <v>18</v>
      </c>
      <c r="D48" s="63"/>
      <c r="E48" s="64"/>
      <c r="F48" s="64"/>
      <c r="G48" s="86"/>
      <c r="H48" s="63"/>
      <c r="I48" s="64"/>
      <c r="J48" s="64"/>
      <c r="K48" s="87"/>
      <c r="L48" s="66"/>
      <c r="M48" s="64"/>
      <c r="N48" s="64"/>
      <c r="O48" s="87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5" customHeight="1" hidden="1" spans="1:25" s="40" customFormat="1" x14ac:dyDescent="0.25">
      <c r="A49" s="49"/>
      <c r="B49" s="50"/>
      <c r="C49" s="51" t="s">
        <v>19</v>
      </c>
      <c r="D49" s="52"/>
      <c r="E49" s="53"/>
      <c r="F49" s="53"/>
      <c r="G49" s="54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5" customHeight="1" spans="1:25" s="40" customFormat="1" x14ac:dyDescent="0.25">
      <c r="A50" s="49"/>
      <c r="B50" s="57"/>
      <c r="C50" s="51" t="s">
        <v>18</v>
      </c>
      <c r="D50" s="52"/>
      <c r="E50" s="53"/>
      <c r="F50" s="53"/>
      <c r="G50" s="54"/>
      <c r="H50" s="52"/>
      <c r="I50" s="53"/>
      <c r="J50" s="53"/>
      <c r="K50" s="55"/>
      <c r="L50" s="56"/>
      <c r="M50" s="53"/>
      <c r="N50" s="53"/>
      <c r="O50" s="55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5" customHeight="1" spans="1:25" s="40" customFormat="1" x14ac:dyDescent="0.25">
      <c r="A51" s="49"/>
      <c r="B51" s="50"/>
      <c r="C51" s="51" t="s">
        <v>19</v>
      </c>
      <c r="D51" s="52"/>
      <c r="E51" s="53"/>
      <c r="F51" s="53"/>
      <c r="G51" s="54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5" customHeight="1" spans="1:25" s="40" customFormat="1" x14ac:dyDescent="0.25">
      <c r="A52" s="49"/>
      <c r="B52" s="57"/>
      <c r="C52" s="58" t="s">
        <v>18</v>
      </c>
      <c r="D52" s="52"/>
      <c r="E52" s="53"/>
      <c r="F52" s="53"/>
      <c r="G52" s="54"/>
      <c r="H52" s="52"/>
      <c r="I52" s="53"/>
      <c r="J52" s="53"/>
      <c r="K52" s="55"/>
      <c r="L52" s="56"/>
      <c r="M52" s="53"/>
      <c r="N52" s="53"/>
      <c r="O52" s="55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5" customHeight="1" spans="1:25" s="40" customFormat="1" x14ac:dyDescent="0.25">
      <c r="A53" s="49"/>
      <c r="B53" s="50"/>
      <c r="C53" s="58" t="s">
        <v>19</v>
      </c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5" customHeight="1" spans="1:25" s="40" customFormat="1" x14ac:dyDescent="0.25">
      <c r="A54" s="49"/>
      <c r="B54" s="61"/>
      <c r="C54" s="58" t="s">
        <v>18</v>
      </c>
      <c r="D54" s="52"/>
      <c r="E54" s="53"/>
      <c r="F54" s="53"/>
      <c r="G54" s="59"/>
      <c r="H54" s="56"/>
      <c r="I54" s="53"/>
      <c r="J54" s="53"/>
      <c r="K54" s="60"/>
      <c r="L54" s="52"/>
      <c r="M54" s="53"/>
      <c r="N54" s="53"/>
      <c r="O54" s="59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5" customHeight="1" spans="1:25" s="40" customFormat="1" x14ac:dyDescent="0.25">
      <c r="A55" s="49"/>
      <c r="B55" s="61"/>
      <c r="C55" s="58" t="s">
        <v>19</v>
      </c>
      <c r="D55" s="52"/>
      <c r="E55" s="53"/>
      <c r="F55" s="53"/>
      <c r="G55" s="59"/>
      <c r="H55" s="56"/>
      <c r="I55" s="53"/>
      <c r="J55" s="53"/>
      <c r="K55" s="60"/>
      <c r="L55" s="52"/>
      <c r="M55" s="53"/>
      <c r="N55" s="53"/>
      <c r="O55" s="59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5" customHeight="1" spans="1:25" s="40" customFormat="1" x14ac:dyDescent="0.25">
      <c r="A56" s="49"/>
      <c r="B56" s="84"/>
      <c r="C56" s="88" t="s">
        <v>18</v>
      </c>
      <c r="D56" s="63"/>
      <c r="E56" s="64"/>
      <c r="F56" s="64"/>
      <c r="G56" s="65"/>
      <c r="H56" s="66"/>
      <c r="I56" s="64"/>
      <c r="J56" s="64"/>
      <c r="K56" s="67"/>
      <c r="L56" s="63"/>
      <c r="M56" s="64"/>
      <c r="N56" s="64"/>
      <c r="O56" s="65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5" customHeight="1" spans="1:25" s="40" customFormat="1" x14ac:dyDescent="0.25">
      <c r="A57" s="68"/>
      <c r="B57" s="69"/>
      <c r="C57" s="70" t="s">
        <v>19</v>
      </c>
      <c r="D57" s="71"/>
      <c r="E57" s="72"/>
      <c r="F57" s="72"/>
      <c r="G57" s="73"/>
      <c r="H57" s="74"/>
      <c r="I57" s="72"/>
      <c r="J57" s="72"/>
      <c r="K57" s="75"/>
      <c r="L57" s="71"/>
      <c r="M57" s="72"/>
      <c r="N57" s="72"/>
      <c r="O57" s="73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5" customHeight="1" hidden="1" spans="1:25" s="40" customFormat="1" x14ac:dyDescent="0.25">
      <c r="A58" s="76"/>
      <c r="B58" s="84"/>
      <c r="C58" s="85" t="s">
        <v>18</v>
      </c>
      <c r="D58" s="63"/>
      <c r="E58" s="64"/>
      <c r="F58" s="64"/>
      <c r="G58" s="86"/>
      <c r="H58" s="63"/>
      <c r="I58" s="64"/>
      <c r="J58" s="64"/>
      <c r="K58" s="87"/>
      <c r="L58" s="66"/>
      <c r="M58" s="64"/>
      <c r="N58" s="64"/>
      <c r="O58" s="87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5" customHeight="1" hidden="1" spans="1:25" s="40" customFormat="1" x14ac:dyDescent="0.25">
      <c r="A59" s="49"/>
      <c r="B59" s="50"/>
      <c r="C59" s="51" t="s">
        <v>19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5" customHeight="1" hidden="1" spans="1:25" s="40" customFormat="1" x14ac:dyDescent="0.25">
      <c r="A60" s="49"/>
      <c r="B60" s="57"/>
      <c r="C60" s="85" t="s">
        <v>18</v>
      </c>
      <c r="D60" s="63"/>
      <c r="E60" s="64"/>
      <c r="F60" s="64"/>
      <c r="G60" s="86"/>
      <c r="H60" s="63"/>
      <c r="I60" s="64"/>
      <c r="J60" s="64"/>
      <c r="K60" s="87"/>
      <c r="L60" s="66"/>
      <c r="M60" s="64"/>
      <c r="N60" s="64"/>
      <c r="O60" s="87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5" customHeight="1" hidden="1" spans="1:25" s="40" customFormat="1" x14ac:dyDescent="0.25">
      <c r="A61" s="49"/>
      <c r="B61" s="50"/>
      <c r="C61" s="51" t="s">
        <v>19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5" customHeight="1" hidden="1" spans="1:25" s="40" customFormat="1" x14ac:dyDescent="0.25">
      <c r="A62" s="49"/>
      <c r="B62" s="57"/>
      <c r="C62" s="51" t="s">
        <v>18</v>
      </c>
      <c r="D62" s="52"/>
      <c r="E62" s="53"/>
      <c r="F62" s="53"/>
      <c r="G62" s="54"/>
      <c r="H62" s="52"/>
      <c r="I62" s="53"/>
      <c r="J62" s="53"/>
      <c r="K62" s="55"/>
      <c r="L62" s="56"/>
      <c r="M62" s="53"/>
      <c r="N62" s="53"/>
      <c r="O62" s="55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5" customHeight="1" hidden="1" spans="1:25" s="40" customFormat="1" x14ac:dyDescent="0.25">
      <c r="A63" s="49"/>
      <c r="B63" s="50"/>
      <c r="C63" s="51" t="s">
        <v>19</v>
      </c>
      <c r="D63" s="52"/>
      <c r="E63" s="53"/>
      <c r="F63" s="53"/>
      <c r="G63" s="54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5" customHeight="1" hidden="1" spans="1:25" s="40" customFormat="1" x14ac:dyDescent="0.25">
      <c r="A64" s="49"/>
      <c r="B64" s="57"/>
      <c r="C64" s="58" t="s">
        <v>18</v>
      </c>
      <c r="D64" s="52"/>
      <c r="E64" s="53"/>
      <c r="F64" s="53"/>
      <c r="G64" s="54"/>
      <c r="H64" s="52"/>
      <c r="I64" s="53"/>
      <c r="J64" s="53"/>
      <c r="K64" s="55"/>
      <c r="L64" s="56"/>
      <c r="M64" s="53"/>
      <c r="N64" s="53"/>
      <c r="O64" s="55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5" customHeight="1" hidden="1" spans="1:25" s="40" customFormat="1" x14ac:dyDescent="0.25">
      <c r="A65" s="49"/>
      <c r="B65" s="50"/>
      <c r="C65" s="58" t="s">
        <v>19</v>
      </c>
      <c r="D65" s="52"/>
      <c r="E65" s="53"/>
      <c r="F65" s="53"/>
      <c r="G65" s="54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5" customHeight="1" hidden="1" spans="1:25" s="40" customFormat="1" x14ac:dyDescent="0.25">
      <c r="A66" s="49"/>
      <c r="B66" s="61"/>
      <c r="C66" s="58" t="s">
        <v>18</v>
      </c>
      <c r="D66" s="52"/>
      <c r="E66" s="53"/>
      <c r="F66" s="53"/>
      <c r="G66" s="59"/>
      <c r="H66" s="56"/>
      <c r="I66" s="53"/>
      <c r="J66" s="53"/>
      <c r="K66" s="60"/>
      <c r="L66" s="52"/>
      <c r="M66" s="53"/>
      <c r="N66" s="53"/>
      <c r="O66" s="59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5" customHeight="1" hidden="1" spans="1:25" s="40" customFormat="1" x14ac:dyDescent="0.25">
      <c r="A67" s="49"/>
      <c r="B67" s="57"/>
      <c r="C67" s="89" t="s">
        <v>19</v>
      </c>
      <c r="D67" s="90"/>
      <c r="E67" s="91"/>
      <c r="F67" s="91"/>
      <c r="G67" s="92"/>
      <c r="H67" s="93"/>
      <c r="I67" s="91"/>
      <c r="J67" s="91"/>
      <c r="K67" s="94"/>
      <c r="L67" s="90"/>
      <c r="M67" s="91"/>
      <c r="N67" s="91"/>
      <c r="O67" s="92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5" customHeight="1" hidden="1" spans="1:25" s="40" customFormat="1" x14ac:dyDescent="0.25">
      <c r="A68" s="49"/>
      <c r="B68" s="57"/>
      <c r="C68" s="58" t="s">
        <v>18</v>
      </c>
      <c r="D68" s="52"/>
      <c r="E68" s="53"/>
      <c r="F68" s="53"/>
      <c r="G68" s="59"/>
      <c r="H68" s="56"/>
      <c r="I68" s="53"/>
      <c r="J68" s="53"/>
      <c r="K68" s="60"/>
      <c r="L68" s="52"/>
      <c r="M68" s="53"/>
      <c r="N68" s="53"/>
      <c r="O68" s="59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5" customHeight="1" hidden="1" spans="1:25" s="40" customFormat="1" x14ac:dyDescent="0.25">
      <c r="A69" s="68"/>
      <c r="B69" s="69"/>
      <c r="C69" s="70" t="s">
        <v>19</v>
      </c>
      <c r="D69" s="71"/>
      <c r="E69" s="72"/>
      <c r="F69" s="72"/>
      <c r="G69" s="73"/>
      <c r="H69" s="74"/>
      <c r="I69" s="72"/>
      <c r="J69" s="72"/>
      <c r="K69" s="75"/>
      <c r="L69" s="71"/>
      <c r="M69" s="72"/>
      <c r="N69" s="72"/>
      <c r="O69" s="73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75" customHeight="1" hidden="1" spans="1:25" s="40" customFormat="1" x14ac:dyDescent="0.25">
      <c r="A70" s="76"/>
      <c r="B70" s="84"/>
      <c r="C70" s="85" t="s">
        <v>18</v>
      </c>
      <c r="D70" s="63"/>
      <c r="E70" s="64"/>
      <c r="F70" s="64"/>
      <c r="G70" s="86"/>
      <c r="H70" s="63"/>
      <c r="I70" s="64"/>
      <c r="J70" s="64"/>
      <c r="K70" s="87"/>
      <c r="L70" s="66"/>
      <c r="M70" s="64"/>
      <c r="N70" s="64"/>
      <c r="O70" s="87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75" customHeight="1" hidden="1" spans="1:25" s="40" customFormat="1" x14ac:dyDescent="0.25">
      <c r="A71" s="49"/>
      <c r="B71" s="50"/>
      <c r="C71" s="51" t="s">
        <v>19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75" customHeight="1" hidden="1" spans="1:25" s="40" customFormat="1" x14ac:dyDescent="0.25">
      <c r="A72" s="49"/>
      <c r="B72" s="57"/>
      <c r="C72" s="85" t="s">
        <v>18</v>
      </c>
      <c r="D72" s="63"/>
      <c r="E72" s="64"/>
      <c r="F72" s="64"/>
      <c r="G72" s="86"/>
      <c r="H72" s="63"/>
      <c r="I72" s="64"/>
      <c r="J72" s="64"/>
      <c r="K72" s="87"/>
      <c r="L72" s="66"/>
      <c r="M72" s="64"/>
      <c r="N72" s="64"/>
      <c r="O72" s="87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75" customHeight="1" hidden="1" spans="1:25" s="40" customFormat="1" x14ac:dyDescent="0.25">
      <c r="A73" s="49"/>
      <c r="B73" s="50"/>
      <c r="C73" s="51" t="s">
        <v>19</v>
      </c>
      <c r="D73" s="52"/>
      <c r="E73" s="53"/>
      <c r="F73" s="53"/>
      <c r="G73" s="54"/>
      <c r="H73" s="52"/>
      <c r="I73" s="53"/>
      <c r="J73" s="53"/>
      <c r="K73" s="55"/>
      <c r="L73" s="56"/>
      <c r="M73" s="53"/>
      <c r="N73" s="53"/>
      <c r="O73" s="55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2.75" customHeight="1" hidden="1" spans="1:25" s="40" customFormat="1" x14ac:dyDescent="0.25">
      <c r="A74" s="49"/>
      <c r="B74" s="57"/>
      <c r="C74" s="51" t="s">
        <v>18</v>
      </c>
      <c r="D74" s="52"/>
      <c r="E74" s="53"/>
      <c r="F74" s="53"/>
      <c r="G74" s="54"/>
      <c r="H74" s="52"/>
      <c r="I74" s="53"/>
      <c r="J74" s="53"/>
      <c r="K74" s="55"/>
      <c r="L74" s="56"/>
      <c r="M74" s="53"/>
      <c r="N74" s="53"/>
      <c r="O74" s="55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2.75" customHeight="1" hidden="1" spans="1:25" s="40" customFormat="1" x14ac:dyDescent="0.25">
      <c r="A75" s="49"/>
      <c r="B75" s="50"/>
      <c r="C75" s="51" t="s">
        <v>19</v>
      </c>
      <c r="D75" s="52"/>
      <c r="E75" s="53"/>
      <c r="F75" s="53"/>
      <c r="G75" s="54"/>
      <c r="H75" s="52"/>
      <c r="I75" s="53"/>
      <c r="J75" s="53"/>
      <c r="K75" s="55"/>
      <c r="L75" s="56"/>
      <c r="M75" s="53"/>
      <c r="N75" s="53"/>
      <c r="O75" s="55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2.75" customHeight="1" hidden="1" spans="1:25" s="40" customFormat="1" x14ac:dyDescent="0.25">
      <c r="A76" s="49"/>
      <c r="B76" s="57"/>
      <c r="C76" s="58" t="s">
        <v>18</v>
      </c>
      <c r="D76" s="52"/>
      <c r="E76" s="53"/>
      <c r="F76" s="53"/>
      <c r="G76" s="54"/>
      <c r="H76" s="52"/>
      <c r="I76" s="53"/>
      <c r="J76" s="53"/>
      <c r="K76" s="55"/>
      <c r="L76" s="56"/>
      <c r="M76" s="53"/>
      <c r="N76" s="53"/>
      <c r="O76" s="55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2.75" customHeight="1" hidden="1" spans="1:25" s="40" customFormat="1" x14ac:dyDescent="0.25">
      <c r="A77" s="49"/>
      <c r="B77" s="50"/>
      <c r="C77" s="58" t="s">
        <v>19</v>
      </c>
      <c r="D77" s="52"/>
      <c r="E77" s="53"/>
      <c r="F77" s="53"/>
      <c r="G77" s="54"/>
      <c r="H77" s="52"/>
      <c r="I77" s="53"/>
      <c r="J77" s="53"/>
      <c r="K77" s="55"/>
      <c r="L77" s="56"/>
      <c r="M77" s="53"/>
      <c r="N77" s="53"/>
      <c r="O77" s="55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2.75" customHeight="1" hidden="1" spans="1:25" s="40" customFormat="1" x14ac:dyDescent="0.25">
      <c r="A78" s="49"/>
      <c r="B78" s="61"/>
      <c r="C78" s="58" t="s">
        <v>18</v>
      </c>
      <c r="D78" s="52"/>
      <c r="E78" s="53"/>
      <c r="F78" s="53"/>
      <c r="G78" s="59"/>
      <c r="H78" s="56"/>
      <c r="I78" s="53"/>
      <c r="J78" s="53"/>
      <c r="K78" s="60"/>
      <c r="L78" s="52"/>
      <c r="M78" s="53"/>
      <c r="N78" s="53"/>
      <c r="O78" s="59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2.75" customHeight="1" hidden="1" spans="1:25" s="40" customFormat="1" x14ac:dyDescent="0.25">
      <c r="A79" s="49"/>
      <c r="B79" s="61"/>
      <c r="C79" s="58" t="s">
        <v>19</v>
      </c>
      <c r="D79" s="52"/>
      <c r="E79" s="53"/>
      <c r="F79" s="53"/>
      <c r="G79" s="59"/>
      <c r="H79" s="56"/>
      <c r="I79" s="53"/>
      <c r="J79" s="53"/>
      <c r="K79" s="60"/>
      <c r="L79" s="52"/>
      <c r="M79" s="53"/>
      <c r="N79" s="53"/>
      <c r="O79" s="59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2.75" customHeight="1" hidden="1" spans="1:25" s="40" customFormat="1" x14ac:dyDescent="0.25">
      <c r="A80" s="49"/>
      <c r="B80" s="84"/>
      <c r="C80" s="88" t="s">
        <v>18</v>
      </c>
      <c r="D80" s="63"/>
      <c r="E80" s="64"/>
      <c r="F80" s="64"/>
      <c r="G80" s="65"/>
      <c r="H80" s="66"/>
      <c r="I80" s="64"/>
      <c r="J80" s="64"/>
      <c r="K80" s="67"/>
      <c r="L80" s="63"/>
      <c r="M80" s="64"/>
      <c r="N80" s="64"/>
      <c r="O80" s="65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2.75" customHeight="1" hidden="1" spans="1:25" s="40" customFormat="1" x14ac:dyDescent="0.25">
      <c r="A81" s="68"/>
      <c r="B81" s="69"/>
      <c r="C81" s="70" t="s">
        <v>19</v>
      </c>
      <c r="D81" s="90"/>
      <c r="E81" s="91"/>
      <c r="F81" s="91"/>
      <c r="G81" s="92"/>
      <c r="H81" s="93"/>
      <c r="I81" s="91"/>
      <c r="J81" s="91"/>
      <c r="K81" s="94"/>
      <c r="L81" s="90"/>
      <c r="M81" s="91"/>
      <c r="N81" s="91"/>
      <c r="O81" s="92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" customHeight="1" spans="1:25" s="40" customFormat="1" x14ac:dyDescent="0.25">
      <c r="A82" s="95" t="s">
        <v>20</v>
      </c>
      <c r="B82" s="96"/>
      <c r="C82" s="97"/>
      <c r="D82" s="98">
        <f>SUM(D10,D12,D14,D16,D18,D20,D22,D24,D26,D28,D30,D32,D34,D36,D38,D40,D42,D44,D46,D48,D50,D52,D54,D56,D58,D60,D62,D64,D66,D68,D70,D72,D74,D76,D78,D80)</f>
        <v>93</v>
      </c>
      <c r="E82" s="99">
        <f t="shared" ref="E82:O82" si="0">SUM(E10,E12,E14,E16,E18,E20,E22,E24,E26,E28,E30,E32,E34,E36,E38,E40,E42,E44,E46,E48,E50,E52,E54,E56,E58,E60,E62,E64,E66,E68,E70,E72,E74,E76,E78,E80)</f>
        <v>0</v>
      </c>
      <c r="F82" s="99">
        <f t="shared" si="0"/>
        <v>163</v>
      </c>
      <c r="G82" s="100">
        <f t="shared" si="0"/>
        <v>0</v>
      </c>
      <c r="H82" s="98">
        <f t="shared" si="0"/>
        <v>91</v>
      </c>
      <c r="I82" s="99">
        <f t="shared" si="0"/>
        <v>0</v>
      </c>
      <c r="J82" s="99">
        <f t="shared" si="0"/>
        <v>39</v>
      </c>
      <c r="K82" s="101">
        <f t="shared" si="0"/>
        <v>0</v>
      </c>
      <c r="L82" s="102">
        <f t="shared" si="0"/>
        <v>0</v>
      </c>
      <c r="M82" s="99">
        <f t="shared" si="0"/>
        <v>0</v>
      </c>
      <c r="N82" s="99">
        <f t="shared" si="0"/>
        <v>0</v>
      </c>
      <c r="O82" s="101">
        <f t="shared" si="0"/>
        <v>0</v>
      </c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5" customHeight="1" spans="1:25" s="40" customFormat="1" x14ac:dyDescent="0.25">
      <c r="A83" s="103"/>
      <c r="B83" s="104"/>
      <c r="C83" s="105"/>
      <c r="D83" s="106">
        <f>SUM(D11,D13,D15,D17,D19,D21,D23,D25,D27,D29,D31,D33,D35,D37,D39,D41,D43,D45,D47,D49,D51,D53,D55,D57,D59,D61,D63,D65,D67,D69,D71,D73,D75,D77,D79,D81)</f>
        <v>0</v>
      </c>
      <c r="E83" s="107">
        <f t="shared" ref="E83:O83" si="1">SUM(E11,E13,E15,E17,E19,E21,E23,E25,E27,E29,E31,E33,E35,E37,E39,E41,E43,E45,E47,E49,E51,E53,E55,E57,E59,E61,E63,E65,E67,E69,E71,E73,E75,E77,E79,E81)</f>
        <v>0</v>
      </c>
      <c r="F83" s="107">
        <f t="shared" si="1"/>
        <v>0</v>
      </c>
      <c r="G83" s="108">
        <f t="shared" si="1"/>
        <v>0</v>
      </c>
      <c r="H83" s="106">
        <f t="shared" si="1"/>
        <v>1</v>
      </c>
      <c r="I83" s="107">
        <f t="shared" si="1"/>
        <v>0</v>
      </c>
      <c r="J83" s="107">
        <f t="shared" si="1"/>
        <v>110</v>
      </c>
      <c r="K83" s="109">
        <f t="shared" si="1"/>
        <v>0</v>
      </c>
      <c r="L83" s="110">
        <f t="shared" si="1"/>
        <v>0</v>
      </c>
      <c r="M83" s="107">
        <f t="shared" si="1"/>
        <v>0</v>
      </c>
      <c r="N83" s="107">
        <f t="shared" si="1"/>
        <v>0</v>
      </c>
      <c r="O83" s="109">
        <f t="shared" si="1"/>
        <v>0</v>
      </c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9.75" customHeight="1" spans="1:25" x14ac:dyDescent="0.25">
      <c r="A84" s="111"/>
      <c r="B84" s="111"/>
      <c r="C84" s="112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95" customHeight="1" spans="1:25" x14ac:dyDescent="0.25">
      <c r="A85" s="114" t="s">
        <v>21</v>
      </c>
      <c r="B85" s="115"/>
      <c r="C85" s="115"/>
      <c r="D85" s="115"/>
      <c r="E85" s="115"/>
      <c r="F85" s="115"/>
      <c r="G85" s="116"/>
      <c r="H85" s="117" t="s">
        <v>22</v>
      </c>
      <c r="I85" s="118"/>
      <c r="J85" s="118"/>
      <c r="K85" s="118"/>
      <c r="L85" s="118"/>
      <c r="M85" s="118"/>
      <c r="N85" s="118"/>
      <c r="O85" s="119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95" customHeight="1" spans="1:25" x14ac:dyDescent="0.25">
      <c r="A86" s="120"/>
      <c r="B86" s="121"/>
      <c r="C86" s="121"/>
      <c r="D86" s="121"/>
      <c r="E86" s="121"/>
      <c r="F86" s="121"/>
      <c r="G86" s="122"/>
      <c r="H86" s="120"/>
      <c r="I86" s="121"/>
      <c r="J86" s="121"/>
      <c r="K86" s="121"/>
      <c r="L86" s="121"/>
      <c r="M86" s="121"/>
      <c r="N86" s="121"/>
      <c r="O86" s="122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95" customHeight="1" spans="1:25" x14ac:dyDescent="0.25">
      <c r="A87" s="123"/>
      <c r="B87" s="124"/>
      <c r="C87" s="124"/>
      <c r="D87" s="124"/>
      <c r="E87" s="124"/>
      <c r="F87" s="124"/>
      <c r="G87" s="125"/>
      <c r="H87" s="123"/>
      <c r="I87" s="124"/>
      <c r="J87" s="124"/>
      <c r="K87" s="124"/>
      <c r="L87" s="124"/>
      <c r="M87" s="124"/>
      <c r="N87" s="124"/>
      <c r="O87" s="125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95" customHeight="1" spans="1:25" x14ac:dyDescent="0.25">
      <c r="A88" s="123"/>
      <c r="B88" s="124"/>
      <c r="C88" s="124"/>
      <c r="D88" s="124"/>
      <c r="E88" s="124"/>
      <c r="F88" s="124"/>
      <c r="G88" s="125"/>
      <c r="H88" s="126"/>
      <c r="I88" s="127"/>
      <c r="J88" s="127"/>
      <c r="K88" s="127"/>
      <c r="L88" s="127"/>
      <c r="M88" s="127"/>
      <c r="N88" s="127"/>
      <c r="O88" s="128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95" customHeight="1" spans="1:25" x14ac:dyDescent="0.25">
      <c r="A89" s="129"/>
      <c r="B89" s="130"/>
      <c r="C89" s="130"/>
      <c r="D89" s="130"/>
      <c r="E89" s="130"/>
      <c r="F89" s="130"/>
      <c r="G89" s="131"/>
      <c r="H89" s="132"/>
      <c r="I89" s="133"/>
      <c r="J89" s="133"/>
      <c r="K89" s="133"/>
      <c r="L89" s="133"/>
      <c r="M89" s="133"/>
      <c r="N89" s="133"/>
      <c r="O89" s="134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" customHeight="1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" customHeight="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" customHeight="1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" customHeight="1" spans="1:25" x14ac:dyDescent="0.25">
      <c r="A93" s="135"/>
      <c r="B93" s="135"/>
      <c r="C93" s="135"/>
      <c r="D93" s="136"/>
      <c r="E93" s="1"/>
      <c r="F93" s="1"/>
      <c r="G93" s="1"/>
      <c r="H93" s="1"/>
      <c r="I93" s="1"/>
      <c r="J93" s="135"/>
      <c r="K93" s="135"/>
      <c r="L93" s="135"/>
      <c r="M93" s="135"/>
      <c r="N93" s="135"/>
      <c r="O93" s="135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 spans="1:25" x14ac:dyDescent="0.25">
      <c r="A94" s="137" t="s">
        <v>23</v>
      </c>
      <c r="B94" s="137"/>
      <c r="C94" s="137"/>
      <c r="D94" s="137"/>
      <c r="E94" s="138"/>
      <c r="F94" s="138"/>
      <c r="G94" s="138"/>
      <c r="H94" s="138"/>
      <c r="I94" s="1"/>
      <c r="J94" s="137" t="s">
        <v>24</v>
      </c>
      <c r="K94" s="137"/>
      <c r="L94" s="137"/>
      <c r="M94" s="137"/>
      <c r="N94" s="137"/>
      <c r="O94" s="137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2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4:D94"/>
    <mergeCell ref="J94:O94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W129"/>
  <sheetViews>
    <sheetView workbookViewId="0" zoomScale="100" zoomScaleNormal="100">
      <selection activeCell="A4" sqref="A4"/>
    </sheetView>
  </sheetViews>
  <sheetFormatPr defaultRowHeight="17.4" outlineLevelRow="0" outlineLevelCol="0" x14ac:dyDescent="0" customHeight="1"/>
  <cols>
    <col min="1" max="2" width="2.5" style="9" customWidth="1"/>
    <col min="3" max="3" width="2.3984375" style="9" customWidth="1"/>
    <col min="4" max="32" width="2.5" style="9" customWidth="1"/>
    <col min="33" max="33" width="1.59765625" style="9" customWidth="1"/>
    <col min="34" max="34" width="2.59765625" style="9" customWidth="1"/>
    <col min="35" max="35" width="5.09765625" style="9" customWidth="1"/>
    <col min="36" max="255" width="9" style="9" customWidth="1"/>
    <col min="256" max="257" width="2.5" style="9" customWidth="1"/>
    <col min="258" max="258" width="2.3984375" style="9" customWidth="1"/>
    <col min="259" max="287" width="2.5" style="9" customWidth="1"/>
    <col min="288" max="288" width="1.59765625" style="9" customWidth="1"/>
    <col min="289" max="290" width="2.59765625" style="9" customWidth="1"/>
    <col min="291" max="291" width="3.8984375" style="9" customWidth="1"/>
    <col min="292" max="511" width="9" style="9" customWidth="1"/>
    <col min="512" max="513" width="2.5" style="9" customWidth="1"/>
    <col min="514" max="514" width="2.3984375" style="9" customWidth="1"/>
    <col min="515" max="543" width="2.5" style="9" customWidth="1"/>
    <col min="544" max="544" width="1.59765625" style="9" customWidth="1"/>
    <col min="545" max="546" width="2.59765625" style="9" customWidth="1"/>
    <col min="547" max="547" width="3.8984375" style="9" customWidth="1"/>
    <col min="548" max="767" width="9" style="9" customWidth="1"/>
    <col min="768" max="769" width="2.5" style="9" customWidth="1"/>
    <col min="770" max="770" width="2.3984375" style="9" customWidth="1"/>
    <col min="771" max="799" width="2.5" style="9" customWidth="1"/>
    <col min="800" max="800" width="1.59765625" style="9" customWidth="1"/>
    <col min="801" max="802" width="2.59765625" style="9" customWidth="1"/>
    <col min="803" max="803" width="3.8984375" style="9" customWidth="1"/>
    <col min="804" max="1023" width="9" style="9" customWidth="1"/>
    <col min="1024" max="1025" width="2.5" style="9" customWidth="1"/>
    <col min="1026" max="1026" width="2.3984375" style="9" customWidth="1"/>
    <col min="1027" max="1055" width="2.5" style="9" customWidth="1"/>
    <col min="1056" max="1056" width="1.59765625" style="9" customWidth="1"/>
    <col min="1057" max="1058" width="2.59765625" style="9" customWidth="1"/>
    <col min="1059" max="1059" width="3.8984375" style="9" customWidth="1"/>
    <col min="1060" max="1279" width="9" style="9" customWidth="1"/>
    <col min="1280" max="1281" width="2.5" style="9" customWidth="1"/>
    <col min="1282" max="1282" width="2.3984375" style="9" customWidth="1"/>
    <col min="1283" max="1311" width="2.5" style="9" customWidth="1"/>
    <col min="1312" max="1312" width="1.59765625" style="9" customWidth="1"/>
    <col min="1313" max="1314" width="2.59765625" style="9" customWidth="1"/>
    <col min="1315" max="1315" width="3.8984375" style="9" customWidth="1"/>
    <col min="1316" max="1535" width="9" style="9" customWidth="1"/>
    <col min="1536" max="1537" width="2.5" style="9" customWidth="1"/>
    <col min="1538" max="1538" width="2.3984375" style="9" customWidth="1"/>
    <col min="1539" max="1567" width="2.5" style="9" customWidth="1"/>
    <col min="1568" max="1568" width="1.59765625" style="9" customWidth="1"/>
    <col min="1569" max="1570" width="2.59765625" style="9" customWidth="1"/>
    <col min="1571" max="1571" width="3.8984375" style="9" customWidth="1"/>
    <col min="1572" max="1791" width="9" style="9" customWidth="1"/>
    <col min="1792" max="1793" width="2.5" style="9" customWidth="1"/>
    <col min="1794" max="1794" width="2.3984375" style="9" customWidth="1"/>
    <col min="1795" max="1823" width="2.5" style="9" customWidth="1"/>
    <col min="1824" max="1824" width="1.59765625" style="9" customWidth="1"/>
    <col min="1825" max="1826" width="2.59765625" style="9" customWidth="1"/>
    <col min="1827" max="1827" width="3.8984375" style="9" customWidth="1"/>
    <col min="1828" max="2047" width="9" style="9" customWidth="1"/>
    <col min="2048" max="2049" width="2.5" style="9" customWidth="1"/>
    <col min="2050" max="2050" width="2.3984375" style="9" customWidth="1"/>
    <col min="2051" max="2079" width="2.5" style="9" customWidth="1"/>
    <col min="2080" max="2080" width="1.59765625" style="9" customWidth="1"/>
    <col min="2081" max="2082" width="2.59765625" style="9" customWidth="1"/>
    <col min="2083" max="2083" width="3.8984375" style="9" customWidth="1"/>
    <col min="2084" max="2303" width="9" style="9" customWidth="1"/>
    <col min="2304" max="2305" width="2.5" style="9" customWidth="1"/>
    <col min="2306" max="2306" width="2.3984375" style="9" customWidth="1"/>
    <col min="2307" max="2335" width="2.5" style="9" customWidth="1"/>
    <col min="2336" max="2336" width="1.59765625" style="9" customWidth="1"/>
    <col min="2337" max="2338" width="2.59765625" style="9" customWidth="1"/>
    <col min="2339" max="2339" width="3.8984375" style="9" customWidth="1"/>
    <col min="2340" max="2559" width="9" style="9" customWidth="1"/>
    <col min="2560" max="2561" width="2.5" style="9" customWidth="1"/>
    <col min="2562" max="2562" width="2.3984375" style="9" customWidth="1"/>
    <col min="2563" max="2591" width="2.5" style="9" customWidth="1"/>
    <col min="2592" max="2592" width="1.59765625" style="9" customWidth="1"/>
    <col min="2593" max="2594" width="2.59765625" style="9" customWidth="1"/>
    <col min="2595" max="2595" width="3.8984375" style="9" customWidth="1"/>
    <col min="2596" max="2815" width="9" style="9" customWidth="1"/>
    <col min="2816" max="2817" width="2.5" style="9" customWidth="1"/>
    <col min="2818" max="2818" width="2.3984375" style="9" customWidth="1"/>
    <col min="2819" max="2847" width="2.5" style="9" customWidth="1"/>
    <col min="2848" max="2848" width="1.59765625" style="9" customWidth="1"/>
    <col min="2849" max="2850" width="2.59765625" style="9" customWidth="1"/>
    <col min="2851" max="2851" width="3.8984375" style="9" customWidth="1"/>
    <col min="2852" max="3071" width="9" style="9" customWidth="1"/>
    <col min="3072" max="3073" width="2.5" style="9" customWidth="1"/>
    <col min="3074" max="3074" width="2.3984375" style="9" customWidth="1"/>
    <col min="3075" max="3103" width="2.5" style="9" customWidth="1"/>
    <col min="3104" max="3104" width="1.59765625" style="9" customWidth="1"/>
    <col min="3105" max="3106" width="2.59765625" style="9" customWidth="1"/>
    <col min="3107" max="3107" width="3.8984375" style="9" customWidth="1"/>
    <col min="3108" max="3327" width="9" style="9" customWidth="1"/>
    <col min="3328" max="3329" width="2.5" style="9" customWidth="1"/>
    <col min="3330" max="3330" width="2.3984375" style="9" customWidth="1"/>
    <col min="3331" max="3359" width="2.5" style="9" customWidth="1"/>
    <col min="3360" max="3360" width="1.59765625" style="9" customWidth="1"/>
    <col min="3361" max="3362" width="2.59765625" style="9" customWidth="1"/>
    <col min="3363" max="3363" width="3.8984375" style="9" customWidth="1"/>
    <col min="3364" max="3583" width="9" style="9" customWidth="1"/>
    <col min="3584" max="3585" width="2.5" style="9" customWidth="1"/>
    <col min="3586" max="3586" width="2.3984375" style="9" customWidth="1"/>
    <col min="3587" max="3615" width="2.5" style="9" customWidth="1"/>
    <col min="3616" max="3616" width="1.59765625" style="9" customWidth="1"/>
    <col min="3617" max="3618" width="2.59765625" style="9" customWidth="1"/>
    <col min="3619" max="3619" width="3.8984375" style="9" customWidth="1"/>
    <col min="3620" max="3839" width="9" style="9" customWidth="1"/>
    <col min="3840" max="3841" width="2.5" style="9" customWidth="1"/>
    <col min="3842" max="3842" width="2.3984375" style="9" customWidth="1"/>
    <col min="3843" max="3871" width="2.5" style="9" customWidth="1"/>
    <col min="3872" max="3872" width="1.59765625" style="9" customWidth="1"/>
    <col min="3873" max="3874" width="2.59765625" style="9" customWidth="1"/>
    <col min="3875" max="3875" width="3.8984375" style="9" customWidth="1"/>
    <col min="3876" max="4095" width="9" style="9" customWidth="1"/>
    <col min="4096" max="4097" width="2.5" style="9" customWidth="1"/>
    <col min="4098" max="4098" width="2.3984375" style="9" customWidth="1"/>
    <col min="4099" max="4127" width="2.5" style="9" customWidth="1"/>
    <col min="4128" max="4128" width="1.59765625" style="9" customWidth="1"/>
    <col min="4129" max="4130" width="2.59765625" style="9" customWidth="1"/>
    <col min="4131" max="4131" width="3.8984375" style="9" customWidth="1"/>
    <col min="4132" max="4351" width="9" style="9" customWidth="1"/>
    <col min="4352" max="4353" width="2.5" style="9" customWidth="1"/>
    <col min="4354" max="4354" width="2.3984375" style="9" customWidth="1"/>
    <col min="4355" max="4383" width="2.5" style="9" customWidth="1"/>
    <col min="4384" max="4384" width="1.59765625" style="9" customWidth="1"/>
    <col min="4385" max="4386" width="2.59765625" style="9" customWidth="1"/>
    <col min="4387" max="4387" width="3.8984375" style="9" customWidth="1"/>
    <col min="4388" max="4607" width="9" style="9" customWidth="1"/>
    <col min="4608" max="4609" width="2.5" style="9" customWidth="1"/>
    <col min="4610" max="4610" width="2.3984375" style="9" customWidth="1"/>
    <col min="4611" max="4639" width="2.5" style="9" customWidth="1"/>
    <col min="4640" max="4640" width="1.59765625" style="9" customWidth="1"/>
    <col min="4641" max="4642" width="2.59765625" style="9" customWidth="1"/>
    <col min="4643" max="4643" width="3.8984375" style="9" customWidth="1"/>
    <col min="4644" max="4863" width="9" style="9" customWidth="1"/>
    <col min="4864" max="4865" width="2.5" style="9" customWidth="1"/>
    <col min="4866" max="4866" width="2.3984375" style="9" customWidth="1"/>
    <col min="4867" max="4895" width="2.5" style="9" customWidth="1"/>
    <col min="4896" max="4896" width="1.59765625" style="9" customWidth="1"/>
    <col min="4897" max="4898" width="2.59765625" style="9" customWidth="1"/>
    <col min="4899" max="4899" width="3.8984375" style="9" customWidth="1"/>
    <col min="4900" max="5119" width="9" style="9" customWidth="1"/>
    <col min="5120" max="5121" width="2.5" style="9" customWidth="1"/>
    <col min="5122" max="5122" width="2.3984375" style="9" customWidth="1"/>
    <col min="5123" max="5151" width="2.5" style="9" customWidth="1"/>
    <col min="5152" max="5152" width="1.59765625" style="9" customWidth="1"/>
    <col min="5153" max="5154" width="2.59765625" style="9" customWidth="1"/>
    <col min="5155" max="5155" width="3.8984375" style="9" customWidth="1"/>
    <col min="5156" max="5375" width="9" style="9" customWidth="1"/>
    <col min="5376" max="5377" width="2.5" style="9" customWidth="1"/>
    <col min="5378" max="5378" width="2.3984375" style="9" customWidth="1"/>
    <col min="5379" max="5407" width="2.5" style="9" customWidth="1"/>
    <col min="5408" max="5408" width="1.59765625" style="9" customWidth="1"/>
    <col min="5409" max="5410" width="2.59765625" style="9" customWidth="1"/>
    <col min="5411" max="5411" width="3.8984375" style="9" customWidth="1"/>
    <col min="5412" max="5631" width="9" style="9" customWidth="1"/>
    <col min="5632" max="5633" width="2.5" style="9" customWidth="1"/>
    <col min="5634" max="5634" width="2.3984375" style="9" customWidth="1"/>
    <col min="5635" max="5663" width="2.5" style="9" customWidth="1"/>
    <col min="5664" max="5664" width="1.59765625" style="9" customWidth="1"/>
    <col min="5665" max="5666" width="2.59765625" style="9" customWidth="1"/>
    <col min="5667" max="5667" width="3.8984375" style="9" customWidth="1"/>
    <col min="5668" max="5887" width="9" style="9" customWidth="1"/>
    <col min="5888" max="5889" width="2.5" style="9" customWidth="1"/>
    <col min="5890" max="5890" width="2.3984375" style="9" customWidth="1"/>
    <col min="5891" max="5919" width="2.5" style="9" customWidth="1"/>
    <col min="5920" max="5920" width="1.59765625" style="9" customWidth="1"/>
    <col min="5921" max="5922" width="2.59765625" style="9" customWidth="1"/>
    <col min="5923" max="5923" width="3.8984375" style="9" customWidth="1"/>
    <col min="5924" max="6143" width="9" style="9" customWidth="1"/>
    <col min="6144" max="6145" width="2.5" style="9" customWidth="1"/>
    <col min="6146" max="6146" width="2.3984375" style="9" customWidth="1"/>
    <col min="6147" max="6175" width="2.5" style="9" customWidth="1"/>
    <col min="6176" max="6176" width="1.59765625" style="9" customWidth="1"/>
    <col min="6177" max="6178" width="2.59765625" style="9" customWidth="1"/>
    <col min="6179" max="6179" width="3.8984375" style="9" customWidth="1"/>
    <col min="6180" max="6399" width="9" style="9" customWidth="1"/>
    <col min="6400" max="6401" width="2.5" style="9" customWidth="1"/>
    <col min="6402" max="6402" width="2.3984375" style="9" customWidth="1"/>
    <col min="6403" max="6431" width="2.5" style="9" customWidth="1"/>
    <col min="6432" max="6432" width="1.59765625" style="9" customWidth="1"/>
    <col min="6433" max="6434" width="2.59765625" style="9" customWidth="1"/>
    <col min="6435" max="6435" width="3.8984375" style="9" customWidth="1"/>
    <col min="6436" max="6655" width="9" style="9" customWidth="1"/>
    <col min="6656" max="6657" width="2.5" style="9" customWidth="1"/>
    <col min="6658" max="6658" width="2.3984375" style="9" customWidth="1"/>
    <col min="6659" max="6687" width="2.5" style="9" customWidth="1"/>
    <col min="6688" max="6688" width="1.59765625" style="9" customWidth="1"/>
    <col min="6689" max="6690" width="2.59765625" style="9" customWidth="1"/>
    <col min="6691" max="6691" width="3.8984375" style="9" customWidth="1"/>
    <col min="6692" max="6911" width="9" style="9" customWidth="1"/>
    <col min="6912" max="6913" width="2.5" style="9" customWidth="1"/>
    <col min="6914" max="6914" width="2.3984375" style="9" customWidth="1"/>
    <col min="6915" max="6943" width="2.5" style="9" customWidth="1"/>
    <col min="6944" max="6944" width="1.59765625" style="9" customWidth="1"/>
    <col min="6945" max="6946" width="2.59765625" style="9" customWidth="1"/>
    <col min="6947" max="6947" width="3.8984375" style="9" customWidth="1"/>
    <col min="6948" max="7167" width="9" style="9" customWidth="1"/>
    <col min="7168" max="7169" width="2.5" style="9" customWidth="1"/>
    <col min="7170" max="7170" width="2.3984375" style="9" customWidth="1"/>
    <col min="7171" max="7199" width="2.5" style="9" customWidth="1"/>
    <col min="7200" max="7200" width="1.59765625" style="9" customWidth="1"/>
    <col min="7201" max="7202" width="2.59765625" style="9" customWidth="1"/>
    <col min="7203" max="7203" width="3.8984375" style="9" customWidth="1"/>
    <col min="7204" max="7423" width="9" style="9" customWidth="1"/>
    <col min="7424" max="7425" width="2.5" style="9" customWidth="1"/>
    <col min="7426" max="7426" width="2.3984375" style="9" customWidth="1"/>
    <col min="7427" max="7455" width="2.5" style="9" customWidth="1"/>
    <col min="7456" max="7456" width="1.59765625" style="9" customWidth="1"/>
    <col min="7457" max="7458" width="2.59765625" style="9" customWidth="1"/>
    <col min="7459" max="7459" width="3.8984375" style="9" customWidth="1"/>
    <col min="7460" max="7679" width="9" style="9" customWidth="1"/>
    <col min="7680" max="7681" width="2.5" style="9" customWidth="1"/>
    <col min="7682" max="7682" width="2.3984375" style="9" customWidth="1"/>
    <col min="7683" max="7711" width="2.5" style="9" customWidth="1"/>
    <col min="7712" max="7712" width="1.59765625" style="9" customWidth="1"/>
    <col min="7713" max="7714" width="2.59765625" style="9" customWidth="1"/>
    <col min="7715" max="7715" width="3.8984375" style="9" customWidth="1"/>
    <col min="7716" max="7935" width="9" style="9" customWidth="1"/>
    <col min="7936" max="7937" width="2.5" style="9" customWidth="1"/>
    <col min="7938" max="7938" width="2.3984375" style="9" customWidth="1"/>
    <col min="7939" max="7967" width="2.5" style="9" customWidth="1"/>
    <col min="7968" max="7968" width="1.59765625" style="9" customWidth="1"/>
    <col min="7969" max="7970" width="2.59765625" style="9" customWidth="1"/>
    <col min="7971" max="7971" width="3.8984375" style="9" customWidth="1"/>
    <col min="7972" max="8191" width="9" style="9" customWidth="1"/>
    <col min="8192" max="8193" width="2.5" style="9" customWidth="1"/>
    <col min="8194" max="8194" width="2.3984375" style="9" customWidth="1"/>
    <col min="8195" max="8223" width="2.5" style="9" customWidth="1"/>
    <col min="8224" max="8224" width="1.59765625" style="9" customWidth="1"/>
    <col min="8225" max="8226" width="2.59765625" style="9" customWidth="1"/>
    <col min="8227" max="8227" width="3.8984375" style="9" customWidth="1"/>
    <col min="8228" max="8447" width="9" style="9" customWidth="1"/>
    <col min="8448" max="8449" width="2.5" style="9" customWidth="1"/>
    <col min="8450" max="8450" width="2.3984375" style="9" customWidth="1"/>
    <col min="8451" max="8479" width="2.5" style="9" customWidth="1"/>
    <col min="8480" max="8480" width="1.59765625" style="9" customWidth="1"/>
    <col min="8481" max="8482" width="2.59765625" style="9" customWidth="1"/>
    <col min="8483" max="8483" width="3.8984375" style="9" customWidth="1"/>
    <col min="8484" max="8703" width="9" style="9" customWidth="1"/>
    <col min="8704" max="8705" width="2.5" style="9" customWidth="1"/>
    <col min="8706" max="8706" width="2.3984375" style="9" customWidth="1"/>
    <col min="8707" max="8735" width="2.5" style="9" customWidth="1"/>
    <col min="8736" max="8736" width="1.59765625" style="9" customWidth="1"/>
    <col min="8737" max="8738" width="2.59765625" style="9" customWidth="1"/>
    <col min="8739" max="8739" width="3.8984375" style="9" customWidth="1"/>
    <col min="8740" max="8959" width="9" style="9" customWidth="1"/>
    <col min="8960" max="8961" width="2.5" style="9" customWidth="1"/>
    <col min="8962" max="8962" width="2.3984375" style="9" customWidth="1"/>
    <col min="8963" max="8991" width="2.5" style="9" customWidth="1"/>
    <col min="8992" max="8992" width="1.59765625" style="9" customWidth="1"/>
    <col min="8993" max="8994" width="2.59765625" style="9" customWidth="1"/>
    <col min="8995" max="8995" width="3.8984375" style="9" customWidth="1"/>
    <col min="8996" max="9215" width="9" style="9" customWidth="1"/>
    <col min="9216" max="9217" width="2.5" style="9" customWidth="1"/>
    <col min="9218" max="9218" width="2.3984375" style="9" customWidth="1"/>
    <col min="9219" max="9247" width="2.5" style="9" customWidth="1"/>
    <col min="9248" max="9248" width="1.59765625" style="9" customWidth="1"/>
    <col min="9249" max="9250" width="2.59765625" style="9" customWidth="1"/>
    <col min="9251" max="9251" width="3.8984375" style="9" customWidth="1"/>
    <col min="9252" max="9471" width="9" style="9" customWidth="1"/>
    <col min="9472" max="9473" width="2.5" style="9" customWidth="1"/>
    <col min="9474" max="9474" width="2.3984375" style="9" customWidth="1"/>
    <col min="9475" max="9503" width="2.5" style="9" customWidth="1"/>
    <col min="9504" max="9504" width="1.59765625" style="9" customWidth="1"/>
    <col min="9505" max="9506" width="2.59765625" style="9" customWidth="1"/>
    <col min="9507" max="9507" width="3.8984375" style="9" customWidth="1"/>
    <col min="9508" max="9727" width="9" style="9" customWidth="1"/>
    <col min="9728" max="9729" width="2.5" style="9" customWidth="1"/>
    <col min="9730" max="9730" width="2.3984375" style="9" customWidth="1"/>
    <col min="9731" max="9759" width="2.5" style="9" customWidth="1"/>
    <col min="9760" max="9760" width="1.59765625" style="9" customWidth="1"/>
    <col min="9761" max="9762" width="2.59765625" style="9" customWidth="1"/>
    <col min="9763" max="9763" width="3.8984375" style="9" customWidth="1"/>
    <col min="9764" max="9983" width="9" style="9" customWidth="1"/>
    <col min="9984" max="9985" width="2.5" style="9" customWidth="1"/>
    <col min="9986" max="9986" width="2.3984375" style="9" customWidth="1"/>
    <col min="9987" max="10015" width="2.5" style="9" customWidth="1"/>
    <col min="10016" max="10016" width="1.59765625" style="9" customWidth="1"/>
    <col min="10017" max="10018" width="2.59765625" style="9" customWidth="1"/>
    <col min="10019" max="10019" width="3.8984375" style="9" customWidth="1"/>
    <col min="10020" max="10239" width="9" style="9" customWidth="1"/>
    <col min="10240" max="10241" width="2.5" style="9" customWidth="1"/>
    <col min="10242" max="10242" width="2.3984375" style="9" customWidth="1"/>
    <col min="10243" max="10271" width="2.5" style="9" customWidth="1"/>
    <col min="10272" max="10272" width="1.59765625" style="9" customWidth="1"/>
    <col min="10273" max="10274" width="2.59765625" style="9" customWidth="1"/>
    <col min="10275" max="10275" width="3.8984375" style="9" customWidth="1"/>
    <col min="10276" max="10495" width="9" style="9" customWidth="1"/>
    <col min="10496" max="10497" width="2.5" style="9" customWidth="1"/>
    <col min="10498" max="10498" width="2.3984375" style="9" customWidth="1"/>
    <col min="10499" max="10527" width="2.5" style="9" customWidth="1"/>
    <col min="10528" max="10528" width="1.59765625" style="9" customWidth="1"/>
    <col min="10529" max="10530" width="2.59765625" style="9" customWidth="1"/>
    <col min="10531" max="10531" width="3.8984375" style="9" customWidth="1"/>
    <col min="10532" max="10751" width="9" style="9" customWidth="1"/>
    <col min="10752" max="10753" width="2.5" style="9" customWidth="1"/>
    <col min="10754" max="10754" width="2.3984375" style="9" customWidth="1"/>
    <col min="10755" max="10783" width="2.5" style="9" customWidth="1"/>
    <col min="10784" max="10784" width="1.59765625" style="9" customWidth="1"/>
    <col min="10785" max="10786" width="2.59765625" style="9" customWidth="1"/>
    <col min="10787" max="10787" width="3.8984375" style="9" customWidth="1"/>
    <col min="10788" max="11007" width="9" style="9" customWidth="1"/>
    <col min="11008" max="11009" width="2.5" style="9" customWidth="1"/>
    <col min="11010" max="11010" width="2.3984375" style="9" customWidth="1"/>
    <col min="11011" max="11039" width="2.5" style="9" customWidth="1"/>
    <col min="11040" max="11040" width="1.59765625" style="9" customWidth="1"/>
    <col min="11041" max="11042" width="2.59765625" style="9" customWidth="1"/>
    <col min="11043" max="11043" width="3.8984375" style="9" customWidth="1"/>
    <col min="11044" max="11263" width="9" style="9" customWidth="1"/>
    <col min="11264" max="11265" width="2.5" style="9" customWidth="1"/>
    <col min="11266" max="11266" width="2.3984375" style="9" customWidth="1"/>
    <col min="11267" max="11295" width="2.5" style="9" customWidth="1"/>
    <col min="11296" max="11296" width="1.59765625" style="9" customWidth="1"/>
    <col min="11297" max="11298" width="2.59765625" style="9" customWidth="1"/>
    <col min="11299" max="11299" width="3.8984375" style="9" customWidth="1"/>
    <col min="11300" max="11519" width="9" style="9" customWidth="1"/>
    <col min="11520" max="11521" width="2.5" style="9" customWidth="1"/>
    <col min="11522" max="11522" width="2.3984375" style="9" customWidth="1"/>
    <col min="11523" max="11551" width="2.5" style="9" customWidth="1"/>
    <col min="11552" max="11552" width="1.59765625" style="9" customWidth="1"/>
    <col min="11553" max="11554" width="2.59765625" style="9" customWidth="1"/>
    <col min="11555" max="11555" width="3.8984375" style="9" customWidth="1"/>
    <col min="11556" max="11775" width="9" style="9" customWidth="1"/>
    <col min="11776" max="11777" width="2.5" style="9" customWidth="1"/>
    <col min="11778" max="11778" width="2.3984375" style="9" customWidth="1"/>
    <col min="11779" max="11807" width="2.5" style="9" customWidth="1"/>
    <col min="11808" max="11808" width="1.59765625" style="9" customWidth="1"/>
    <col min="11809" max="11810" width="2.59765625" style="9" customWidth="1"/>
    <col min="11811" max="11811" width="3.8984375" style="9" customWidth="1"/>
    <col min="11812" max="12031" width="9" style="9" customWidth="1"/>
    <col min="12032" max="12033" width="2.5" style="9" customWidth="1"/>
    <col min="12034" max="12034" width="2.3984375" style="9" customWidth="1"/>
    <col min="12035" max="12063" width="2.5" style="9" customWidth="1"/>
    <col min="12064" max="12064" width="1.59765625" style="9" customWidth="1"/>
    <col min="12065" max="12066" width="2.59765625" style="9" customWidth="1"/>
    <col min="12067" max="12067" width="3.8984375" style="9" customWidth="1"/>
    <col min="12068" max="12287" width="9" style="9" customWidth="1"/>
    <col min="12288" max="12289" width="2.5" style="9" customWidth="1"/>
    <col min="12290" max="12290" width="2.3984375" style="9" customWidth="1"/>
    <col min="12291" max="12319" width="2.5" style="9" customWidth="1"/>
    <col min="12320" max="12320" width="1.59765625" style="9" customWidth="1"/>
    <col min="12321" max="12322" width="2.59765625" style="9" customWidth="1"/>
    <col min="12323" max="12323" width="3.8984375" style="9" customWidth="1"/>
    <col min="12324" max="12543" width="9" style="9" customWidth="1"/>
    <col min="12544" max="12545" width="2.5" style="9" customWidth="1"/>
    <col min="12546" max="12546" width="2.3984375" style="9" customWidth="1"/>
    <col min="12547" max="12575" width="2.5" style="9" customWidth="1"/>
    <col min="12576" max="12576" width="1.59765625" style="9" customWidth="1"/>
    <col min="12577" max="12578" width="2.59765625" style="9" customWidth="1"/>
    <col min="12579" max="12579" width="3.8984375" style="9" customWidth="1"/>
    <col min="12580" max="12799" width="9" style="9" customWidth="1"/>
    <col min="12800" max="12801" width="2.5" style="9" customWidth="1"/>
    <col min="12802" max="12802" width="2.3984375" style="9" customWidth="1"/>
    <col min="12803" max="12831" width="2.5" style="9" customWidth="1"/>
    <col min="12832" max="12832" width="1.59765625" style="9" customWidth="1"/>
    <col min="12833" max="12834" width="2.59765625" style="9" customWidth="1"/>
    <col min="12835" max="12835" width="3.8984375" style="9" customWidth="1"/>
    <col min="12836" max="13055" width="9" style="9" customWidth="1"/>
    <col min="13056" max="13057" width="2.5" style="9" customWidth="1"/>
    <col min="13058" max="13058" width="2.3984375" style="9" customWidth="1"/>
    <col min="13059" max="13087" width="2.5" style="9" customWidth="1"/>
    <col min="13088" max="13088" width="1.59765625" style="9" customWidth="1"/>
    <col min="13089" max="13090" width="2.59765625" style="9" customWidth="1"/>
    <col min="13091" max="13091" width="3.8984375" style="9" customWidth="1"/>
    <col min="13092" max="13311" width="9" style="9" customWidth="1"/>
    <col min="13312" max="13313" width="2.5" style="9" customWidth="1"/>
    <col min="13314" max="13314" width="2.3984375" style="9" customWidth="1"/>
    <col min="13315" max="13343" width="2.5" style="9" customWidth="1"/>
    <col min="13344" max="13344" width="1.59765625" style="9" customWidth="1"/>
    <col min="13345" max="13346" width="2.59765625" style="9" customWidth="1"/>
    <col min="13347" max="13347" width="3.8984375" style="9" customWidth="1"/>
    <col min="13348" max="13567" width="9" style="9" customWidth="1"/>
    <col min="13568" max="13569" width="2.5" style="9" customWidth="1"/>
    <col min="13570" max="13570" width="2.3984375" style="9" customWidth="1"/>
    <col min="13571" max="13599" width="2.5" style="9" customWidth="1"/>
    <col min="13600" max="13600" width="1.59765625" style="9" customWidth="1"/>
    <col min="13601" max="13602" width="2.59765625" style="9" customWidth="1"/>
    <col min="13603" max="13603" width="3.8984375" style="9" customWidth="1"/>
    <col min="13604" max="13823" width="9" style="9" customWidth="1"/>
    <col min="13824" max="13825" width="2.5" style="9" customWidth="1"/>
    <col min="13826" max="13826" width="2.3984375" style="9" customWidth="1"/>
    <col min="13827" max="13855" width="2.5" style="9" customWidth="1"/>
    <col min="13856" max="13856" width="1.59765625" style="9" customWidth="1"/>
    <col min="13857" max="13858" width="2.59765625" style="9" customWidth="1"/>
    <col min="13859" max="13859" width="3.8984375" style="9" customWidth="1"/>
    <col min="13860" max="14079" width="9" style="9" customWidth="1"/>
    <col min="14080" max="14081" width="2.5" style="9" customWidth="1"/>
    <col min="14082" max="14082" width="2.3984375" style="9" customWidth="1"/>
    <col min="14083" max="14111" width="2.5" style="9" customWidth="1"/>
    <col min="14112" max="14112" width="1.59765625" style="9" customWidth="1"/>
    <col min="14113" max="14114" width="2.59765625" style="9" customWidth="1"/>
    <col min="14115" max="14115" width="3.8984375" style="9" customWidth="1"/>
    <col min="14116" max="14335" width="9" style="9" customWidth="1"/>
    <col min="14336" max="14337" width="2.5" style="9" customWidth="1"/>
    <col min="14338" max="14338" width="2.3984375" style="9" customWidth="1"/>
    <col min="14339" max="14367" width="2.5" style="9" customWidth="1"/>
    <col min="14368" max="14368" width="1.59765625" style="9" customWidth="1"/>
    <col min="14369" max="14370" width="2.59765625" style="9" customWidth="1"/>
    <col min="14371" max="14371" width="3.8984375" style="9" customWidth="1"/>
    <col min="14372" max="14591" width="9" style="9" customWidth="1"/>
    <col min="14592" max="14593" width="2.5" style="9" customWidth="1"/>
    <col min="14594" max="14594" width="2.3984375" style="9" customWidth="1"/>
    <col min="14595" max="14623" width="2.5" style="9" customWidth="1"/>
    <col min="14624" max="14624" width="1.59765625" style="9" customWidth="1"/>
    <col min="14625" max="14626" width="2.59765625" style="9" customWidth="1"/>
    <col min="14627" max="14627" width="3.8984375" style="9" customWidth="1"/>
    <col min="14628" max="14847" width="9" style="9" customWidth="1"/>
    <col min="14848" max="14849" width="2.5" style="9" customWidth="1"/>
    <col min="14850" max="14850" width="2.3984375" style="9" customWidth="1"/>
    <col min="14851" max="14879" width="2.5" style="9" customWidth="1"/>
    <col min="14880" max="14880" width="1.59765625" style="9" customWidth="1"/>
    <col min="14881" max="14882" width="2.59765625" style="9" customWidth="1"/>
    <col min="14883" max="14883" width="3.8984375" style="9" customWidth="1"/>
    <col min="14884" max="15103" width="9" style="9" customWidth="1"/>
    <col min="15104" max="15105" width="2.5" style="9" customWidth="1"/>
    <col min="15106" max="15106" width="2.3984375" style="9" customWidth="1"/>
    <col min="15107" max="15135" width="2.5" style="9" customWidth="1"/>
    <col min="15136" max="15136" width="1.59765625" style="9" customWidth="1"/>
    <col min="15137" max="15138" width="2.59765625" style="9" customWidth="1"/>
    <col min="15139" max="15139" width="3.8984375" style="9" customWidth="1"/>
    <col min="15140" max="15359" width="9" style="9" customWidth="1"/>
    <col min="15360" max="15361" width="2.5" style="9" customWidth="1"/>
    <col min="15362" max="15362" width="2.3984375" style="9" customWidth="1"/>
    <col min="15363" max="15391" width="2.5" style="9" customWidth="1"/>
    <col min="15392" max="15392" width="1.59765625" style="9" customWidth="1"/>
    <col min="15393" max="15394" width="2.59765625" style="9" customWidth="1"/>
    <col min="15395" max="15395" width="3.8984375" style="9" customWidth="1"/>
    <col min="15396" max="15615" width="9" style="9" customWidth="1"/>
    <col min="15616" max="15617" width="2.5" style="9" customWidth="1"/>
    <col min="15618" max="15618" width="2.3984375" style="9" customWidth="1"/>
    <col min="15619" max="15647" width="2.5" style="9" customWidth="1"/>
    <col min="15648" max="15648" width="1.59765625" style="9" customWidth="1"/>
    <col min="15649" max="15650" width="2.59765625" style="9" customWidth="1"/>
    <col min="15651" max="15651" width="3.8984375" style="9" customWidth="1"/>
    <col min="15652" max="15871" width="9" style="9" customWidth="1"/>
    <col min="15872" max="15873" width="2.5" style="9" customWidth="1"/>
    <col min="15874" max="15874" width="2.3984375" style="9" customWidth="1"/>
    <col min="15875" max="15903" width="2.5" style="9" customWidth="1"/>
    <col min="15904" max="15904" width="1.59765625" style="9" customWidth="1"/>
    <col min="15905" max="15906" width="2.59765625" style="9" customWidth="1"/>
    <col min="15907" max="15907" width="3.8984375" style="9" customWidth="1"/>
    <col min="15908" max="16127" width="9" style="9" customWidth="1"/>
    <col min="16128" max="16129" width="2.5" style="9" customWidth="1"/>
    <col min="16130" max="16130" width="2.3984375" style="9" customWidth="1"/>
    <col min="16131" max="16159" width="2.5" style="9" customWidth="1"/>
    <col min="16160" max="16160" width="1.59765625" style="9" customWidth="1"/>
    <col min="16161" max="16162" width="2.59765625" style="9" customWidth="1"/>
    <col min="16163" max="16163" width="3.8984375" style="9" customWidth="1"/>
    <col min="16164" max="16384" width="9" style="9" customWidth="1"/>
  </cols>
  <sheetData>
    <row r="1" ht="27" customHeight="1" spans="1:36" x14ac:dyDescent="0.25">
      <c r="A1" s="469" t="s">
        <v>170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9" t="s">
        <v>40</v>
      </c>
    </row>
    <row r="2" ht="12" customHeight="1" spans="1:35" x14ac:dyDescent="0.25">
      <c r="A2" s="175" t="s">
        <v>26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</row>
    <row r="3" ht="4.5" customHeight="1" spans="1:35" x14ac:dyDescent="0.25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</row>
    <row r="4" ht="27.6" customHeight="1" spans="1:35" x14ac:dyDescent="0.25">
      <c r="A4" s="187" t="s">
        <v>171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 ht="6" customHeight="1" spans="1:35" x14ac:dyDescent="0.25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</row>
    <row r="6" ht="13.5" customHeight="1" spans="1:35" s="15" customFormat="1" x14ac:dyDescent="0.25">
      <c r="A6" s="40" t="s">
        <v>172</v>
      </c>
      <c r="B6" s="40"/>
      <c r="C6" s="40"/>
      <c r="D6" s="241" t="s">
        <v>3</v>
      </c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 t="s">
        <v>145</v>
      </c>
      <c r="P6" s="40"/>
      <c r="Q6" s="40"/>
      <c r="R6" s="145" t="str">
        <f>'Final Work'!G4</f>
        <v>0148N &amp; 0149S</v>
      </c>
      <c r="S6" s="145"/>
      <c r="T6" s="145"/>
      <c r="U6" s="145"/>
      <c r="V6" s="145"/>
      <c r="W6" s="145"/>
      <c r="X6" s="40"/>
      <c r="Y6" s="145" t="s">
        <v>5</v>
      </c>
      <c r="Z6" s="145"/>
      <c r="AA6" s="145"/>
      <c r="AB6" s="471">
        <f>'Final Work'!L4</f>
        <v>46223</v>
      </c>
      <c r="AC6" s="280"/>
      <c r="AD6" s="280"/>
      <c r="AE6" s="280"/>
      <c r="AF6" s="280"/>
      <c r="AG6" s="280"/>
      <c r="AH6" s="280"/>
      <c r="AI6" s="280"/>
    </row>
    <row r="7" ht="6" customHeight="1" spans="1:35" s="15" customFormat="1" x14ac:dyDescent="0.25">
      <c r="A7" s="297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</row>
    <row r="8" ht="13.5" customHeight="1" spans="1:35" s="15" customFormat="1" x14ac:dyDescent="0.25">
      <c r="A8" s="138" t="s">
        <v>173</v>
      </c>
      <c r="B8" s="138"/>
      <c r="C8" s="138"/>
      <c r="D8" s="296" t="s">
        <v>174</v>
      </c>
      <c r="E8" s="296"/>
      <c r="F8" s="296"/>
      <c r="G8" s="296"/>
      <c r="H8" s="296"/>
      <c r="I8" s="296"/>
      <c r="J8" s="138"/>
      <c r="K8" s="138"/>
      <c r="L8" s="40"/>
      <c r="M8" s="40"/>
      <c r="N8" s="40"/>
      <c r="O8" s="296" t="s">
        <v>7</v>
      </c>
      <c r="P8" s="138"/>
      <c r="Q8" s="138"/>
      <c r="R8" s="297">
        <f>'Final Work'!G6</f>
        <v>6</v>
      </c>
      <c r="S8" s="297"/>
      <c r="T8" s="297"/>
      <c r="U8" s="297"/>
      <c r="V8" s="297"/>
      <c r="W8" s="297"/>
      <c r="X8" s="138"/>
      <c r="Y8" s="297" t="s">
        <v>175</v>
      </c>
      <c r="Z8" s="297"/>
      <c r="AA8" s="297"/>
      <c r="AB8" s="297" t="s">
        <v>26</v>
      </c>
      <c r="AC8" s="297"/>
      <c r="AD8" s="297"/>
      <c r="AE8" s="297"/>
      <c r="AF8" s="297"/>
      <c r="AG8" s="297"/>
      <c r="AH8" s="297"/>
      <c r="AI8" s="297"/>
    </row>
    <row r="9" ht="4.5" customHeight="1" spans="1:35" x14ac:dyDescent="0.25">
      <c r="A9" s="472"/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2"/>
      <c r="AE9" s="472"/>
      <c r="AF9" s="472"/>
      <c r="AG9" s="472"/>
      <c r="AH9" s="472"/>
      <c r="AI9" s="472"/>
    </row>
    <row r="10" ht="17.1" customHeight="1" spans="1:35" s="40" customFormat="1" x14ac:dyDescent="0.25">
      <c r="A10" s="473" t="s">
        <v>176</v>
      </c>
      <c r="B10" s="474"/>
      <c r="C10" s="474"/>
      <c r="D10" s="474"/>
      <c r="E10" s="474"/>
      <c r="F10" s="474"/>
      <c r="G10" s="474"/>
      <c r="H10" s="475" t="s">
        <v>135</v>
      </c>
      <c r="I10" s="28"/>
      <c r="J10" s="28"/>
      <c r="K10" s="28"/>
      <c r="L10" s="28"/>
      <c r="M10" s="28"/>
      <c r="N10" s="28"/>
      <c r="O10" s="30"/>
      <c r="P10" s="475" t="s">
        <v>134</v>
      </c>
      <c r="Q10" s="28"/>
      <c r="R10" s="28"/>
      <c r="S10" s="28"/>
      <c r="T10" s="28"/>
      <c r="U10" s="28"/>
      <c r="V10" s="28"/>
      <c r="W10" s="30"/>
      <c r="X10" s="27" t="s">
        <v>137</v>
      </c>
      <c r="Y10" s="28"/>
      <c r="Z10" s="30"/>
      <c r="AA10" s="27" t="s">
        <v>56</v>
      </c>
      <c r="AB10" s="28"/>
      <c r="AC10" s="28"/>
      <c r="AD10" s="28"/>
      <c r="AE10" s="28"/>
      <c r="AF10" s="28"/>
      <c r="AG10" s="28"/>
      <c r="AH10" s="28"/>
      <c r="AI10" s="30"/>
    </row>
    <row r="11" ht="17.1" customHeight="1" spans="1:35" s="40" customFormat="1" x14ac:dyDescent="0.25">
      <c r="A11" s="476" t="s">
        <v>177</v>
      </c>
      <c r="B11" s="477"/>
      <c r="C11" s="477"/>
      <c r="D11" s="477"/>
      <c r="E11" s="477"/>
      <c r="F11" s="477"/>
      <c r="G11" s="477"/>
      <c r="H11" s="37" t="s">
        <v>14</v>
      </c>
      <c r="I11" s="35"/>
      <c r="J11" s="35" t="s">
        <v>15</v>
      </c>
      <c r="K11" s="35"/>
      <c r="L11" s="35" t="s">
        <v>178</v>
      </c>
      <c r="M11" s="35"/>
      <c r="N11" s="35" t="s">
        <v>17</v>
      </c>
      <c r="O11" s="478"/>
      <c r="P11" s="37" t="s">
        <v>14</v>
      </c>
      <c r="Q11" s="35"/>
      <c r="R11" s="35" t="s">
        <v>15</v>
      </c>
      <c r="S11" s="35"/>
      <c r="T11" s="35" t="s">
        <v>178</v>
      </c>
      <c r="U11" s="35"/>
      <c r="V11" s="35" t="s">
        <v>17</v>
      </c>
      <c r="W11" s="478"/>
      <c r="X11" s="39"/>
      <c r="Y11" s="35"/>
      <c r="Z11" s="478"/>
      <c r="AA11" s="39"/>
      <c r="AB11" s="35"/>
      <c r="AC11" s="35"/>
      <c r="AD11" s="35"/>
      <c r="AE11" s="35"/>
      <c r="AF11" s="35"/>
      <c r="AG11" s="35"/>
      <c r="AH11" s="35"/>
      <c r="AI11" s="478"/>
    </row>
    <row r="12" ht="17.1" customHeight="1" spans="1:35" s="40" customFormat="1" x14ac:dyDescent="0.25">
      <c r="A12" s="479" t="s">
        <v>179</v>
      </c>
      <c r="B12" s="480"/>
      <c r="C12" s="481"/>
      <c r="D12" s="254"/>
      <c r="E12" s="255"/>
      <c r="F12" s="255"/>
      <c r="G12" s="482"/>
      <c r="H12" s="483"/>
      <c r="I12" s="150"/>
      <c r="J12" s="484"/>
      <c r="K12" s="150"/>
      <c r="L12" s="484"/>
      <c r="M12" s="150"/>
      <c r="N12" s="484"/>
      <c r="O12" s="482"/>
      <c r="P12" s="483"/>
      <c r="Q12" s="150"/>
      <c r="R12" s="484"/>
      <c r="S12" s="150"/>
      <c r="T12" s="484"/>
      <c r="U12" s="150"/>
      <c r="V12" s="484"/>
      <c r="W12" s="482"/>
      <c r="X12" s="483">
        <f t="shared" ref="X12:X17" si="0">SUM(H12:W12)</f>
        <v>51</v>
      </c>
      <c r="Y12" s="485"/>
      <c r="Z12" s="486"/>
      <c r="AA12" s="487" t="s">
        <v>180</v>
      </c>
      <c r="AB12" s="488"/>
      <c r="AC12" s="488"/>
      <c r="AD12" s="488"/>
      <c r="AE12" s="488"/>
      <c r="AF12" s="488"/>
      <c r="AG12" s="488"/>
      <c r="AH12" s="488"/>
      <c r="AI12" s="489"/>
    </row>
    <row r="13" ht="17.1" customHeight="1" spans="1:35" s="40" customFormat="1" x14ac:dyDescent="0.25">
      <c r="A13" s="490"/>
      <c r="B13" s="491"/>
      <c r="C13" s="492"/>
      <c r="D13" s="405"/>
      <c r="E13" s="284"/>
      <c r="F13" s="284"/>
      <c r="G13" s="493"/>
      <c r="H13" s="494"/>
      <c r="I13" s="155"/>
      <c r="J13" s="495"/>
      <c r="K13" s="155"/>
      <c r="L13" s="495"/>
      <c r="M13" s="155"/>
      <c r="N13" s="495"/>
      <c r="O13" s="493"/>
      <c r="P13" s="494"/>
      <c r="Q13" s="155"/>
      <c r="R13" s="495"/>
      <c r="S13" s="155"/>
      <c r="T13" s="495"/>
      <c r="U13" s="155"/>
      <c r="V13" s="495"/>
      <c r="W13" s="493"/>
      <c r="X13" s="494">
        <f t="shared" si="0"/>
        <v>68</v>
      </c>
      <c r="Y13" s="496"/>
      <c r="Z13" s="497"/>
      <c r="AA13" s="498" t="s">
        <v>181</v>
      </c>
      <c r="AB13" s="499"/>
      <c r="AC13" s="499"/>
      <c r="AD13" s="499"/>
      <c r="AE13" s="499"/>
      <c r="AF13" s="499"/>
      <c r="AG13" s="499"/>
      <c r="AH13" s="499"/>
      <c r="AI13" s="500"/>
    </row>
    <row r="14" ht="17.1" customHeight="1" spans="1:35" s="40" customFormat="1" x14ac:dyDescent="0.25">
      <c r="A14" s="490"/>
      <c r="B14" s="491"/>
      <c r="C14" s="492"/>
      <c r="D14" s="405"/>
      <c r="E14" s="284"/>
      <c r="F14" s="284"/>
      <c r="G14" s="493"/>
      <c r="H14" s="494"/>
      <c r="I14" s="155"/>
      <c r="J14" s="495"/>
      <c r="K14" s="155"/>
      <c r="L14" s="495"/>
      <c r="M14" s="155"/>
      <c r="N14" s="495"/>
      <c r="O14" s="493"/>
      <c r="P14" s="494"/>
      <c r="Q14" s="155"/>
      <c r="R14" s="495"/>
      <c r="S14" s="155"/>
      <c r="T14" s="495"/>
      <c r="U14" s="155"/>
      <c r="V14" s="495"/>
      <c r="W14" s="493"/>
      <c r="X14" s="494">
        <f t="shared" si="0"/>
        <v>96</v>
      </c>
      <c r="Y14" s="496"/>
      <c r="Z14" s="497"/>
      <c r="AA14" s="498" t="s">
        <v>182</v>
      </c>
      <c r="AB14" s="499"/>
      <c r="AC14" s="499"/>
      <c r="AD14" s="499"/>
      <c r="AE14" s="499"/>
      <c r="AF14" s="499"/>
      <c r="AG14" s="499"/>
      <c r="AH14" s="499"/>
      <c r="AI14" s="500"/>
    </row>
    <row r="15" ht="17.1" customHeight="1" spans="1:35" s="40" customFormat="1" x14ac:dyDescent="0.25">
      <c r="A15" s="490"/>
      <c r="B15" s="491"/>
      <c r="C15" s="492"/>
      <c r="D15" s="405"/>
      <c r="E15" s="284"/>
      <c r="F15" s="284"/>
      <c r="G15" s="493"/>
      <c r="H15" s="494"/>
      <c r="I15" s="155"/>
      <c r="J15" s="495"/>
      <c r="K15" s="155"/>
      <c r="L15" s="495"/>
      <c r="M15" s="155"/>
      <c r="N15" s="495"/>
      <c r="O15" s="493"/>
      <c r="P15" s="494"/>
      <c r="Q15" s="155"/>
      <c r="R15" s="495"/>
      <c r="S15" s="155"/>
      <c r="T15" s="495"/>
      <c r="U15" s="155"/>
      <c r="V15" s="495"/>
      <c r="W15" s="493"/>
      <c r="X15" s="494">
        <f t="shared" si="0"/>
        <v>41</v>
      </c>
      <c r="Y15" s="496"/>
      <c r="Z15" s="497"/>
      <c r="AA15" s="501" t="s">
        <v>183</v>
      </c>
      <c r="AB15" s="502"/>
      <c r="AC15" s="502"/>
      <c r="AD15" s="502"/>
      <c r="AE15" s="502"/>
      <c r="AF15" s="502"/>
      <c r="AG15" s="502"/>
      <c r="AH15" s="502"/>
      <c r="AI15" s="503"/>
    </row>
    <row r="16" ht="17.1" customHeight="1" spans="1:35" s="40" customFormat="1" x14ac:dyDescent="0.25">
      <c r="A16" s="490"/>
      <c r="B16" s="491"/>
      <c r="C16" s="492"/>
      <c r="D16" s="405"/>
      <c r="E16" s="284"/>
      <c r="F16" s="284"/>
      <c r="G16" s="493"/>
      <c r="H16" s="494"/>
      <c r="I16" s="155"/>
      <c r="J16" s="495"/>
      <c r="K16" s="155"/>
      <c r="L16" s="495"/>
      <c r="M16" s="155"/>
      <c r="N16" s="495"/>
      <c r="O16" s="493"/>
      <c r="P16" s="494"/>
      <c r="Q16" s="155"/>
      <c r="R16" s="495"/>
      <c r="S16" s="155"/>
      <c r="T16" s="495"/>
      <c r="U16" s="155"/>
      <c r="V16" s="495"/>
      <c r="W16" s="493"/>
      <c r="X16" s="494">
        <f t="shared" si="0"/>
        <v>0</v>
      </c>
      <c r="Y16" s="496"/>
      <c r="Z16" s="497"/>
      <c r="AA16" s="501"/>
      <c r="AB16" s="502"/>
      <c r="AC16" s="502"/>
      <c r="AD16" s="502"/>
      <c r="AE16" s="502"/>
      <c r="AF16" s="502"/>
      <c r="AG16" s="502"/>
      <c r="AH16" s="502"/>
      <c r="AI16" s="503"/>
    </row>
    <row r="17" ht="17.1" customHeight="1" spans="1:35" s="40" customFormat="1" x14ac:dyDescent="0.25">
      <c r="A17" s="490"/>
      <c r="B17" s="491"/>
      <c r="C17" s="492"/>
      <c r="D17" s="504"/>
      <c r="E17" s="36"/>
      <c r="F17" s="36"/>
      <c r="G17" s="38"/>
      <c r="H17" s="505"/>
      <c r="I17" s="39"/>
      <c r="J17" s="506"/>
      <c r="K17" s="39"/>
      <c r="L17" s="506"/>
      <c r="M17" s="39"/>
      <c r="N17" s="506"/>
      <c r="O17" s="38"/>
      <c r="P17" s="505"/>
      <c r="Q17" s="39"/>
      <c r="R17" s="506"/>
      <c r="S17" s="39"/>
      <c r="T17" s="506"/>
      <c r="U17" s="39"/>
      <c r="V17" s="506"/>
      <c r="W17" s="38"/>
      <c r="X17" s="505">
        <f t="shared" si="0"/>
        <v>0</v>
      </c>
      <c r="Y17" s="507"/>
      <c r="Z17" s="508"/>
      <c r="AA17" s="509"/>
      <c r="AB17" s="510"/>
      <c r="AC17" s="510"/>
      <c r="AD17" s="510"/>
      <c r="AE17" s="510"/>
      <c r="AF17" s="510"/>
      <c r="AG17" s="510"/>
      <c r="AH17" s="510"/>
      <c r="AI17" s="511"/>
    </row>
    <row r="18" ht="17.1" customHeight="1" spans="1:35" s="40" customFormat="1" x14ac:dyDescent="0.25">
      <c r="A18" s="512"/>
      <c r="B18" s="513"/>
      <c r="C18" s="514"/>
      <c r="D18" s="515" t="s">
        <v>184</v>
      </c>
      <c r="E18" s="516"/>
      <c r="F18" s="516"/>
      <c r="G18" s="517"/>
      <c r="H18" s="518">
        <f>SUM(H12:I17)</f>
        <v>93</v>
      </c>
      <c r="I18" s="519"/>
      <c r="J18" s="520">
        <f>SUM(J12:K17)</f>
        <v>0</v>
      </c>
      <c r="K18" s="519"/>
      <c r="L18" s="520">
        <f>SUM(L12:M17)</f>
        <v>163</v>
      </c>
      <c r="M18" s="519"/>
      <c r="N18" s="520">
        <f>SUM(N12:O17)</f>
        <v>0</v>
      </c>
      <c r="O18" s="521"/>
      <c r="P18" s="518">
        <f>SUM(P12:Q17)</f>
        <v>0</v>
      </c>
      <c r="Q18" s="519"/>
      <c r="R18" s="520">
        <f>SUM(R12:S17)</f>
        <v>0</v>
      </c>
      <c r="S18" s="519"/>
      <c r="T18" s="520">
        <f>SUM(T12:U17)</f>
        <v>0</v>
      </c>
      <c r="U18" s="519"/>
      <c r="V18" s="520">
        <f>SUM(V12:W17)</f>
        <v>0</v>
      </c>
      <c r="W18" s="521"/>
      <c r="X18" s="522">
        <f t="shared" ref="X18" si="1">SUM(H18:W18)</f>
        <v>256</v>
      </c>
      <c r="Y18" s="523"/>
      <c r="Z18" s="524"/>
      <c r="AA18" s="525"/>
      <c r="AB18" s="526"/>
      <c r="AC18" s="526"/>
      <c r="AD18" s="526"/>
      <c r="AE18" s="526"/>
      <c r="AF18" s="526"/>
      <c r="AG18" s="526"/>
      <c r="AH18" s="526"/>
      <c r="AI18" s="527"/>
    </row>
    <row r="19" ht="17.1" customHeight="1" spans="1:35" s="40" customFormat="1" x14ac:dyDescent="0.25">
      <c r="A19" s="21" t="s">
        <v>185</v>
      </c>
      <c r="B19" s="528"/>
      <c r="C19" s="529"/>
      <c r="D19" s="164"/>
      <c r="E19" s="253"/>
      <c r="F19" s="253"/>
      <c r="G19" s="530"/>
      <c r="H19" s="531"/>
      <c r="I19" s="27"/>
      <c r="J19" s="532"/>
      <c r="K19" s="27"/>
      <c r="L19" s="532"/>
      <c r="M19" s="27"/>
      <c r="N19" s="532"/>
      <c r="O19" s="26"/>
      <c r="P19" s="531"/>
      <c r="Q19" s="27"/>
      <c r="R19" s="532"/>
      <c r="S19" s="27"/>
      <c r="T19" s="532"/>
      <c r="U19" s="27"/>
      <c r="V19" s="532"/>
      <c r="W19" s="26"/>
      <c r="X19" s="533">
        <f t="shared" ref="X19:X25" si="2">SUM(H19:W19)</f>
        <v>60</v>
      </c>
      <c r="Y19" s="534"/>
      <c r="Z19" s="535"/>
      <c r="AA19" s="536" t="s">
        <v>186</v>
      </c>
      <c r="AB19" s="537"/>
      <c r="AC19" s="537"/>
      <c r="AD19" s="537"/>
      <c r="AE19" s="537"/>
      <c r="AF19" s="537"/>
      <c r="AG19" s="537"/>
      <c r="AH19" s="537"/>
      <c r="AI19" s="538"/>
    </row>
    <row r="20" ht="17.1" customHeight="1" spans="1:35" s="40" customFormat="1" x14ac:dyDescent="0.25">
      <c r="A20" s="490"/>
      <c r="B20" s="491"/>
      <c r="C20" s="492"/>
      <c r="D20" s="405"/>
      <c r="E20" s="284"/>
      <c r="F20" s="284"/>
      <c r="G20" s="493"/>
      <c r="H20" s="494"/>
      <c r="I20" s="155"/>
      <c r="J20" s="495"/>
      <c r="K20" s="155"/>
      <c r="L20" s="495"/>
      <c r="M20" s="155"/>
      <c r="N20" s="495"/>
      <c r="O20" s="493"/>
      <c r="P20" s="494"/>
      <c r="Q20" s="155"/>
      <c r="R20" s="495"/>
      <c r="S20" s="155"/>
      <c r="T20" s="495"/>
      <c r="U20" s="155"/>
      <c r="V20" s="495"/>
      <c r="W20" s="493"/>
      <c r="X20" s="494">
        <f t="shared" si="2"/>
        <v>110</v>
      </c>
      <c r="Y20" s="496"/>
      <c r="Z20" s="497"/>
      <c r="AA20" s="539"/>
      <c r="AB20" s="540"/>
      <c r="AC20" s="540"/>
      <c r="AD20" s="540"/>
      <c r="AE20" s="540"/>
      <c r="AF20" s="540"/>
      <c r="AG20" s="540"/>
      <c r="AH20" s="540"/>
      <c r="AI20" s="541"/>
    </row>
    <row r="21" ht="17.1" customHeight="1" spans="1:35" s="40" customFormat="1" x14ac:dyDescent="0.25">
      <c r="A21" s="490"/>
      <c r="B21" s="491"/>
      <c r="C21" s="492"/>
      <c r="D21" s="405"/>
      <c r="E21" s="284"/>
      <c r="F21" s="284"/>
      <c r="G21" s="493"/>
      <c r="H21" s="494"/>
      <c r="I21" s="155"/>
      <c r="J21" s="495"/>
      <c r="K21" s="155"/>
      <c r="L21" s="495"/>
      <c r="M21" s="155"/>
      <c r="N21" s="495"/>
      <c r="O21" s="493"/>
      <c r="P21" s="494"/>
      <c r="Q21" s="155"/>
      <c r="R21" s="495"/>
      <c r="S21" s="155"/>
      <c r="T21" s="495"/>
      <c r="U21" s="155"/>
      <c r="V21" s="495"/>
      <c r="W21" s="493"/>
      <c r="X21" s="494">
        <f t="shared" si="2"/>
        <v>32</v>
      </c>
      <c r="Y21" s="496"/>
      <c r="Z21" s="497"/>
      <c r="AA21" s="539" t="s">
        <v>187</v>
      </c>
      <c r="AB21" s="540"/>
      <c r="AC21" s="540"/>
      <c r="AD21" s="540"/>
      <c r="AE21" s="540"/>
      <c r="AF21" s="540"/>
      <c r="AG21" s="540"/>
      <c r="AH21" s="540"/>
      <c r="AI21" s="541"/>
    </row>
    <row r="22" ht="17.1" customHeight="1" spans="1:35" s="40" customFormat="1" x14ac:dyDescent="0.25">
      <c r="A22" s="490"/>
      <c r="B22" s="491"/>
      <c r="C22" s="492"/>
      <c r="D22" s="405"/>
      <c r="E22" s="284"/>
      <c r="F22" s="284"/>
      <c r="G22" s="493"/>
      <c r="H22" s="494"/>
      <c r="I22" s="155"/>
      <c r="J22" s="495"/>
      <c r="K22" s="155"/>
      <c r="L22" s="495"/>
      <c r="M22" s="155"/>
      <c r="N22" s="495"/>
      <c r="O22" s="493"/>
      <c r="P22" s="494"/>
      <c r="Q22" s="155"/>
      <c r="R22" s="495"/>
      <c r="S22" s="155"/>
      <c r="T22" s="495"/>
      <c r="U22" s="155"/>
      <c r="V22" s="495"/>
      <c r="W22" s="493"/>
      <c r="X22" s="494">
        <f t="shared" si="2"/>
        <v>39</v>
      </c>
      <c r="Y22" s="496"/>
      <c r="Z22" s="497"/>
      <c r="AA22" s="539" t="s">
        <v>188</v>
      </c>
      <c r="AB22" s="540"/>
      <c r="AC22" s="540"/>
      <c r="AD22" s="540"/>
      <c r="AE22" s="540"/>
      <c r="AF22" s="540"/>
      <c r="AG22" s="540"/>
      <c r="AH22" s="540"/>
      <c r="AI22" s="541"/>
    </row>
    <row r="23" ht="17.1" customHeight="1" spans="1:35" s="40" customFormat="1" x14ac:dyDescent="0.25">
      <c r="A23" s="490"/>
      <c r="B23" s="491"/>
      <c r="C23" s="492"/>
      <c r="D23" s="405"/>
      <c r="E23" s="284"/>
      <c r="F23" s="284"/>
      <c r="G23" s="493"/>
      <c r="H23" s="494"/>
      <c r="I23" s="155"/>
      <c r="J23" s="495"/>
      <c r="K23" s="155"/>
      <c r="L23" s="495"/>
      <c r="M23" s="155"/>
      <c r="N23" s="495"/>
      <c r="O23" s="493"/>
      <c r="P23" s="494"/>
      <c r="Q23" s="155"/>
      <c r="R23" s="495"/>
      <c r="S23" s="155"/>
      <c r="T23" s="495"/>
      <c r="U23" s="155"/>
      <c r="V23" s="495"/>
      <c r="W23" s="493"/>
      <c r="X23" s="494">
        <f t="shared" si="2"/>
        <v>0</v>
      </c>
      <c r="Y23" s="496"/>
      <c r="Z23" s="497"/>
      <c r="AA23" s="539"/>
      <c r="AB23" s="540"/>
      <c r="AC23" s="540"/>
      <c r="AD23" s="540"/>
      <c r="AE23" s="540"/>
      <c r="AF23" s="540"/>
      <c r="AG23" s="540"/>
      <c r="AH23" s="540"/>
      <c r="AI23" s="541"/>
    </row>
    <row r="24" ht="17.1" customHeight="1" spans="1:35" s="40" customFormat="1" x14ac:dyDescent="0.25">
      <c r="A24" s="490"/>
      <c r="B24" s="491"/>
      <c r="C24" s="492"/>
      <c r="D24" s="405"/>
      <c r="E24" s="284"/>
      <c r="F24" s="284"/>
      <c r="G24" s="493"/>
      <c r="H24" s="494"/>
      <c r="I24" s="155"/>
      <c r="J24" s="495"/>
      <c r="K24" s="155"/>
      <c r="L24" s="495"/>
      <c r="M24" s="155"/>
      <c r="N24" s="495"/>
      <c r="O24" s="493"/>
      <c r="P24" s="494"/>
      <c r="Q24" s="155"/>
      <c r="R24" s="495"/>
      <c r="S24" s="155"/>
      <c r="T24" s="495"/>
      <c r="U24" s="155"/>
      <c r="V24" s="495"/>
      <c r="W24" s="493"/>
      <c r="X24" s="494">
        <f t="shared" si="2"/>
        <v>0</v>
      </c>
      <c r="Y24" s="496"/>
      <c r="Z24" s="497"/>
      <c r="AA24" s="539"/>
      <c r="AB24" s="540"/>
      <c r="AC24" s="540"/>
      <c r="AD24" s="540"/>
      <c r="AE24" s="540"/>
      <c r="AF24" s="540"/>
      <c r="AG24" s="540"/>
      <c r="AH24" s="540"/>
      <c r="AI24" s="541"/>
    </row>
    <row r="25" ht="17.1" customHeight="1" hidden="1" spans="1:35" s="40" customFormat="1" x14ac:dyDescent="0.25">
      <c r="A25" s="490"/>
      <c r="B25" s="491"/>
      <c r="C25" s="492"/>
      <c r="D25" s="542"/>
      <c r="E25" s="543"/>
      <c r="F25" s="543"/>
      <c r="G25" s="544"/>
      <c r="H25" s="505"/>
      <c r="I25" s="39"/>
      <c r="J25" s="506"/>
      <c r="K25" s="39"/>
      <c r="L25" s="506"/>
      <c r="M25" s="39"/>
      <c r="N25" s="506"/>
      <c r="O25" s="38"/>
      <c r="P25" s="505"/>
      <c r="Q25" s="39"/>
      <c r="R25" s="506"/>
      <c r="S25" s="39"/>
      <c r="T25" s="506"/>
      <c r="U25" s="39"/>
      <c r="V25" s="506"/>
      <c r="W25" s="38"/>
      <c r="X25" s="505">
        <f t="shared" si="2"/>
        <v>0</v>
      </c>
      <c r="Y25" s="507"/>
      <c r="Z25" s="508"/>
      <c r="AA25" s="545"/>
      <c r="AB25" s="546"/>
      <c r="AC25" s="546"/>
      <c r="AD25" s="546"/>
      <c r="AE25" s="546"/>
      <c r="AF25" s="546"/>
      <c r="AG25" s="546"/>
      <c r="AH25" s="546"/>
      <c r="AI25" s="547"/>
    </row>
    <row r="26" ht="17.1" customHeight="1" spans="1:35" s="40" customFormat="1" x14ac:dyDescent="0.25">
      <c r="A26" s="512"/>
      <c r="B26" s="513"/>
      <c r="C26" s="514"/>
      <c r="D26" s="515" t="s">
        <v>184</v>
      </c>
      <c r="E26" s="516"/>
      <c r="F26" s="516"/>
      <c r="G26" s="517"/>
      <c r="H26" s="518">
        <f>SUM(H19:I25)</f>
        <v>91</v>
      </c>
      <c r="I26" s="519"/>
      <c r="J26" s="520">
        <f>SUM(J19:K25)</f>
        <v>0</v>
      </c>
      <c r="K26" s="519"/>
      <c r="L26" s="520">
        <f>SUM(L19:M25)</f>
        <v>39</v>
      </c>
      <c r="M26" s="519"/>
      <c r="N26" s="520">
        <f>SUM(N19:O25)</f>
        <v>0</v>
      </c>
      <c r="O26" s="521"/>
      <c r="P26" s="518">
        <f>SUM(P19:Q25)</f>
        <v>1</v>
      </c>
      <c r="Q26" s="519"/>
      <c r="R26" s="520">
        <f>SUM(R19:S25)</f>
        <v>0</v>
      </c>
      <c r="S26" s="519"/>
      <c r="T26" s="520">
        <f>SUM(T19:U25)</f>
        <v>110</v>
      </c>
      <c r="U26" s="519"/>
      <c r="V26" s="520">
        <f>SUM(V19:W25)</f>
        <v>0</v>
      </c>
      <c r="W26" s="521"/>
      <c r="X26" s="518">
        <f>SUM(X19:Z25)</f>
        <v>241</v>
      </c>
      <c r="Y26" s="548"/>
      <c r="Z26" s="521"/>
      <c r="AA26" s="525"/>
      <c r="AB26" s="526"/>
      <c r="AC26" s="526"/>
      <c r="AD26" s="526"/>
      <c r="AE26" s="526"/>
      <c r="AF26" s="526"/>
      <c r="AG26" s="526"/>
      <c r="AH26" s="526"/>
      <c r="AI26" s="527"/>
    </row>
    <row r="27" ht="17.1" customHeight="1" spans="1:35" s="40" customFormat="1" x14ac:dyDescent="0.25">
      <c r="A27" s="549" t="s">
        <v>189</v>
      </c>
      <c r="B27" s="550"/>
      <c r="C27" s="551"/>
      <c r="D27" s="29" t="s">
        <v>190</v>
      </c>
      <c r="E27" s="25"/>
      <c r="F27" s="25"/>
      <c r="G27" s="26"/>
      <c r="H27" s="531"/>
      <c r="I27" s="552"/>
      <c r="J27" s="532"/>
      <c r="K27" s="552"/>
      <c r="L27" s="532"/>
      <c r="M27" s="552"/>
      <c r="N27" s="532"/>
      <c r="O27" s="553"/>
      <c r="P27" s="531"/>
      <c r="Q27" s="552"/>
      <c r="R27" s="532"/>
      <c r="S27" s="552"/>
      <c r="T27" s="532"/>
      <c r="U27" s="552"/>
      <c r="V27" s="532"/>
      <c r="W27" s="553"/>
      <c r="X27" s="531"/>
      <c r="Y27" s="554"/>
      <c r="Z27" s="553"/>
      <c r="AA27" s="555"/>
      <c r="AB27" s="556"/>
      <c r="AC27" s="556"/>
      <c r="AD27" s="556"/>
      <c r="AE27" s="556"/>
      <c r="AF27" s="556"/>
      <c r="AG27" s="556"/>
      <c r="AH27" s="556"/>
      <c r="AI27" s="557"/>
    </row>
    <row r="28" ht="17.1" customHeight="1" spans="1:35" s="40" customFormat="1" x14ac:dyDescent="0.25">
      <c r="A28" s="558"/>
      <c r="B28" s="543"/>
      <c r="C28" s="407"/>
      <c r="D28" s="504" t="s">
        <v>190</v>
      </c>
      <c r="E28" s="36"/>
      <c r="F28" s="36"/>
      <c r="G28" s="38"/>
      <c r="H28" s="505"/>
      <c r="I28" s="559"/>
      <c r="J28" s="506"/>
      <c r="K28" s="559"/>
      <c r="L28" s="506"/>
      <c r="M28" s="559"/>
      <c r="N28" s="506"/>
      <c r="O28" s="508"/>
      <c r="P28" s="505"/>
      <c r="Q28" s="559"/>
      <c r="R28" s="506"/>
      <c r="S28" s="559"/>
      <c r="T28" s="506"/>
      <c r="U28" s="559"/>
      <c r="V28" s="506"/>
      <c r="W28" s="508"/>
      <c r="X28" s="505"/>
      <c r="Y28" s="507"/>
      <c r="Z28" s="508"/>
      <c r="AA28" s="560"/>
      <c r="AB28" s="561"/>
      <c r="AC28" s="561"/>
      <c r="AD28" s="561"/>
      <c r="AE28" s="561"/>
      <c r="AF28" s="561"/>
      <c r="AG28" s="561"/>
      <c r="AH28" s="561"/>
      <c r="AI28" s="562"/>
    </row>
    <row r="29" ht="17.1" customHeight="1" spans="1:35" s="40" customFormat="1" x14ac:dyDescent="0.25">
      <c r="A29" s="563" t="s">
        <v>191</v>
      </c>
      <c r="B29" s="516"/>
      <c r="C29" s="516"/>
      <c r="D29" s="516"/>
      <c r="E29" s="516"/>
      <c r="F29" s="516"/>
      <c r="G29" s="517"/>
      <c r="H29" s="518">
        <f>SUM(H18+H26+H27+H28)</f>
        <v>184</v>
      </c>
      <c r="I29" s="519"/>
      <c r="J29" s="520">
        <f>SUM(J18+J26+J27+J28)</f>
        <v>0</v>
      </c>
      <c r="K29" s="519"/>
      <c r="L29" s="520">
        <f>SUM(L18+L26+L27+L28)</f>
        <v>202</v>
      </c>
      <c r="M29" s="519"/>
      <c r="N29" s="520">
        <f>SUM(N18+N26+N27+N28)</f>
        <v>0</v>
      </c>
      <c r="O29" s="521"/>
      <c r="P29" s="518">
        <f>SUM(P18+P26+P27+P28)</f>
        <v>1</v>
      </c>
      <c r="Q29" s="519"/>
      <c r="R29" s="520">
        <f>SUM(R18+R26+R27+R28)</f>
        <v>0</v>
      </c>
      <c r="S29" s="519"/>
      <c r="T29" s="520">
        <f>SUM(T18+T26+T27+T28)</f>
        <v>110</v>
      </c>
      <c r="U29" s="519"/>
      <c r="V29" s="520">
        <f>SUM(V18+V26+V27+V28)</f>
        <v>0</v>
      </c>
      <c r="W29" s="521"/>
      <c r="X29" s="518">
        <f>SUM(X18+X26+X27+X28)</f>
        <v>497</v>
      </c>
      <c r="Y29" s="548"/>
      <c r="Z29" s="521"/>
      <c r="AA29" s="525"/>
      <c r="AB29" s="526"/>
      <c r="AC29" s="526"/>
      <c r="AD29" s="526"/>
      <c r="AE29" s="526"/>
      <c r="AF29" s="526"/>
      <c r="AG29" s="526"/>
      <c r="AH29" s="526"/>
      <c r="AI29" s="527"/>
    </row>
    <row r="30" ht="8.25" customHeight="1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564" t="s">
        <v>192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3.75" customHeight="1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1" customHeight="1" spans="1:35" x14ac:dyDescent="0.25">
      <c r="A33" s="565" t="s">
        <v>193</v>
      </c>
      <c r="B33" s="566"/>
      <c r="C33" s="566"/>
      <c r="D33" s="567"/>
      <c r="E33" s="568" t="s">
        <v>194</v>
      </c>
      <c r="F33" s="569"/>
      <c r="G33" s="569"/>
      <c r="H33" s="569"/>
      <c r="I33" s="569"/>
      <c r="J33" s="569"/>
      <c r="K33" s="569" t="s">
        <v>195</v>
      </c>
      <c r="L33" s="569"/>
      <c r="M33" s="569"/>
      <c r="N33" s="569"/>
      <c r="O33" s="569"/>
      <c r="P33" s="570"/>
      <c r="Q33" s="568" t="s">
        <v>196</v>
      </c>
      <c r="R33" s="569"/>
      <c r="S33" s="569"/>
      <c r="T33" s="569"/>
      <c r="U33" s="569"/>
      <c r="V33" s="570"/>
      <c r="W33" s="568" t="s">
        <v>56</v>
      </c>
      <c r="X33" s="569"/>
      <c r="Y33" s="569"/>
      <c r="Z33" s="569"/>
      <c r="AA33" s="569"/>
      <c r="AB33" s="569"/>
      <c r="AC33" s="569"/>
      <c r="AD33" s="569"/>
      <c r="AE33" s="569"/>
      <c r="AF33" s="569"/>
      <c r="AG33" s="569"/>
      <c r="AH33" s="569"/>
      <c r="AI33" s="570"/>
    </row>
    <row r="34" ht="15.75" customHeight="1" hidden="1" spans="1:35" s="571" customFormat="1" x14ac:dyDescent="0.25">
      <c r="A34" s="572" t="s">
        <v>197</v>
      </c>
      <c r="B34" s="573"/>
      <c r="C34" s="573"/>
      <c r="D34" s="574"/>
      <c r="E34" s="575">
        <v>0.3541666666678793</v>
      </c>
      <c r="F34" s="576"/>
      <c r="G34" s="576"/>
      <c r="H34" s="576"/>
      <c r="I34" s="576"/>
      <c r="J34" s="577"/>
      <c r="K34" s="576"/>
      <c r="L34" s="576"/>
      <c r="M34" s="576"/>
      <c r="N34" s="576"/>
      <c r="O34" s="576"/>
      <c r="P34" s="578"/>
      <c r="Q34" s="579"/>
      <c r="R34" s="580"/>
      <c r="S34" s="580"/>
      <c r="T34" s="580"/>
      <c r="U34" s="580"/>
      <c r="V34" s="581"/>
      <c r="W34" s="582" t="s">
        <v>198</v>
      </c>
      <c r="X34" s="583"/>
      <c r="Y34" s="583"/>
      <c r="Z34" s="583"/>
      <c r="AA34" s="583"/>
      <c r="AB34" s="583"/>
      <c r="AC34" s="583"/>
      <c r="AD34" s="583"/>
      <c r="AE34" s="583"/>
      <c r="AF34" s="583"/>
      <c r="AG34" s="583"/>
      <c r="AH34" s="583"/>
      <c r="AI34" s="584"/>
    </row>
    <row r="35" ht="15.75" customHeight="1" hidden="1" spans="1:35" s="571" customFormat="1" x14ac:dyDescent="0.25">
      <c r="A35" s="585" t="s">
        <v>199</v>
      </c>
      <c r="B35" s="586"/>
      <c r="C35" s="586"/>
      <c r="D35" s="587"/>
      <c r="E35" s="575">
        <v>0.3333333333321207</v>
      </c>
      <c r="F35" s="576"/>
      <c r="G35" s="576"/>
      <c r="H35" s="576"/>
      <c r="I35" s="576"/>
      <c r="J35" s="577"/>
      <c r="K35" s="576">
        <v>0.5</v>
      </c>
      <c r="L35" s="576"/>
      <c r="M35" s="576"/>
      <c r="N35" s="576"/>
      <c r="O35" s="576"/>
      <c r="P35" s="578"/>
      <c r="Q35" s="579">
        <f t="shared" ref="Q35:Q38" si="3">IF(AND(NOT(ISBLANK(K35)),NOT(ISBLANK(E35))), IF(K35&gt;E35,K35-E35,24-E35+K35), "")</f>
        <v>0.16666666666787933</v>
      </c>
      <c r="R35" s="580"/>
      <c r="S35" s="580"/>
      <c r="T35" s="580"/>
      <c r="U35" s="580"/>
      <c r="V35" s="581"/>
      <c r="W35" s="582" t="s">
        <v>200</v>
      </c>
      <c r="X35" s="583"/>
      <c r="Y35" s="583"/>
      <c r="Z35" s="583"/>
      <c r="AA35" s="583"/>
      <c r="AB35" s="583"/>
      <c r="AC35" s="583"/>
      <c r="AD35" s="583"/>
      <c r="AE35" s="583"/>
      <c r="AF35" s="583"/>
      <c r="AG35" s="583"/>
      <c r="AH35" s="583"/>
      <c r="AI35" s="584"/>
    </row>
    <row r="36" ht="15.75" customHeight="1" hidden="1" spans="1:35" s="571" customFormat="1" x14ac:dyDescent="0.25">
      <c r="A36" s="588"/>
      <c r="B36" s="54"/>
      <c r="C36" s="54"/>
      <c r="D36" s="55"/>
      <c r="E36" s="575">
        <v>0.5</v>
      </c>
      <c r="F36" s="576"/>
      <c r="G36" s="576"/>
      <c r="H36" s="576"/>
      <c r="I36" s="576"/>
      <c r="J36" s="577"/>
      <c r="K36" s="576">
        <v>0.5416666666678793</v>
      </c>
      <c r="L36" s="576"/>
      <c r="M36" s="576"/>
      <c r="N36" s="576"/>
      <c r="O36" s="576"/>
      <c r="P36" s="578"/>
      <c r="Q36" s="579">
        <f t="shared" si="3"/>
        <v>0.041666666667879326</v>
      </c>
      <c r="R36" s="580"/>
      <c r="S36" s="580"/>
      <c r="T36" s="580"/>
      <c r="U36" s="580"/>
      <c r="V36" s="581"/>
      <c r="W36" s="582" t="s">
        <v>201</v>
      </c>
      <c r="X36" s="583"/>
      <c r="Y36" s="583"/>
      <c r="Z36" s="583"/>
      <c r="AA36" s="583"/>
      <c r="AB36" s="583"/>
      <c r="AC36" s="583"/>
      <c r="AD36" s="583"/>
      <c r="AE36" s="583"/>
      <c r="AF36" s="583"/>
      <c r="AG36" s="583"/>
      <c r="AH36" s="583"/>
      <c r="AI36" s="584"/>
    </row>
    <row r="37" ht="15.75" customHeight="1" hidden="1" spans="1:35" s="571" customFormat="1" x14ac:dyDescent="0.25">
      <c r="A37" s="588"/>
      <c r="B37" s="54"/>
      <c r="C37" s="54"/>
      <c r="D37" s="55"/>
      <c r="E37" s="575">
        <v>0.5416666666678793</v>
      </c>
      <c r="F37" s="576"/>
      <c r="G37" s="576"/>
      <c r="H37" s="576"/>
      <c r="I37" s="576"/>
      <c r="J37" s="577"/>
      <c r="K37" s="576">
        <v>0.5729166666678793</v>
      </c>
      <c r="L37" s="576"/>
      <c r="M37" s="576"/>
      <c r="N37" s="576"/>
      <c r="O37" s="576"/>
      <c r="P37" s="578"/>
      <c r="Q37" s="579">
        <f t="shared" si="3"/>
        <v>0.03125</v>
      </c>
      <c r="R37" s="580"/>
      <c r="S37" s="580"/>
      <c r="T37" s="580"/>
      <c r="U37" s="580"/>
      <c r="V37" s="581"/>
      <c r="W37" s="582" t="s">
        <v>200</v>
      </c>
      <c r="X37" s="583"/>
      <c r="Y37" s="583"/>
      <c r="Z37" s="583"/>
      <c r="AA37" s="583"/>
      <c r="AB37" s="583"/>
      <c r="AC37" s="583"/>
      <c r="AD37" s="583"/>
      <c r="AE37" s="583"/>
      <c r="AF37" s="583"/>
      <c r="AG37" s="583"/>
      <c r="AH37" s="583"/>
      <c r="AI37" s="584"/>
    </row>
    <row r="38" ht="15.75" customHeight="1" hidden="1" spans="1:35" s="571" customFormat="1" x14ac:dyDescent="0.25">
      <c r="A38" s="588"/>
      <c r="B38" s="54"/>
      <c r="C38" s="54"/>
      <c r="D38" s="55"/>
      <c r="E38" s="575"/>
      <c r="F38" s="576"/>
      <c r="G38" s="576"/>
      <c r="H38" s="576"/>
      <c r="I38" s="576"/>
      <c r="J38" s="577"/>
      <c r="K38" s="589">
        <f>K37</f>
        <v>0.5729166666678793</v>
      </c>
      <c r="L38" s="576"/>
      <c r="M38" s="576"/>
      <c r="N38" s="576"/>
      <c r="O38" s="576"/>
      <c r="P38" s="578"/>
      <c r="Q38" s="579">
        <f t="shared" si="3"/>
      </c>
      <c r="R38" s="580"/>
      <c r="S38" s="580"/>
      <c r="T38" s="580"/>
      <c r="U38" s="580"/>
      <c r="V38" s="581"/>
      <c r="W38" s="582" t="s">
        <v>202</v>
      </c>
      <c r="X38" s="583"/>
      <c r="Y38" s="583"/>
      <c r="Z38" s="583"/>
      <c r="AA38" s="583"/>
      <c r="AB38" s="583"/>
      <c r="AC38" s="583"/>
      <c r="AD38" s="583"/>
      <c r="AE38" s="583"/>
      <c r="AF38" s="583"/>
      <c r="AG38" s="583"/>
      <c r="AH38" s="583"/>
      <c r="AI38" s="584"/>
    </row>
    <row r="39" ht="15.75" customHeight="1" hidden="1" spans="1:35" s="571" customFormat="1" x14ac:dyDescent="0.25">
      <c r="A39" s="588"/>
      <c r="B39" s="54"/>
      <c r="C39" s="54"/>
      <c r="D39" s="55"/>
      <c r="E39" s="575"/>
      <c r="F39" s="576"/>
      <c r="G39" s="576"/>
      <c r="H39" s="576"/>
      <c r="I39" s="576"/>
      <c r="J39" s="577"/>
      <c r="K39" s="576"/>
      <c r="L39" s="576"/>
      <c r="M39" s="576"/>
      <c r="N39" s="576"/>
      <c r="O39" s="576"/>
      <c r="P39" s="578"/>
      <c r="Q39" s="579"/>
      <c r="R39" s="580"/>
      <c r="S39" s="580"/>
      <c r="T39" s="580"/>
      <c r="U39" s="580"/>
      <c r="V39" s="581"/>
      <c r="W39" s="582"/>
      <c r="X39" s="583"/>
      <c r="Y39" s="583"/>
      <c r="Z39" s="583"/>
      <c r="AA39" s="583"/>
      <c r="AB39" s="583"/>
      <c r="AC39" s="583"/>
      <c r="AD39" s="583"/>
      <c r="AE39" s="583"/>
      <c r="AF39" s="583"/>
      <c r="AG39" s="583"/>
      <c r="AH39" s="583"/>
      <c r="AI39" s="584"/>
    </row>
    <row r="40" ht="15.75" customHeight="1" hidden="1" spans="1:35" s="571" customFormat="1" x14ac:dyDescent="0.25">
      <c r="A40" s="588"/>
      <c r="B40" s="54"/>
      <c r="C40" s="54"/>
      <c r="D40" s="55"/>
      <c r="E40" s="575"/>
      <c r="F40" s="576"/>
      <c r="G40" s="576"/>
      <c r="H40" s="576"/>
      <c r="I40" s="576"/>
      <c r="J40" s="577"/>
      <c r="K40" s="576"/>
      <c r="L40" s="576"/>
      <c r="M40" s="576"/>
      <c r="N40" s="576"/>
      <c r="O40" s="576"/>
      <c r="P40" s="578"/>
      <c r="Q40" s="579"/>
      <c r="R40" s="580"/>
      <c r="S40" s="580"/>
      <c r="T40" s="580"/>
      <c r="U40" s="580"/>
      <c r="V40" s="581"/>
      <c r="W40" s="582"/>
      <c r="X40" s="583"/>
      <c r="Y40" s="583"/>
      <c r="Z40" s="583"/>
      <c r="AA40" s="583"/>
      <c r="AB40" s="583"/>
      <c r="AC40" s="583"/>
      <c r="AD40" s="583"/>
      <c r="AE40" s="583"/>
      <c r="AF40" s="583"/>
      <c r="AG40" s="583"/>
      <c r="AH40" s="583"/>
      <c r="AI40" s="584"/>
    </row>
    <row r="41" ht="15.75" customHeight="1" hidden="1" spans="1:35" s="571" customFormat="1" x14ac:dyDescent="0.25">
      <c r="A41" s="588"/>
      <c r="B41" s="54"/>
      <c r="C41" s="54"/>
      <c r="D41" s="55"/>
      <c r="E41" s="575"/>
      <c r="F41" s="576"/>
      <c r="G41" s="576"/>
      <c r="H41" s="576"/>
      <c r="I41" s="576"/>
      <c r="J41" s="577"/>
      <c r="K41" s="576"/>
      <c r="L41" s="576"/>
      <c r="M41" s="576"/>
      <c r="N41" s="576"/>
      <c r="O41" s="576"/>
      <c r="P41" s="578"/>
      <c r="Q41" s="579"/>
      <c r="R41" s="580"/>
      <c r="S41" s="580"/>
      <c r="T41" s="580"/>
      <c r="U41" s="580"/>
      <c r="V41" s="581"/>
      <c r="W41" s="582"/>
      <c r="X41" s="583"/>
      <c r="Y41" s="583"/>
      <c r="Z41" s="583"/>
      <c r="AA41" s="583"/>
      <c r="AB41" s="583"/>
      <c r="AC41" s="583"/>
      <c r="AD41" s="583"/>
      <c r="AE41" s="583"/>
      <c r="AF41" s="583"/>
      <c r="AG41" s="583"/>
      <c r="AH41" s="583"/>
      <c r="AI41" s="584"/>
    </row>
    <row r="42" ht="15.75" customHeight="1" hidden="1" spans="1:35" s="571" customFormat="1" x14ac:dyDescent="0.25">
      <c r="A42" s="588"/>
      <c r="B42" s="54"/>
      <c r="C42" s="54"/>
      <c r="D42" s="55"/>
      <c r="E42" s="575"/>
      <c r="F42" s="576"/>
      <c r="G42" s="576"/>
      <c r="H42" s="576"/>
      <c r="I42" s="576"/>
      <c r="J42" s="577"/>
      <c r="K42" s="576"/>
      <c r="L42" s="576"/>
      <c r="M42" s="576"/>
      <c r="N42" s="576"/>
      <c r="O42" s="576"/>
      <c r="P42" s="578"/>
      <c r="Q42" s="579"/>
      <c r="R42" s="580"/>
      <c r="S42" s="580"/>
      <c r="T42" s="580"/>
      <c r="U42" s="580"/>
      <c r="V42" s="581"/>
      <c r="W42" s="582"/>
      <c r="X42" s="583"/>
      <c r="Y42" s="583"/>
      <c r="Z42" s="583"/>
      <c r="AA42" s="583"/>
      <c r="AB42" s="583"/>
      <c r="AC42" s="583"/>
      <c r="AD42" s="583"/>
      <c r="AE42" s="583"/>
      <c r="AF42" s="583"/>
      <c r="AG42" s="583"/>
      <c r="AH42" s="583"/>
      <c r="AI42" s="584"/>
    </row>
    <row r="43" ht="15.75" customHeight="1" hidden="1" spans="1:35" s="571" customFormat="1" x14ac:dyDescent="0.25">
      <c r="A43" s="588"/>
      <c r="B43" s="54"/>
      <c r="C43" s="54"/>
      <c r="D43" s="55"/>
      <c r="E43" s="575"/>
      <c r="F43" s="576"/>
      <c r="G43" s="576"/>
      <c r="H43" s="576"/>
      <c r="I43" s="576"/>
      <c r="J43" s="577"/>
      <c r="K43" s="589"/>
      <c r="L43" s="576"/>
      <c r="M43" s="576"/>
      <c r="N43" s="576"/>
      <c r="O43" s="576"/>
      <c r="P43" s="578"/>
      <c r="Q43" s="579"/>
      <c r="R43" s="580"/>
      <c r="S43" s="580"/>
      <c r="T43" s="580"/>
      <c r="U43" s="580"/>
      <c r="V43" s="581"/>
      <c r="W43" s="582"/>
      <c r="X43" s="583"/>
      <c r="Y43" s="583"/>
      <c r="Z43" s="583"/>
      <c r="AA43" s="583"/>
      <c r="AB43" s="583"/>
      <c r="AC43" s="583"/>
      <c r="AD43" s="583"/>
      <c r="AE43" s="583"/>
      <c r="AF43" s="583"/>
      <c r="AG43" s="583"/>
      <c r="AH43" s="583"/>
      <c r="AI43" s="584"/>
    </row>
    <row r="44" ht="15.75" customHeight="1" hidden="1" spans="1:35" s="571" customFormat="1" x14ac:dyDescent="0.25">
      <c r="A44" s="588"/>
      <c r="B44" s="54"/>
      <c r="C44" s="54"/>
      <c r="D44" s="55"/>
      <c r="E44" s="575"/>
      <c r="F44" s="576"/>
      <c r="G44" s="576"/>
      <c r="H44" s="576"/>
      <c r="I44" s="576"/>
      <c r="J44" s="577"/>
      <c r="K44" s="576"/>
      <c r="L44" s="576"/>
      <c r="M44" s="576"/>
      <c r="N44" s="576"/>
      <c r="O44" s="576"/>
      <c r="P44" s="578"/>
      <c r="Q44" s="579"/>
      <c r="R44" s="580"/>
      <c r="S44" s="580"/>
      <c r="T44" s="580"/>
      <c r="U44" s="580"/>
      <c r="V44" s="581"/>
      <c r="W44" s="582"/>
      <c r="X44" s="583"/>
      <c r="Y44" s="583"/>
      <c r="Z44" s="583"/>
      <c r="AA44" s="583"/>
      <c r="AB44" s="583"/>
      <c r="AC44" s="583"/>
      <c r="AD44" s="583"/>
      <c r="AE44" s="583"/>
      <c r="AF44" s="583"/>
      <c r="AG44" s="583"/>
      <c r="AH44" s="583"/>
      <c r="AI44" s="584"/>
    </row>
    <row r="45" ht="15.75" customHeight="1" hidden="1" spans="1:35" s="571" customFormat="1" x14ac:dyDescent="0.25">
      <c r="A45" s="588"/>
      <c r="B45" s="54"/>
      <c r="C45" s="54"/>
      <c r="D45" s="55"/>
      <c r="E45" s="575"/>
      <c r="F45" s="576"/>
      <c r="G45" s="576"/>
      <c r="H45" s="576"/>
      <c r="I45" s="576"/>
      <c r="J45" s="577"/>
      <c r="K45" s="589"/>
      <c r="L45" s="576"/>
      <c r="M45" s="576"/>
      <c r="N45" s="576"/>
      <c r="O45" s="576"/>
      <c r="P45" s="578"/>
      <c r="Q45" s="579"/>
      <c r="R45" s="580"/>
      <c r="S45" s="580"/>
      <c r="T45" s="580"/>
      <c r="U45" s="580"/>
      <c r="V45" s="581"/>
      <c r="W45" s="582"/>
      <c r="X45" s="583"/>
      <c r="Y45" s="583"/>
      <c r="Z45" s="583"/>
      <c r="AA45" s="583"/>
      <c r="AB45" s="583"/>
      <c r="AC45" s="583"/>
      <c r="AD45" s="583"/>
      <c r="AE45" s="583"/>
      <c r="AF45" s="583"/>
      <c r="AG45" s="583"/>
      <c r="AH45" s="583"/>
      <c r="AI45" s="584"/>
    </row>
    <row r="46" ht="15.75" customHeight="1" hidden="1" spans="1:35" s="571" customFormat="1" x14ac:dyDescent="0.25">
      <c r="A46" s="588"/>
      <c r="B46" s="54"/>
      <c r="C46" s="54"/>
      <c r="D46" s="55"/>
      <c r="E46" s="575"/>
      <c r="F46" s="576"/>
      <c r="G46" s="576"/>
      <c r="H46" s="576"/>
      <c r="I46" s="576"/>
      <c r="J46" s="577"/>
      <c r="K46" s="576"/>
      <c r="L46" s="576"/>
      <c r="M46" s="576"/>
      <c r="N46" s="576"/>
      <c r="O46" s="576"/>
      <c r="P46" s="578"/>
      <c r="Q46" s="579"/>
      <c r="R46" s="580"/>
      <c r="S46" s="580"/>
      <c r="T46" s="580"/>
      <c r="U46" s="580"/>
      <c r="V46" s="581"/>
      <c r="W46" s="582"/>
      <c r="X46" s="583"/>
      <c r="Y46" s="583"/>
      <c r="Z46" s="583"/>
      <c r="AA46" s="583"/>
      <c r="AB46" s="583"/>
      <c r="AC46" s="583"/>
      <c r="AD46" s="583"/>
      <c r="AE46" s="583"/>
      <c r="AF46" s="583"/>
      <c r="AG46" s="583"/>
      <c r="AH46" s="583"/>
      <c r="AI46" s="584"/>
    </row>
    <row r="47" ht="15.75" customHeight="1" hidden="1" spans="1:35" s="571" customFormat="1" x14ac:dyDescent="0.25">
      <c r="A47" s="588"/>
      <c r="B47" s="54"/>
      <c r="C47" s="54"/>
      <c r="D47" s="55"/>
      <c r="E47" s="575"/>
      <c r="F47" s="576"/>
      <c r="G47" s="576"/>
      <c r="H47" s="576"/>
      <c r="I47" s="576"/>
      <c r="J47" s="577"/>
      <c r="K47" s="576"/>
      <c r="L47" s="576"/>
      <c r="M47" s="576"/>
      <c r="N47" s="576"/>
      <c r="O47" s="576"/>
      <c r="P47" s="578"/>
      <c r="Q47" s="579"/>
      <c r="R47" s="580"/>
      <c r="S47" s="580"/>
      <c r="T47" s="580"/>
      <c r="U47" s="580"/>
      <c r="V47" s="581"/>
      <c r="W47" s="582"/>
      <c r="X47" s="583"/>
      <c r="Y47" s="583"/>
      <c r="Z47" s="583"/>
      <c r="AA47" s="583"/>
      <c r="AB47" s="583"/>
      <c r="AC47" s="583"/>
      <c r="AD47" s="583"/>
      <c r="AE47" s="583"/>
      <c r="AF47" s="583"/>
      <c r="AG47" s="583"/>
      <c r="AH47" s="583"/>
      <c r="AI47" s="584"/>
    </row>
    <row r="48" ht="15.75" customHeight="1" hidden="1" spans="1:35" s="571" customFormat="1" x14ac:dyDescent="0.25">
      <c r="A48" s="588"/>
      <c r="B48" s="54"/>
      <c r="C48" s="54"/>
      <c r="D48" s="55"/>
      <c r="E48" s="575"/>
      <c r="F48" s="576"/>
      <c r="G48" s="576"/>
      <c r="H48" s="576"/>
      <c r="I48" s="576"/>
      <c r="J48" s="577"/>
      <c r="K48" s="576"/>
      <c r="L48" s="576"/>
      <c r="M48" s="576"/>
      <c r="N48" s="576"/>
      <c r="O48" s="576"/>
      <c r="P48" s="578"/>
      <c r="Q48" s="579"/>
      <c r="R48" s="580"/>
      <c r="S48" s="580"/>
      <c r="T48" s="580"/>
      <c r="U48" s="580"/>
      <c r="V48" s="581"/>
      <c r="W48" s="582"/>
      <c r="X48" s="583"/>
      <c r="Y48" s="583"/>
      <c r="Z48" s="583"/>
      <c r="AA48" s="583"/>
      <c r="AB48" s="583"/>
      <c r="AC48" s="583"/>
      <c r="AD48" s="583"/>
      <c r="AE48" s="583"/>
      <c r="AF48" s="583"/>
      <c r="AG48" s="583"/>
      <c r="AH48" s="583"/>
      <c r="AI48" s="584"/>
    </row>
    <row r="49" ht="15.75" customHeight="1" hidden="1" spans="1:35" s="571" customFormat="1" x14ac:dyDescent="0.25">
      <c r="A49" s="588"/>
      <c r="B49" s="54"/>
      <c r="C49" s="54"/>
      <c r="D49" s="55"/>
      <c r="E49" s="575"/>
      <c r="F49" s="576"/>
      <c r="G49" s="576"/>
      <c r="H49" s="576"/>
      <c r="I49" s="576"/>
      <c r="J49" s="577"/>
      <c r="K49" s="576"/>
      <c r="L49" s="576"/>
      <c r="M49" s="576"/>
      <c r="N49" s="576"/>
      <c r="O49" s="576"/>
      <c r="P49" s="578"/>
      <c r="Q49" s="579"/>
      <c r="R49" s="580"/>
      <c r="S49" s="580"/>
      <c r="T49" s="580"/>
      <c r="U49" s="580"/>
      <c r="V49" s="581"/>
      <c r="W49" s="582"/>
      <c r="X49" s="583"/>
      <c r="Y49" s="583"/>
      <c r="Z49" s="583"/>
      <c r="AA49" s="583"/>
      <c r="AB49" s="583"/>
      <c r="AC49" s="583"/>
      <c r="AD49" s="583"/>
      <c r="AE49" s="583"/>
      <c r="AF49" s="583"/>
      <c r="AG49" s="583"/>
      <c r="AH49" s="583"/>
      <c r="AI49" s="584"/>
    </row>
    <row r="50" ht="15.75" customHeight="1" hidden="1" spans="1:35" s="571" customFormat="1" x14ac:dyDescent="0.25">
      <c r="A50" s="588"/>
      <c r="B50" s="54"/>
      <c r="C50" s="54"/>
      <c r="D50" s="55"/>
      <c r="E50" s="575"/>
      <c r="F50" s="576"/>
      <c r="G50" s="576"/>
      <c r="H50" s="576"/>
      <c r="I50" s="576"/>
      <c r="J50" s="577"/>
      <c r="K50" s="576"/>
      <c r="L50" s="576"/>
      <c r="M50" s="576"/>
      <c r="N50" s="576"/>
      <c r="O50" s="576"/>
      <c r="P50" s="578"/>
      <c r="Q50" s="579">
        <f t="shared" ref="Q50:Q51" si="4">IF(AND(NOT(ISBLANK(K50)),NOT(ISBLANK(E50))), IF(K50&gt;E50,K50-E50,24-E50+K50), "")</f>
      </c>
      <c r="R50" s="580"/>
      <c r="S50" s="580"/>
      <c r="T50" s="580"/>
      <c r="U50" s="580"/>
      <c r="V50" s="581"/>
      <c r="W50" s="582"/>
      <c r="X50" s="583"/>
      <c r="Y50" s="583"/>
      <c r="Z50" s="583"/>
      <c r="AA50" s="583"/>
      <c r="AB50" s="583"/>
      <c r="AC50" s="583"/>
      <c r="AD50" s="583"/>
      <c r="AE50" s="583"/>
      <c r="AF50" s="583"/>
      <c r="AG50" s="583"/>
      <c r="AH50" s="583"/>
      <c r="AI50" s="584"/>
    </row>
    <row r="51" ht="15.75" customHeight="1" hidden="1" spans="1:35" s="571" customFormat="1" x14ac:dyDescent="0.25">
      <c r="A51" s="590"/>
      <c r="B51" s="591"/>
      <c r="C51" s="591"/>
      <c r="D51" s="592"/>
      <c r="E51" s="593"/>
      <c r="F51" s="594"/>
      <c r="G51" s="594"/>
      <c r="H51" s="594"/>
      <c r="I51" s="594"/>
      <c r="J51" s="595"/>
      <c r="K51" s="594"/>
      <c r="L51" s="594"/>
      <c r="M51" s="594"/>
      <c r="N51" s="594"/>
      <c r="O51" s="594"/>
      <c r="P51" s="596"/>
      <c r="Q51" s="597">
        <f t="shared" si="4"/>
      </c>
      <c r="R51" s="598"/>
      <c r="S51" s="598"/>
      <c r="T51" s="598"/>
      <c r="U51" s="598"/>
      <c r="V51" s="599"/>
      <c r="W51" s="590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2"/>
    </row>
    <row r="52" ht="15.75" customHeight="1" hidden="1" spans="1:35" s="571" customFormat="1" x14ac:dyDescent="0.25">
      <c r="A52" s="600"/>
      <c r="B52" s="601"/>
      <c r="C52" s="601"/>
      <c r="D52" s="601"/>
      <c r="E52" s="601"/>
      <c r="F52" s="601"/>
      <c r="G52" s="601"/>
      <c r="H52" s="601"/>
      <c r="I52" s="601"/>
      <c r="J52" s="601"/>
      <c r="K52" s="601"/>
      <c r="L52" s="601"/>
      <c r="M52" s="601"/>
      <c r="N52" s="601"/>
      <c r="O52" s="601"/>
      <c r="P52" s="602"/>
      <c r="Q52" s="603">
        <f>SUM(Q34:V51)</f>
        <v>0.23958333333212067</v>
      </c>
      <c r="R52" s="604"/>
      <c r="S52" s="604"/>
      <c r="T52" s="604"/>
      <c r="U52" s="604"/>
      <c r="V52" s="605"/>
      <c r="W52" s="600"/>
      <c r="X52" s="601"/>
      <c r="Y52" s="601"/>
      <c r="Z52" s="601"/>
      <c r="AA52" s="601"/>
      <c r="AB52" s="601"/>
      <c r="AC52" s="601"/>
      <c r="AD52" s="601"/>
      <c r="AE52" s="601"/>
      <c r="AF52" s="601"/>
      <c r="AG52" s="601"/>
      <c r="AH52" s="601"/>
      <c r="AI52" s="602"/>
    </row>
    <row r="53" ht="15.75" customHeight="1" spans="1:35" s="571" customFormat="1" x14ac:dyDescent="0.25">
      <c r="A53" s="572" t="s">
        <v>203</v>
      </c>
      <c r="B53" s="573"/>
      <c r="C53" s="573"/>
      <c r="D53" s="574"/>
      <c r="E53" s="575">
        <v>0.04513888889050577</v>
      </c>
      <c r="F53" s="576"/>
      <c r="G53" s="576"/>
      <c r="H53" s="576"/>
      <c r="I53" s="576"/>
      <c r="J53" s="577"/>
      <c r="K53" s="589"/>
      <c r="L53" s="576"/>
      <c r="M53" s="576"/>
      <c r="N53" s="576"/>
      <c r="O53" s="576"/>
      <c r="P53" s="578"/>
      <c r="Q53" s="579"/>
      <c r="R53" s="580"/>
      <c r="S53" s="580"/>
      <c r="T53" s="580"/>
      <c r="U53" s="580"/>
      <c r="V53" s="581"/>
      <c r="W53" s="606" t="s">
        <v>204</v>
      </c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8"/>
    </row>
    <row r="54" ht="15.75" customHeight="1" spans="1:35" s="571" customFormat="1" x14ac:dyDescent="0.25">
      <c r="A54" s="585"/>
      <c r="B54" s="586"/>
      <c r="C54" s="586"/>
      <c r="D54" s="587"/>
      <c r="E54" s="575">
        <f>E53</f>
        <v>0.04513888889050577</v>
      </c>
      <c r="F54" s="576"/>
      <c r="G54" s="576"/>
      <c r="H54" s="576"/>
      <c r="I54" s="576"/>
      <c r="J54" s="577"/>
      <c r="K54" s="576">
        <v>0.11111111110949423</v>
      </c>
      <c r="L54" s="576"/>
      <c r="M54" s="576"/>
      <c r="N54" s="576"/>
      <c r="O54" s="576"/>
      <c r="P54" s="578"/>
      <c r="Q54" s="579">
        <f t="shared" ref="Q54:Q55" si="5">IF(AND(NOT(ISBLANK(K54)),NOT(ISBLANK(E54))), IF(K54&gt;E54,K54-E54,24-E54+K54), "")</f>
        <v>0.06597222222262644</v>
      </c>
      <c r="R54" s="580"/>
      <c r="S54" s="580"/>
      <c r="T54" s="580"/>
      <c r="U54" s="580"/>
      <c r="V54" s="581"/>
      <c r="W54" s="582" t="s">
        <v>205</v>
      </c>
      <c r="X54" s="583"/>
      <c r="Y54" s="583"/>
      <c r="Z54" s="583"/>
      <c r="AA54" s="583"/>
      <c r="AB54" s="583"/>
      <c r="AC54" s="583"/>
      <c r="AD54" s="583"/>
      <c r="AE54" s="583"/>
      <c r="AF54" s="583"/>
      <c r="AG54" s="583"/>
      <c r="AH54" s="583"/>
      <c r="AI54" s="584"/>
    </row>
    <row r="55" ht="15.75" customHeight="1" spans="1:35" s="571" customFormat="1" x14ac:dyDescent="0.25">
      <c r="A55" s="588"/>
      <c r="B55" s="54"/>
      <c r="C55" s="54"/>
      <c r="D55" s="55"/>
      <c r="E55" s="575">
        <f>K54</f>
        <v>0.11111111110949423</v>
      </c>
      <c r="F55" s="576"/>
      <c r="G55" s="576"/>
      <c r="H55" s="576"/>
      <c r="I55" s="576"/>
      <c r="J55" s="577"/>
      <c r="K55" s="576"/>
      <c r="L55" s="576"/>
      <c r="M55" s="576"/>
      <c r="N55" s="576"/>
      <c r="O55" s="576"/>
      <c r="P55" s="578"/>
      <c r="Q55" s="579">
        <f t="shared" si="5"/>
      </c>
      <c r="R55" s="580"/>
      <c r="S55" s="580"/>
      <c r="T55" s="580"/>
      <c r="U55" s="580"/>
      <c r="V55" s="581"/>
      <c r="W55" s="582" t="s">
        <v>198</v>
      </c>
      <c r="X55" s="583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4"/>
    </row>
    <row r="56" ht="15.75" customHeight="1" spans="1:35" s="571" customFormat="1" x14ac:dyDescent="0.25">
      <c r="A56" s="588"/>
      <c r="B56" s="54"/>
      <c r="C56" s="54"/>
      <c r="D56" s="55"/>
      <c r="E56" s="575">
        <f>E55</f>
        <v>0.11111111110949423</v>
      </c>
      <c r="F56" s="576"/>
      <c r="G56" s="576"/>
      <c r="H56" s="576"/>
      <c r="I56" s="576"/>
      <c r="J56" s="577"/>
      <c r="K56" s="576">
        <v>0.13194444444525288</v>
      </c>
      <c r="L56" s="576"/>
      <c r="M56" s="576"/>
      <c r="N56" s="576"/>
      <c r="O56" s="576"/>
      <c r="P56" s="578"/>
      <c r="Q56" s="579">
        <f t="shared" ref="Q56:Q57" si="6">IF(AND(NOT(ISBLANK(K56)),NOT(ISBLANK(E56))), IF(K56&gt;E56,K56-E56,24-E56+K56), "")</f>
        <v>0.020833333332120674</v>
      </c>
      <c r="R56" s="580"/>
      <c r="S56" s="580"/>
      <c r="T56" s="580"/>
      <c r="U56" s="580"/>
      <c r="V56" s="581"/>
      <c r="W56" s="582" t="s">
        <v>200</v>
      </c>
      <c r="X56" s="583"/>
      <c r="Y56" s="583"/>
      <c r="Z56" s="583"/>
      <c r="AA56" s="583"/>
      <c r="AB56" s="583"/>
      <c r="AC56" s="583"/>
      <c r="AD56" s="583"/>
      <c r="AE56" s="583"/>
      <c r="AF56" s="583"/>
      <c r="AG56" s="583"/>
      <c r="AH56" s="583"/>
      <c r="AI56" s="584"/>
    </row>
    <row r="57" ht="15.75" customHeight="1" spans="1:35" s="571" customFormat="1" x14ac:dyDescent="0.25">
      <c r="A57" s="588"/>
      <c r="B57" s="54"/>
      <c r="C57" s="54"/>
      <c r="D57" s="55"/>
      <c r="E57" s="575">
        <f>K56</f>
        <v>0.13194444444525288</v>
      </c>
      <c r="F57" s="576"/>
      <c r="G57" s="576"/>
      <c r="H57" s="576"/>
      <c r="I57" s="576"/>
      <c r="J57" s="577"/>
      <c r="K57" s="576">
        <v>0.14583333333212067</v>
      </c>
      <c r="L57" s="576"/>
      <c r="M57" s="576"/>
      <c r="N57" s="576"/>
      <c r="O57" s="576"/>
      <c r="P57" s="578"/>
      <c r="Q57" s="579">
        <f t="shared" si="6"/>
        <v>0.013888888890505768</v>
      </c>
      <c r="R57" s="580"/>
      <c r="S57" s="580"/>
      <c r="T57" s="580"/>
      <c r="U57" s="580"/>
      <c r="V57" s="581"/>
      <c r="W57" s="582" t="s">
        <v>205</v>
      </c>
      <c r="X57" s="583"/>
      <c r="Y57" s="583"/>
      <c r="Z57" s="583"/>
      <c r="AA57" s="583"/>
      <c r="AB57" s="583"/>
      <c r="AC57" s="583"/>
      <c r="AD57" s="583"/>
      <c r="AE57" s="583"/>
      <c r="AF57" s="583"/>
      <c r="AG57" s="583"/>
      <c r="AH57" s="583"/>
      <c r="AI57" s="584"/>
    </row>
    <row r="58" ht="15.75" customHeight="1" spans="1:49" s="571" customFormat="1" x14ac:dyDescent="0.25">
      <c r="A58" s="588"/>
      <c r="B58" s="54"/>
      <c r="C58" s="54"/>
      <c r="D58" s="55"/>
      <c r="E58" s="575">
        <f>K57</f>
        <v>0.14583333333212067</v>
      </c>
      <c r="F58" s="576"/>
      <c r="G58" s="576"/>
      <c r="H58" s="576"/>
      <c r="I58" s="576"/>
      <c r="J58" s="577"/>
      <c r="K58" s="576">
        <v>0.16666666666787933</v>
      </c>
      <c r="L58" s="576"/>
      <c r="M58" s="576"/>
      <c r="N58" s="576"/>
      <c r="O58" s="576"/>
      <c r="P58" s="578"/>
      <c r="Q58" s="579">
        <f t="shared" ref="Q58" si="7">IF(AND(NOT(ISBLANK(K58)),NOT(ISBLANK(E58))), IF(K58&gt;E58,K58-E58,24-E58+K58), "")</f>
        <v>0.020833333332120674</v>
      </c>
      <c r="R58" s="580"/>
      <c r="S58" s="580"/>
      <c r="T58" s="580"/>
      <c r="U58" s="580"/>
      <c r="V58" s="581"/>
      <c r="W58" s="582" t="s">
        <v>206</v>
      </c>
      <c r="X58" s="583"/>
      <c r="Y58" s="583"/>
      <c r="Z58" s="583"/>
      <c r="AA58" s="583"/>
      <c r="AB58" s="583"/>
      <c r="AC58" s="583"/>
      <c r="AD58" s="583"/>
      <c r="AE58" s="583"/>
      <c r="AF58" s="583"/>
      <c r="AG58" s="583"/>
      <c r="AH58" s="583"/>
      <c r="AI58" s="584"/>
      <c r="AK58" s="609"/>
      <c r="AL58" s="609"/>
      <c r="AM58" s="609"/>
      <c r="AN58" s="609"/>
      <c r="AO58" s="609"/>
      <c r="AP58" s="609"/>
      <c r="AQ58" s="609"/>
      <c r="AR58" s="609"/>
      <c r="AS58" s="609"/>
      <c r="AT58" s="609"/>
      <c r="AU58" s="609"/>
      <c r="AV58" s="609"/>
      <c r="AW58" s="609"/>
    </row>
    <row r="59" ht="15.75" customHeight="1" spans="1:35" s="571" customFormat="1" x14ac:dyDescent="0.25">
      <c r="A59" s="588"/>
      <c r="B59" s="54"/>
      <c r="C59" s="54"/>
      <c r="D59" s="55"/>
      <c r="E59" s="575">
        <f>K58</f>
        <v>0.16666666666787933</v>
      </c>
      <c r="F59" s="576"/>
      <c r="G59" s="576"/>
      <c r="H59" s="576"/>
      <c r="I59" s="576"/>
      <c r="J59" s="577"/>
      <c r="K59" s="576">
        <v>0.25</v>
      </c>
      <c r="L59" s="576"/>
      <c r="M59" s="576"/>
      <c r="N59" s="576"/>
      <c r="O59" s="576"/>
      <c r="P59" s="578"/>
      <c r="Q59" s="579">
        <f t="shared" ref="Q59:Q65" si="8">IF(AND(NOT(ISBLANK(K59)),NOT(ISBLANK(E59))), IF(K59&gt;E59,K59-E59,24-E59+K59), "")</f>
        <v>0.08333333333212067</v>
      </c>
      <c r="R59" s="580"/>
      <c r="S59" s="580"/>
      <c r="T59" s="580"/>
      <c r="U59" s="580"/>
      <c r="V59" s="581"/>
      <c r="W59" s="582" t="s">
        <v>205</v>
      </c>
      <c r="X59" s="583"/>
      <c r="Y59" s="583"/>
      <c r="Z59" s="583"/>
      <c r="AA59" s="583"/>
      <c r="AB59" s="583"/>
      <c r="AC59" s="583"/>
      <c r="AD59" s="583"/>
      <c r="AE59" s="583"/>
      <c r="AF59" s="583"/>
      <c r="AG59" s="583"/>
      <c r="AH59" s="583"/>
      <c r="AI59" s="584"/>
    </row>
    <row r="60" ht="15.75" customHeight="1" spans="1:35" s="571" customFormat="1" x14ac:dyDescent="0.25">
      <c r="A60" s="588"/>
      <c r="B60" s="54"/>
      <c r="C60" s="54"/>
      <c r="D60" s="55"/>
      <c r="E60" s="575"/>
      <c r="F60" s="576"/>
      <c r="G60" s="576"/>
      <c r="H60" s="576"/>
      <c r="I60" s="576"/>
      <c r="J60" s="577"/>
      <c r="K60" s="589">
        <f>K59</f>
        <v>0.25</v>
      </c>
      <c r="L60" s="576"/>
      <c r="M60" s="576"/>
      <c r="N60" s="576"/>
      <c r="O60" s="576"/>
      <c r="P60" s="578"/>
      <c r="Q60" s="579">
        <f t="shared" si="8"/>
      </c>
      <c r="R60" s="580"/>
      <c r="S60" s="580"/>
      <c r="T60" s="580"/>
      <c r="U60" s="580"/>
      <c r="V60" s="581"/>
      <c r="W60" s="582" t="s">
        <v>207</v>
      </c>
      <c r="X60" s="583"/>
      <c r="Y60" s="583"/>
      <c r="Z60" s="583"/>
      <c r="AA60" s="583"/>
      <c r="AB60" s="583"/>
      <c r="AC60" s="583"/>
      <c r="AD60" s="583"/>
      <c r="AE60" s="583"/>
      <c r="AF60" s="583"/>
      <c r="AG60" s="583"/>
      <c r="AH60" s="583"/>
      <c r="AI60" s="584"/>
    </row>
    <row r="61" ht="15.75" customHeight="1" spans="1:35" s="571" customFormat="1" x14ac:dyDescent="0.25">
      <c r="A61" s="588"/>
      <c r="B61" s="54"/>
      <c r="C61" s="54"/>
      <c r="D61" s="55"/>
      <c r="E61" s="575"/>
      <c r="F61" s="576"/>
      <c r="G61" s="576"/>
      <c r="H61" s="576"/>
      <c r="I61" s="576"/>
      <c r="J61" s="577"/>
      <c r="K61" s="576"/>
      <c r="L61" s="576"/>
      <c r="M61" s="576"/>
      <c r="N61" s="576"/>
      <c r="O61" s="576"/>
      <c r="P61" s="578"/>
      <c r="Q61" s="579">
        <f t="shared" si="8"/>
      </c>
      <c r="R61" s="580"/>
      <c r="S61" s="580"/>
      <c r="T61" s="580"/>
      <c r="U61" s="580"/>
      <c r="V61" s="581"/>
      <c r="W61" s="582"/>
      <c r="X61" s="583"/>
      <c r="Y61" s="583"/>
      <c r="Z61" s="583"/>
      <c r="AA61" s="583"/>
      <c r="AB61" s="583"/>
      <c r="AC61" s="583"/>
      <c r="AD61" s="583"/>
      <c r="AE61" s="583"/>
      <c r="AF61" s="583"/>
      <c r="AG61" s="583"/>
      <c r="AH61" s="583"/>
      <c r="AI61" s="584"/>
    </row>
    <row r="62" ht="15.75" customHeight="1" hidden="1" spans="1:35" s="571" customFormat="1" x14ac:dyDescent="0.25">
      <c r="A62" s="588"/>
      <c r="B62" s="54"/>
      <c r="C62" s="54"/>
      <c r="D62" s="55"/>
      <c r="E62" s="575"/>
      <c r="F62" s="576"/>
      <c r="G62" s="576"/>
      <c r="H62" s="576"/>
      <c r="I62" s="576"/>
      <c r="J62" s="577"/>
      <c r="K62" s="576"/>
      <c r="L62" s="576"/>
      <c r="M62" s="576"/>
      <c r="N62" s="576"/>
      <c r="O62" s="576"/>
      <c r="P62" s="578"/>
      <c r="Q62" s="579">
        <f t="shared" si="8"/>
      </c>
      <c r="R62" s="580"/>
      <c r="S62" s="580"/>
      <c r="T62" s="580"/>
      <c r="U62" s="580"/>
      <c r="V62" s="581"/>
      <c r="W62" s="582"/>
      <c r="X62" s="583"/>
      <c r="Y62" s="583"/>
      <c r="Z62" s="583"/>
      <c r="AA62" s="583"/>
      <c r="AB62" s="583"/>
      <c r="AC62" s="583"/>
      <c r="AD62" s="583"/>
      <c r="AE62" s="583"/>
      <c r="AF62" s="583"/>
      <c r="AG62" s="583"/>
      <c r="AH62" s="583"/>
      <c r="AI62" s="584"/>
    </row>
    <row r="63" ht="15.75" customHeight="1" hidden="1" spans="1:35" s="571" customFormat="1" x14ac:dyDescent="0.25">
      <c r="A63" s="588"/>
      <c r="B63" s="54"/>
      <c r="C63" s="54"/>
      <c r="D63" s="55"/>
      <c r="E63" s="575"/>
      <c r="F63" s="576"/>
      <c r="G63" s="576"/>
      <c r="H63" s="576"/>
      <c r="I63" s="576"/>
      <c r="J63" s="577"/>
      <c r="K63" s="576"/>
      <c r="L63" s="576"/>
      <c r="M63" s="576"/>
      <c r="N63" s="576"/>
      <c r="O63" s="576"/>
      <c r="P63" s="578"/>
      <c r="Q63" s="579">
        <f t="shared" si="8"/>
      </c>
      <c r="R63" s="580"/>
      <c r="S63" s="580"/>
      <c r="T63" s="580"/>
      <c r="U63" s="580"/>
      <c r="V63" s="581"/>
      <c r="W63" s="582"/>
      <c r="X63" s="583"/>
      <c r="Y63" s="583"/>
      <c r="Z63" s="583"/>
      <c r="AA63" s="583"/>
      <c r="AB63" s="583"/>
      <c r="AC63" s="583"/>
      <c r="AD63" s="583"/>
      <c r="AE63" s="583"/>
      <c r="AF63" s="583"/>
      <c r="AG63" s="583"/>
      <c r="AH63" s="583"/>
      <c r="AI63" s="584"/>
    </row>
    <row r="64" ht="15.75" customHeight="1" hidden="1" spans="1:35" s="571" customFormat="1" x14ac:dyDescent="0.25">
      <c r="A64" s="588"/>
      <c r="B64" s="54"/>
      <c r="C64" s="54"/>
      <c r="D64" s="55"/>
      <c r="E64" s="575"/>
      <c r="F64" s="576"/>
      <c r="G64" s="576"/>
      <c r="H64" s="576"/>
      <c r="I64" s="576"/>
      <c r="J64" s="577"/>
      <c r="K64" s="576"/>
      <c r="L64" s="576"/>
      <c r="M64" s="576"/>
      <c r="N64" s="576"/>
      <c r="O64" s="576"/>
      <c r="P64" s="578"/>
      <c r="Q64" s="579">
        <f t="shared" si="8"/>
      </c>
      <c r="R64" s="580"/>
      <c r="S64" s="580"/>
      <c r="T64" s="580"/>
      <c r="U64" s="580"/>
      <c r="V64" s="581"/>
      <c r="W64" s="582"/>
      <c r="X64" s="583"/>
      <c r="Y64" s="583"/>
      <c r="Z64" s="583"/>
      <c r="AA64" s="583"/>
      <c r="AB64" s="583"/>
      <c r="AC64" s="583"/>
      <c r="AD64" s="583"/>
      <c r="AE64" s="583"/>
      <c r="AF64" s="583"/>
      <c r="AG64" s="583"/>
      <c r="AH64" s="583"/>
      <c r="AI64" s="584"/>
    </row>
    <row r="65" ht="15.75" customHeight="1" hidden="1" spans="1:35" s="571" customFormat="1" x14ac:dyDescent="0.25">
      <c r="A65" s="588"/>
      <c r="B65" s="54"/>
      <c r="C65" s="54"/>
      <c r="D65" s="55"/>
      <c r="E65" s="575"/>
      <c r="F65" s="576"/>
      <c r="G65" s="576"/>
      <c r="H65" s="576"/>
      <c r="I65" s="576"/>
      <c r="J65" s="577"/>
      <c r="K65" s="576"/>
      <c r="L65" s="576"/>
      <c r="M65" s="576"/>
      <c r="N65" s="576"/>
      <c r="O65" s="576"/>
      <c r="P65" s="578"/>
      <c r="Q65" s="579">
        <f t="shared" si="8"/>
      </c>
      <c r="R65" s="580"/>
      <c r="S65" s="580"/>
      <c r="T65" s="580"/>
      <c r="U65" s="580"/>
      <c r="V65" s="581"/>
      <c r="W65" s="582"/>
      <c r="X65" s="583"/>
      <c r="Y65" s="583"/>
      <c r="Z65" s="583"/>
      <c r="AA65" s="583"/>
      <c r="AB65" s="583"/>
      <c r="AC65" s="583"/>
      <c r="AD65" s="583"/>
      <c r="AE65" s="583"/>
      <c r="AF65" s="583"/>
      <c r="AG65" s="583"/>
      <c r="AH65" s="583"/>
      <c r="AI65" s="584"/>
    </row>
    <row r="66" ht="15.75" customHeight="1" hidden="1" spans="1:35" s="571" customFormat="1" x14ac:dyDescent="0.25">
      <c r="A66" s="588"/>
      <c r="B66" s="54"/>
      <c r="C66" s="54"/>
      <c r="D66" s="55"/>
      <c r="E66" s="575"/>
      <c r="F66" s="576"/>
      <c r="G66" s="576"/>
      <c r="H66" s="576"/>
      <c r="I66" s="576"/>
      <c r="J66" s="577"/>
      <c r="K66" s="589"/>
      <c r="L66" s="576"/>
      <c r="M66" s="576"/>
      <c r="N66" s="576"/>
      <c r="O66" s="576"/>
      <c r="P66" s="578"/>
      <c r="Q66" s="579">
        <f t="shared" ref="Q66:Q67" si="9">IF(AND(NOT(ISBLANK(K66)),NOT(ISBLANK(E66))), IF(K66&gt;E66,K66-E66,24-E66+K66), "")</f>
      </c>
      <c r="R66" s="580"/>
      <c r="S66" s="580"/>
      <c r="T66" s="580"/>
      <c r="U66" s="580"/>
      <c r="V66" s="581"/>
      <c r="W66" s="582"/>
      <c r="X66" s="583"/>
      <c r="Y66" s="583"/>
      <c r="Z66" s="583"/>
      <c r="AA66" s="583"/>
      <c r="AB66" s="583"/>
      <c r="AC66" s="583"/>
      <c r="AD66" s="583"/>
      <c r="AE66" s="583"/>
      <c r="AF66" s="583"/>
      <c r="AG66" s="583"/>
      <c r="AH66" s="583"/>
      <c r="AI66" s="584"/>
    </row>
    <row r="67" ht="15.75" customHeight="1" hidden="1" spans="1:35" s="571" customFormat="1" x14ac:dyDescent="0.25">
      <c r="A67" s="588"/>
      <c r="B67" s="54"/>
      <c r="C67" s="54"/>
      <c r="D67" s="55"/>
      <c r="E67" s="575"/>
      <c r="F67" s="576"/>
      <c r="G67" s="576"/>
      <c r="H67" s="576"/>
      <c r="I67" s="576"/>
      <c r="J67" s="577"/>
      <c r="K67" s="576"/>
      <c r="L67" s="576"/>
      <c r="M67" s="576"/>
      <c r="N67" s="576"/>
      <c r="O67" s="576"/>
      <c r="P67" s="578"/>
      <c r="Q67" s="579">
        <f t="shared" si="9"/>
      </c>
      <c r="R67" s="580"/>
      <c r="S67" s="580"/>
      <c r="T67" s="580"/>
      <c r="U67" s="580"/>
      <c r="V67" s="581"/>
      <c r="W67" s="582"/>
      <c r="X67" s="583"/>
      <c r="Y67" s="583"/>
      <c r="Z67" s="583"/>
      <c r="AA67" s="583"/>
      <c r="AB67" s="583"/>
      <c r="AC67" s="583"/>
      <c r="AD67" s="583"/>
      <c r="AE67" s="583"/>
      <c r="AF67" s="583"/>
      <c r="AG67" s="583"/>
      <c r="AH67" s="583"/>
      <c r="AI67" s="584"/>
    </row>
    <row r="68" ht="15.75" customHeight="1" spans="1:35" s="571" customFormat="1" x14ac:dyDescent="0.25">
      <c r="A68" s="590"/>
      <c r="B68" s="591"/>
      <c r="C68" s="591"/>
      <c r="D68" s="592"/>
      <c r="E68" s="593"/>
      <c r="F68" s="594"/>
      <c r="G68" s="594"/>
      <c r="H68" s="594"/>
      <c r="I68" s="594"/>
      <c r="J68" s="595"/>
      <c r="K68" s="594"/>
      <c r="L68" s="594"/>
      <c r="M68" s="594"/>
      <c r="N68" s="594"/>
      <c r="O68" s="594"/>
      <c r="P68" s="596"/>
      <c r="Q68" s="597">
        <f t="shared" ref="Q68" si="10">IF(AND(NOT(ISBLANK(K68)),NOT(ISBLANK(E68))), IF(K68&gt;E68,K68-E68,24-E68+K68), "")</f>
      </c>
      <c r="R68" s="598"/>
      <c r="S68" s="598"/>
      <c r="T68" s="598"/>
      <c r="U68" s="598"/>
      <c r="V68" s="599"/>
      <c r="W68" s="610"/>
      <c r="X68" s="611"/>
      <c r="Y68" s="611"/>
      <c r="Z68" s="611"/>
      <c r="AA68" s="611"/>
      <c r="AB68" s="611"/>
      <c r="AC68" s="611"/>
      <c r="AD68" s="611"/>
      <c r="AE68" s="611"/>
      <c r="AF68" s="611"/>
      <c r="AG68" s="611"/>
      <c r="AH68" s="611"/>
      <c r="AI68" s="612"/>
    </row>
    <row r="69" ht="15.75" customHeight="1" spans="1:35" s="571" customFormat="1" x14ac:dyDescent="0.25">
      <c r="A69" s="600"/>
      <c r="B69" s="601"/>
      <c r="C69" s="601"/>
      <c r="D69" s="601"/>
      <c r="E69" s="601"/>
      <c r="F69" s="601"/>
      <c r="G69" s="601"/>
      <c r="H69" s="601"/>
      <c r="I69" s="601"/>
      <c r="J69" s="601"/>
      <c r="K69" s="601"/>
      <c r="L69" s="601"/>
      <c r="M69" s="601"/>
      <c r="N69" s="601"/>
      <c r="O69" s="601"/>
      <c r="P69" s="602"/>
      <c r="Q69" s="613">
        <f>SUM(Q53:V68)</f>
        <v>0.20486111110949423</v>
      </c>
      <c r="R69" s="613"/>
      <c r="S69" s="613"/>
      <c r="T69" s="613"/>
      <c r="U69" s="613"/>
      <c r="V69" s="613"/>
      <c r="W69" s="614"/>
      <c r="X69" s="615"/>
      <c r="Y69" s="615"/>
      <c r="Z69" s="615"/>
      <c r="AA69" s="615"/>
      <c r="AB69" s="615"/>
      <c r="AC69" s="615"/>
      <c r="AD69" s="615"/>
      <c r="AE69" s="615"/>
      <c r="AF69" s="615"/>
      <c r="AG69" s="615"/>
      <c r="AH69" s="615"/>
      <c r="AI69" s="616"/>
    </row>
    <row r="70" ht="15.75" customHeight="1" spans="1:35" s="571" customFormat="1" x14ac:dyDescent="0.25">
      <c r="A70" s="572" t="s">
        <v>208</v>
      </c>
      <c r="B70" s="573"/>
      <c r="C70" s="573"/>
      <c r="D70" s="574"/>
      <c r="E70" s="575">
        <v>0.04513888889050577</v>
      </c>
      <c r="F70" s="576"/>
      <c r="G70" s="576"/>
      <c r="H70" s="576"/>
      <c r="I70" s="576"/>
      <c r="J70" s="577"/>
      <c r="K70" s="589"/>
      <c r="L70" s="576"/>
      <c r="M70" s="576"/>
      <c r="N70" s="576"/>
      <c r="O70" s="576"/>
      <c r="P70" s="578"/>
      <c r="Q70" s="579"/>
      <c r="R70" s="580"/>
      <c r="S70" s="580"/>
      <c r="T70" s="580"/>
      <c r="U70" s="580"/>
      <c r="V70" s="581"/>
      <c r="W70" s="606" t="s">
        <v>204</v>
      </c>
      <c r="X70" s="607"/>
      <c r="Y70" s="607"/>
      <c r="Z70" s="607"/>
      <c r="AA70" s="607"/>
      <c r="AB70" s="607"/>
      <c r="AC70" s="607"/>
      <c r="AD70" s="607"/>
      <c r="AE70" s="607"/>
      <c r="AF70" s="607"/>
      <c r="AG70" s="607"/>
      <c r="AH70" s="607"/>
      <c r="AI70" s="608"/>
    </row>
    <row r="71" ht="15.75" customHeight="1" spans="1:35" s="571" customFormat="1" x14ac:dyDescent="0.25">
      <c r="A71" s="585"/>
      <c r="B71" s="586"/>
      <c r="C71" s="586"/>
      <c r="D71" s="587"/>
      <c r="E71" s="575">
        <f>E70</f>
        <v>0.04513888889050577</v>
      </c>
      <c r="F71" s="576"/>
      <c r="G71" s="576"/>
      <c r="H71" s="576"/>
      <c r="I71" s="576"/>
      <c r="J71" s="577"/>
      <c r="K71" s="576">
        <v>0.14583333333212067</v>
      </c>
      <c r="L71" s="576"/>
      <c r="M71" s="576"/>
      <c r="N71" s="576"/>
      <c r="O71" s="576"/>
      <c r="P71" s="578"/>
      <c r="Q71" s="579">
        <f t="shared" ref="Q71:Q72" si="11">IF(AND(NOT(ISBLANK(K71)),NOT(ISBLANK(E71))), IF(K71&gt;E71,K71-E71,24-E71+K71), "")</f>
        <v>0.10069444444525288</v>
      </c>
      <c r="R71" s="580"/>
      <c r="S71" s="580"/>
      <c r="T71" s="580"/>
      <c r="U71" s="580"/>
      <c r="V71" s="581"/>
      <c r="W71" s="582" t="s">
        <v>205</v>
      </c>
      <c r="X71" s="583"/>
      <c r="Y71" s="583"/>
      <c r="Z71" s="583"/>
      <c r="AA71" s="583"/>
      <c r="AB71" s="583"/>
      <c r="AC71" s="583"/>
      <c r="AD71" s="583"/>
      <c r="AE71" s="583"/>
      <c r="AF71" s="583"/>
      <c r="AG71" s="583"/>
      <c r="AH71" s="583"/>
      <c r="AI71" s="584"/>
    </row>
    <row r="72" ht="15.75" customHeight="1" spans="1:35" s="571" customFormat="1" x14ac:dyDescent="0.25">
      <c r="A72" s="588"/>
      <c r="B72" s="54"/>
      <c r="C72" s="54"/>
      <c r="D72" s="55"/>
      <c r="E72" s="575">
        <f>K71</f>
        <v>0.14583333333212067</v>
      </c>
      <c r="F72" s="576"/>
      <c r="G72" s="576"/>
      <c r="H72" s="576"/>
      <c r="I72" s="576"/>
      <c r="J72" s="577"/>
      <c r="K72" s="576">
        <v>0.16666666666787933</v>
      </c>
      <c r="L72" s="576"/>
      <c r="M72" s="576"/>
      <c r="N72" s="576"/>
      <c r="O72" s="576"/>
      <c r="P72" s="578"/>
      <c r="Q72" s="579">
        <f t="shared" si="11"/>
        <v>0.020833333332120674</v>
      </c>
      <c r="R72" s="580"/>
      <c r="S72" s="580"/>
      <c r="T72" s="580"/>
      <c r="U72" s="580"/>
      <c r="V72" s="581"/>
      <c r="W72" s="582" t="s">
        <v>206</v>
      </c>
      <c r="X72" s="583"/>
      <c r="Y72" s="583"/>
      <c r="Z72" s="583"/>
      <c r="AA72" s="583"/>
      <c r="AB72" s="583"/>
      <c r="AC72" s="583"/>
      <c r="AD72" s="583"/>
      <c r="AE72" s="583"/>
      <c r="AF72" s="583"/>
      <c r="AG72" s="583"/>
      <c r="AH72" s="583"/>
      <c r="AI72" s="584"/>
    </row>
    <row r="73" ht="15.75" customHeight="1" spans="1:35" s="571" customFormat="1" x14ac:dyDescent="0.25">
      <c r="A73" s="588"/>
      <c r="B73" s="54"/>
      <c r="C73" s="54"/>
      <c r="D73" s="55"/>
      <c r="E73" s="575">
        <v>0.16666666666787933</v>
      </c>
      <c r="F73" s="576"/>
      <c r="G73" s="576"/>
      <c r="H73" s="576"/>
      <c r="I73" s="576"/>
      <c r="J73" s="577"/>
      <c r="K73" s="576">
        <v>0.19791666666787933</v>
      </c>
      <c r="L73" s="576"/>
      <c r="M73" s="576"/>
      <c r="N73" s="576"/>
      <c r="O73" s="576"/>
      <c r="P73" s="578"/>
      <c r="Q73" s="579">
        <f t="shared" ref="Q73" si="12">IF(AND(NOT(ISBLANK(K73)),NOT(ISBLANK(E73))), IF(K73&gt;E73,K73-E73,24-E73+K73), "")</f>
        <v>0.03125</v>
      </c>
      <c r="R73" s="580"/>
      <c r="S73" s="580"/>
      <c r="T73" s="580"/>
      <c r="U73" s="580"/>
      <c r="V73" s="581"/>
      <c r="W73" s="582" t="s">
        <v>205</v>
      </c>
      <c r="X73" s="583"/>
      <c r="Y73" s="583"/>
      <c r="Z73" s="583"/>
      <c r="AA73" s="583"/>
      <c r="AB73" s="583"/>
      <c r="AC73" s="583"/>
      <c r="AD73" s="583"/>
      <c r="AE73" s="583"/>
      <c r="AF73" s="583"/>
      <c r="AG73" s="583"/>
      <c r="AH73" s="583"/>
      <c r="AI73" s="584"/>
    </row>
    <row r="74" ht="15.75" customHeight="1" spans="1:35" s="571" customFormat="1" x14ac:dyDescent="0.25">
      <c r="A74" s="588"/>
      <c r="B74" s="54"/>
      <c r="C74" s="54"/>
      <c r="D74" s="55"/>
      <c r="E74" s="575">
        <f>K73</f>
        <v>0.19791666666787933</v>
      </c>
      <c r="F74" s="576"/>
      <c r="G74" s="576"/>
      <c r="H74" s="576"/>
      <c r="I74" s="576"/>
      <c r="J74" s="577"/>
      <c r="K74" s="576"/>
      <c r="L74" s="576"/>
      <c r="M74" s="576"/>
      <c r="N74" s="576"/>
      <c r="O74" s="576"/>
      <c r="P74" s="578"/>
      <c r="Q74" s="579">
        <f t="shared" ref="Q74:Q85" si="13">IF(AND(NOT(ISBLANK(K74)),NOT(ISBLANK(E74))), IF(K74&gt;E74,K74-E74,24-E74+K74), "")</f>
      </c>
      <c r="R74" s="580"/>
      <c r="S74" s="580"/>
      <c r="T74" s="580"/>
      <c r="U74" s="580"/>
      <c r="V74" s="581"/>
      <c r="W74" s="582" t="s">
        <v>198</v>
      </c>
      <c r="X74" s="583"/>
      <c r="Y74" s="583"/>
      <c r="Z74" s="583"/>
      <c r="AA74" s="583"/>
      <c r="AB74" s="583"/>
      <c r="AC74" s="583"/>
      <c r="AD74" s="583"/>
      <c r="AE74" s="583"/>
      <c r="AF74" s="583"/>
      <c r="AG74" s="583"/>
      <c r="AH74" s="583"/>
      <c r="AI74" s="584"/>
    </row>
    <row r="75" ht="15.75" customHeight="1" spans="1:35" s="571" customFormat="1" x14ac:dyDescent="0.25">
      <c r="A75" s="588"/>
      <c r="B75" s="54"/>
      <c r="C75" s="54"/>
      <c r="D75" s="55"/>
      <c r="E75" s="575">
        <f>E74</f>
        <v>0.19791666666787933</v>
      </c>
      <c r="F75" s="576"/>
      <c r="G75" s="576"/>
      <c r="H75" s="576"/>
      <c r="I75" s="576"/>
      <c r="J75" s="577"/>
      <c r="K75" s="576">
        <v>0.25</v>
      </c>
      <c r="L75" s="576"/>
      <c r="M75" s="576"/>
      <c r="N75" s="576"/>
      <c r="O75" s="576"/>
      <c r="P75" s="578"/>
      <c r="Q75" s="579">
        <f t="shared" si="13"/>
        <v>0.052083333332120674</v>
      </c>
      <c r="R75" s="580"/>
      <c r="S75" s="580"/>
      <c r="T75" s="580"/>
      <c r="U75" s="580"/>
      <c r="V75" s="581"/>
      <c r="W75" s="582" t="s">
        <v>200</v>
      </c>
      <c r="X75" s="583"/>
      <c r="Y75" s="583"/>
      <c r="Z75" s="583"/>
      <c r="AA75" s="583"/>
      <c r="AB75" s="583"/>
      <c r="AC75" s="583"/>
      <c r="AD75" s="583"/>
      <c r="AE75" s="583"/>
      <c r="AF75" s="583"/>
      <c r="AG75" s="583"/>
      <c r="AH75" s="583"/>
      <c r="AI75" s="584"/>
    </row>
    <row r="76" ht="15.75" customHeight="1" spans="1:35" s="571" customFormat="1" x14ac:dyDescent="0.25">
      <c r="A76" s="588"/>
      <c r="B76" s="54"/>
      <c r="C76" s="54"/>
      <c r="D76" s="55"/>
      <c r="E76" s="575">
        <f>K75</f>
        <v>0.25</v>
      </c>
      <c r="F76" s="576"/>
      <c r="G76" s="576"/>
      <c r="H76" s="576"/>
      <c r="I76" s="576"/>
      <c r="J76" s="577"/>
      <c r="K76" s="576">
        <v>0.2569444444452529</v>
      </c>
      <c r="L76" s="576"/>
      <c r="M76" s="576"/>
      <c r="N76" s="576"/>
      <c r="O76" s="576"/>
      <c r="P76" s="578"/>
      <c r="Q76" s="579">
        <f t="shared" si="13"/>
        <v>0.006944444445252884</v>
      </c>
      <c r="R76" s="580"/>
      <c r="S76" s="580"/>
      <c r="T76" s="580"/>
      <c r="U76" s="580"/>
      <c r="V76" s="581"/>
      <c r="W76" s="582" t="s">
        <v>205</v>
      </c>
      <c r="X76" s="583"/>
      <c r="Y76" s="583"/>
      <c r="Z76" s="583"/>
      <c r="AA76" s="583"/>
      <c r="AB76" s="583"/>
      <c r="AC76" s="583"/>
      <c r="AD76" s="583"/>
      <c r="AE76" s="583"/>
      <c r="AF76" s="583"/>
      <c r="AG76" s="583"/>
      <c r="AH76" s="583"/>
      <c r="AI76" s="584"/>
    </row>
    <row r="77" ht="15.75" customHeight="1" spans="1:35" s="571" customFormat="1" x14ac:dyDescent="0.25">
      <c r="A77" s="588"/>
      <c r="B77" s="54"/>
      <c r="C77" s="54"/>
      <c r="D77" s="55"/>
      <c r="E77" s="575"/>
      <c r="F77" s="576"/>
      <c r="G77" s="576"/>
      <c r="H77" s="576"/>
      <c r="I77" s="576"/>
      <c r="J77" s="577"/>
      <c r="K77" s="589">
        <f>K76</f>
        <v>0.2569444444452529</v>
      </c>
      <c r="L77" s="576"/>
      <c r="M77" s="576"/>
      <c r="N77" s="576"/>
      <c r="O77" s="576"/>
      <c r="P77" s="578"/>
      <c r="Q77" s="579">
        <f t="shared" ref="Q77:Q79" si="14">IF(AND(NOT(ISBLANK(K77)),NOT(ISBLANK(E77))), IF(K77&gt;E77,K77-E77,24-E77+K77), "")</f>
      </c>
      <c r="R77" s="580"/>
      <c r="S77" s="580"/>
      <c r="T77" s="580"/>
      <c r="U77" s="580"/>
      <c r="V77" s="581"/>
      <c r="W77" s="582" t="s">
        <v>209</v>
      </c>
      <c r="X77" s="583"/>
      <c r="Y77" s="583"/>
      <c r="Z77" s="583"/>
      <c r="AA77" s="583"/>
      <c r="AB77" s="583"/>
      <c r="AC77" s="583"/>
      <c r="AD77" s="583"/>
      <c r="AE77" s="583"/>
      <c r="AF77" s="583"/>
      <c r="AG77" s="583"/>
      <c r="AH77" s="583"/>
      <c r="AI77" s="584"/>
    </row>
    <row r="78" ht="15.75" customHeight="1" spans="1:35" s="571" customFormat="1" x14ac:dyDescent="0.25">
      <c r="A78" s="588"/>
      <c r="B78" s="54"/>
      <c r="C78" s="54"/>
      <c r="D78" s="55"/>
      <c r="E78" s="575">
        <f>K76</f>
        <v>0.2569444444452529</v>
      </c>
      <c r="F78" s="576"/>
      <c r="G78" s="576"/>
      <c r="H78" s="576"/>
      <c r="I78" s="576"/>
      <c r="J78" s="577"/>
      <c r="K78" s="576">
        <v>0.2708333333321207</v>
      </c>
      <c r="L78" s="576"/>
      <c r="M78" s="576"/>
      <c r="N78" s="576"/>
      <c r="O78" s="576"/>
      <c r="P78" s="578"/>
      <c r="Q78" s="579">
        <f t="shared" si="14"/>
        <v>0.013888888890505768</v>
      </c>
      <c r="R78" s="580"/>
      <c r="S78" s="580"/>
      <c r="T78" s="580"/>
      <c r="U78" s="580"/>
      <c r="V78" s="581"/>
      <c r="W78" s="582" t="s">
        <v>200</v>
      </c>
      <c r="X78" s="583"/>
      <c r="Y78" s="583"/>
      <c r="Z78" s="583"/>
      <c r="AA78" s="583"/>
      <c r="AB78" s="583"/>
      <c r="AC78" s="583"/>
      <c r="AD78" s="583"/>
      <c r="AE78" s="583"/>
      <c r="AF78" s="583"/>
      <c r="AG78" s="583"/>
      <c r="AH78" s="583"/>
      <c r="AI78" s="584"/>
    </row>
    <row r="79" ht="15.75" customHeight="1" spans="1:35" s="571" customFormat="1" x14ac:dyDescent="0.25">
      <c r="A79" s="588"/>
      <c r="B79" s="54"/>
      <c r="C79" s="54"/>
      <c r="D79" s="55"/>
      <c r="E79" s="575">
        <f>K78</f>
        <v>0.2708333333321207</v>
      </c>
      <c r="F79" s="576"/>
      <c r="G79" s="576"/>
      <c r="H79" s="576"/>
      <c r="I79" s="576"/>
      <c r="J79" s="577"/>
      <c r="K79" s="576">
        <v>0.3333333333321207</v>
      </c>
      <c r="L79" s="576"/>
      <c r="M79" s="576"/>
      <c r="N79" s="576"/>
      <c r="O79" s="576"/>
      <c r="P79" s="578"/>
      <c r="Q79" s="579">
        <f t="shared" si="14"/>
        <v>0.0625</v>
      </c>
      <c r="R79" s="580"/>
      <c r="S79" s="580"/>
      <c r="T79" s="580"/>
      <c r="U79" s="580"/>
      <c r="V79" s="581"/>
      <c r="W79" s="582" t="s">
        <v>201</v>
      </c>
      <c r="X79" s="583"/>
      <c r="Y79" s="583"/>
      <c r="Z79" s="583"/>
      <c r="AA79" s="583"/>
      <c r="AB79" s="583"/>
      <c r="AC79" s="583"/>
      <c r="AD79" s="583"/>
      <c r="AE79" s="583"/>
      <c r="AF79" s="583"/>
      <c r="AG79" s="583"/>
      <c r="AH79" s="583"/>
      <c r="AI79" s="584"/>
    </row>
    <row r="80" ht="15.75" customHeight="1" spans="1:35" s="571" customFormat="1" x14ac:dyDescent="0.25">
      <c r="A80" s="588"/>
      <c r="B80" s="54"/>
      <c r="C80" s="54"/>
      <c r="D80" s="55"/>
      <c r="E80" s="575">
        <f>K79</f>
        <v>0.3333333333321207</v>
      </c>
      <c r="F80" s="576"/>
      <c r="G80" s="576"/>
      <c r="H80" s="576"/>
      <c r="I80" s="576"/>
      <c r="J80" s="577"/>
      <c r="K80" s="576">
        <v>0.5</v>
      </c>
      <c r="L80" s="576"/>
      <c r="M80" s="576"/>
      <c r="N80" s="576"/>
      <c r="O80" s="576"/>
      <c r="P80" s="578"/>
      <c r="Q80" s="579">
        <f t="shared" si="13"/>
        <v>0.16666666666787933</v>
      </c>
      <c r="R80" s="580"/>
      <c r="S80" s="580"/>
      <c r="T80" s="580"/>
      <c r="U80" s="580"/>
      <c r="V80" s="581"/>
      <c r="W80" s="582" t="s">
        <v>200</v>
      </c>
      <c r="X80" s="583"/>
      <c r="Y80" s="583"/>
      <c r="Z80" s="583"/>
      <c r="AA80" s="583"/>
      <c r="AB80" s="583"/>
      <c r="AC80" s="583"/>
      <c r="AD80" s="583"/>
      <c r="AE80" s="583"/>
      <c r="AF80" s="583"/>
      <c r="AG80" s="583"/>
      <c r="AH80" s="583"/>
      <c r="AI80" s="584"/>
    </row>
    <row r="81" ht="15.75" customHeight="1" spans="1:35" s="571" customFormat="1" x14ac:dyDescent="0.25">
      <c r="A81" s="588"/>
      <c r="B81" s="54"/>
      <c r="C81" s="54"/>
      <c r="D81" s="55"/>
      <c r="E81" s="575">
        <f>K80</f>
        <v>0.5</v>
      </c>
      <c r="F81" s="576"/>
      <c r="G81" s="576"/>
      <c r="H81" s="576"/>
      <c r="I81" s="576"/>
      <c r="J81" s="577"/>
      <c r="K81" s="576">
        <v>0.5416666666678793</v>
      </c>
      <c r="L81" s="576"/>
      <c r="M81" s="576"/>
      <c r="N81" s="576"/>
      <c r="O81" s="576"/>
      <c r="P81" s="578"/>
      <c r="Q81" s="579">
        <f t="shared" si="13"/>
        <v>0.041666666667879326</v>
      </c>
      <c r="R81" s="580"/>
      <c r="S81" s="580"/>
      <c r="T81" s="580"/>
      <c r="U81" s="580"/>
      <c r="V81" s="581"/>
      <c r="W81" s="582" t="s">
        <v>201</v>
      </c>
      <c r="X81" s="583"/>
      <c r="Y81" s="583"/>
      <c r="Z81" s="583"/>
      <c r="AA81" s="583"/>
      <c r="AB81" s="583"/>
      <c r="AC81" s="583"/>
      <c r="AD81" s="583"/>
      <c r="AE81" s="583"/>
      <c r="AF81" s="583"/>
      <c r="AG81" s="583"/>
      <c r="AH81" s="583"/>
      <c r="AI81" s="584"/>
    </row>
    <row r="82" ht="15.75" customHeight="1" spans="1:36" s="571" customFormat="1" x14ac:dyDescent="0.25">
      <c r="A82" s="588"/>
      <c r="B82" s="54"/>
      <c r="C82" s="54"/>
      <c r="D82" s="55"/>
      <c r="E82" s="575">
        <f>K81</f>
        <v>0.5416666666678793</v>
      </c>
      <c r="F82" s="576"/>
      <c r="G82" s="576"/>
      <c r="H82" s="576"/>
      <c r="I82" s="576"/>
      <c r="J82" s="577"/>
      <c r="K82" s="576">
        <v>0.5625</v>
      </c>
      <c r="L82" s="576"/>
      <c r="M82" s="576"/>
      <c r="N82" s="576"/>
      <c r="O82" s="576"/>
      <c r="P82" s="578"/>
      <c r="Q82" s="579">
        <f t="shared" si="13"/>
        <v>0.020833333332120674</v>
      </c>
      <c r="R82" s="580"/>
      <c r="S82" s="580"/>
      <c r="T82" s="580"/>
      <c r="U82" s="580"/>
      <c r="V82" s="581"/>
      <c r="W82" s="582" t="s">
        <v>200</v>
      </c>
      <c r="X82" s="583"/>
      <c r="Y82" s="583"/>
      <c r="Z82" s="583"/>
      <c r="AA82" s="583"/>
      <c r="AB82" s="583"/>
      <c r="AC82" s="583"/>
      <c r="AD82" s="583"/>
      <c r="AE82" s="583"/>
      <c r="AF82" s="583"/>
      <c r="AG82" s="583"/>
      <c r="AH82" s="583"/>
      <c r="AI82" s="584"/>
      <c r="AJ82" s="617"/>
    </row>
    <row r="83" ht="15.75" customHeight="1" spans="1:36" s="571" customFormat="1" x14ac:dyDescent="0.25">
      <c r="A83" s="588"/>
      <c r="B83" s="54"/>
      <c r="C83" s="54"/>
      <c r="D83" s="55"/>
      <c r="E83" s="575"/>
      <c r="F83" s="576"/>
      <c r="G83" s="576"/>
      <c r="H83" s="576"/>
      <c r="I83" s="576"/>
      <c r="J83" s="577"/>
      <c r="K83" s="589">
        <f>K82</f>
        <v>0.5625</v>
      </c>
      <c r="L83" s="576"/>
      <c r="M83" s="576"/>
      <c r="N83" s="576"/>
      <c r="O83" s="576"/>
      <c r="P83" s="578"/>
      <c r="Q83" s="579">
        <f t="shared" si="13"/>
      </c>
      <c r="R83" s="580"/>
      <c r="S83" s="580"/>
      <c r="T83" s="580"/>
      <c r="U83" s="580"/>
      <c r="V83" s="581"/>
      <c r="W83" s="582" t="s">
        <v>202</v>
      </c>
      <c r="X83" s="583"/>
      <c r="Y83" s="583"/>
      <c r="Z83" s="583"/>
      <c r="AA83" s="583"/>
      <c r="AB83" s="583"/>
      <c r="AC83" s="583"/>
      <c r="AD83" s="583"/>
      <c r="AE83" s="583"/>
      <c r="AF83" s="583"/>
      <c r="AG83" s="583"/>
      <c r="AH83" s="583"/>
      <c r="AI83" s="584"/>
      <c r="AJ83" s="617"/>
    </row>
    <row r="84" ht="15.75" customHeight="1" spans="1:36" s="571" customFormat="1" x14ac:dyDescent="0.25">
      <c r="A84" s="588"/>
      <c r="B84" s="54"/>
      <c r="C84" s="54"/>
      <c r="D84" s="55"/>
      <c r="E84" s="575"/>
      <c r="F84" s="576"/>
      <c r="G84" s="576"/>
      <c r="H84" s="576"/>
      <c r="I84" s="576"/>
      <c r="J84" s="577"/>
      <c r="K84" s="589"/>
      <c r="L84" s="576"/>
      <c r="M84" s="576"/>
      <c r="N84" s="576"/>
      <c r="O84" s="576"/>
      <c r="P84" s="578"/>
      <c r="Q84" s="579">
        <f t="shared" si="13"/>
      </c>
      <c r="R84" s="580"/>
      <c r="S84" s="580"/>
      <c r="T84" s="580"/>
      <c r="U84" s="580"/>
      <c r="V84" s="581"/>
      <c r="W84" s="582"/>
      <c r="X84" s="583"/>
      <c r="Y84" s="583"/>
      <c r="Z84" s="583"/>
      <c r="AA84" s="583"/>
      <c r="AB84" s="583"/>
      <c r="AC84" s="583"/>
      <c r="AD84" s="583"/>
      <c r="AE84" s="583"/>
      <c r="AF84" s="583"/>
      <c r="AG84" s="583"/>
      <c r="AH84" s="583"/>
      <c r="AI84" s="584"/>
      <c r="AJ84" s="617"/>
    </row>
    <row r="85" ht="15.75" customHeight="1" spans="1:35" s="571" customFormat="1" x14ac:dyDescent="0.25">
      <c r="A85" s="588"/>
      <c r="B85" s="54"/>
      <c r="C85" s="54"/>
      <c r="D85" s="55"/>
      <c r="E85" s="575"/>
      <c r="F85" s="576"/>
      <c r="G85" s="576"/>
      <c r="H85" s="576"/>
      <c r="I85" s="576"/>
      <c r="J85" s="577"/>
      <c r="K85" s="589"/>
      <c r="L85" s="576"/>
      <c r="M85" s="576"/>
      <c r="N85" s="576"/>
      <c r="O85" s="576"/>
      <c r="P85" s="578"/>
      <c r="Q85" s="579">
        <f t="shared" si="13"/>
      </c>
      <c r="R85" s="580"/>
      <c r="S85" s="580"/>
      <c r="T85" s="580"/>
      <c r="U85" s="580"/>
      <c r="V85" s="581"/>
      <c r="W85" s="582"/>
      <c r="X85" s="583"/>
      <c r="Y85" s="583"/>
      <c r="Z85" s="583"/>
      <c r="AA85" s="583"/>
      <c r="AB85" s="583"/>
      <c r="AC85" s="583"/>
      <c r="AD85" s="583"/>
      <c r="AE85" s="583"/>
      <c r="AF85" s="583"/>
      <c r="AG85" s="583"/>
      <c r="AH85" s="583"/>
      <c r="AI85" s="584"/>
    </row>
    <row r="86" ht="15.75" customHeight="1" spans="1:35" s="571" customFormat="1" x14ac:dyDescent="0.25">
      <c r="A86" s="588"/>
      <c r="B86" s="54"/>
      <c r="C86" s="54"/>
      <c r="D86" s="55"/>
      <c r="E86" s="575"/>
      <c r="F86" s="576"/>
      <c r="G86" s="576"/>
      <c r="H86" s="576"/>
      <c r="I86" s="576"/>
      <c r="J86" s="577"/>
      <c r="K86" s="576"/>
      <c r="L86" s="576"/>
      <c r="M86" s="576"/>
      <c r="N86" s="576"/>
      <c r="O86" s="576"/>
      <c r="P86" s="578"/>
      <c r="Q86" s="579">
        <f>IF(AND(NOT(ISBLANK(K86)),NOT(ISBLANK(E86))), IF(K86&gt;E86,K86-E86,24-E86+K86), "")</f>
      </c>
      <c r="R86" s="580"/>
      <c r="S86" s="580"/>
      <c r="T86" s="580"/>
      <c r="U86" s="580"/>
      <c r="V86" s="581"/>
      <c r="W86" s="582"/>
      <c r="X86" s="583"/>
      <c r="Y86" s="583"/>
      <c r="Z86" s="583"/>
      <c r="AA86" s="583"/>
      <c r="AB86" s="583"/>
      <c r="AC86" s="583"/>
      <c r="AD86" s="583"/>
      <c r="AE86" s="583"/>
      <c r="AF86" s="583"/>
      <c r="AG86" s="583"/>
      <c r="AH86" s="583"/>
      <c r="AI86" s="584"/>
    </row>
    <row r="87" ht="15.75" customHeight="1" spans="1:35" s="571" customFormat="1" x14ac:dyDescent="0.25">
      <c r="A87" s="600"/>
      <c r="B87" s="601"/>
      <c r="C87" s="601"/>
      <c r="D87" s="601"/>
      <c r="E87" s="601"/>
      <c r="F87" s="601"/>
      <c r="G87" s="601"/>
      <c r="H87" s="601"/>
      <c r="I87" s="601"/>
      <c r="J87" s="601"/>
      <c r="K87" s="601"/>
      <c r="L87" s="601"/>
      <c r="M87" s="601"/>
      <c r="N87" s="601"/>
      <c r="O87" s="601"/>
      <c r="P87" s="602"/>
      <c r="Q87" s="613">
        <f>SUM(Q70:V86)</f>
        <v>0.5173611111094942</v>
      </c>
      <c r="R87" s="613"/>
      <c r="S87" s="613"/>
      <c r="T87" s="613"/>
      <c r="U87" s="613"/>
      <c r="V87" s="613"/>
      <c r="W87" s="614"/>
      <c r="X87" s="615"/>
      <c r="Y87" s="615"/>
      <c r="Z87" s="615"/>
      <c r="AA87" s="615"/>
      <c r="AB87" s="615"/>
      <c r="AC87" s="615"/>
      <c r="AD87" s="615"/>
      <c r="AE87" s="615"/>
      <c r="AF87" s="615"/>
      <c r="AG87" s="615"/>
      <c r="AH87" s="615"/>
      <c r="AI87" s="616"/>
    </row>
    <row r="88" ht="15.75" customHeight="1" spans="1:35" s="571" customFormat="1" x14ac:dyDescent="0.25">
      <c r="A88" s="572" t="s">
        <v>210</v>
      </c>
      <c r="B88" s="573"/>
      <c r="C88" s="573"/>
      <c r="D88" s="574"/>
      <c r="E88" s="575">
        <v>0.3333333333321207</v>
      </c>
      <c r="F88" s="576"/>
      <c r="G88" s="576"/>
      <c r="H88" s="576"/>
      <c r="I88" s="576"/>
      <c r="J88" s="577"/>
      <c r="K88" s="589"/>
      <c r="L88" s="576"/>
      <c r="M88" s="576"/>
      <c r="N88" s="576"/>
      <c r="O88" s="576"/>
      <c r="P88" s="578"/>
      <c r="Q88" s="579"/>
      <c r="R88" s="580"/>
      <c r="S88" s="580"/>
      <c r="T88" s="580"/>
      <c r="U88" s="580"/>
      <c r="V88" s="581"/>
      <c r="W88" s="606" t="s">
        <v>204</v>
      </c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  <c r="AI88" s="608"/>
    </row>
    <row r="89" ht="15.75" customHeight="1" spans="1:35" s="571" customFormat="1" x14ac:dyDescent="0.25">
      <c r="A89" s="585"/>
      <c r="B89" s="586"/>
      <c r="C89" s="586"/>
      <c r="D89" s="587"/>
      <c r="E89" s="575">
        <f>E88</f>
        <v>0.3333333333321207</v>
      </c>
      <c r="F89" s="576"/>
      <c r="G89" s="576"/>
      <c r="H89" s="576"/>
      <c r="I89" s="576"/>
      <c r="J89" s="577"/>
      <c r="K89" s="576">
        <v>0.40277777777737356</v>
      </c>
      <c r="L89" s="576"/>
      <c r="M89" s="576"/>
      <c r="N89" s="576"/>
      <c r="O89" s="576"/>
      <c r="P89" s="578"/>
      <c r="Q89" s="579">
        <f t="shared" ref="Q89:Q91" si="15">IF(AND(NOT(ISBLANK(K89)),NOT(ISBLANK(E89))), IF(K89&gt;E89,K89-E89,24-E89+K89), "")</f>
        <v>0.06944444444525288</v>
      </c>
      <c r="R89" s="580"/>
      <c r="S89" s="580"/>
      <c r="T89" s="580"/>
      <c r="U89" s="580"/>
      <c r="V89" s="581"/>
      <c r="W89" s="582" t="s">
        <v>205</v>
      </c>
      <c r="X89" s="583"/>
      <c r="Y89" s="583"/>
      <c r="Z89" s="583"/>
      <c r="AA89" s="583"/>
      <c r="AB89" s="583"/>
      <c r="AC89" s="583"/>
      <c r="AD89" s="583"/>
      <c r="AE89" s="583"/>
      <c r="AF89" s="583"/>
      <c r="AG89" s="583"/>
      <c r="AH89" s="583"/>
      <c r="AI89" s="584"/>
    </row>
    <row r="90" ht="15.75" customHeight="1" spans="1:35" s="571" customFormat="1" x14ac:dyDescent="0.25">
      <c r="A90" s="588"/>
      <c r="B90" s="54"/>
      <c r="C90" s="54"/>
      <c r="D90" s="55"/>
      <c r="E90" s="575"/>
      <c r="F90" s="576"/>
      <c r="G90" s="576"/>
      <c r="H90" s="576"/>
      <c r="I90" s="576"/>
      <c r="J90" s="577"/>
      <c r="K90" s="576">
        <f>K89</f>
        <v>0.40277777777737356</v>
      </c>
      <c r="L90" s="576"/>
      <c r="M90" s="576"/>
      <c r="N90" s="576"/>
      <c r="O90" s="576"/>
      <c r="P90" s="578"/>
      <c r="Q90" s="579">
        <f t="shared" ref="Q90:Q95" si="16">IF(AND(NOT(ISBLANK(K90)),NOT(ISBLANK(E90))), IF(K90&gt;E90,K90-E90,24-E90+K90), "")</f>
      </c>
      <c r="R90" s="580"/>
      <c r="S90" s="580"/>
      <c r="T90" s="580"/>
      <c r="U90" s="580"/>
      <c r="V90" s="581"/>
      <c r="W90" s="582" t="s">
        <v>209</v>
      </c>
      <c r="X90" s="583"/>
      <c r="Y90" s="583"/>
      <c r="Z90" s="583"/>
      <c r="AA90" s="583"/>
      <c r="AB90" s="583"/>
      <c r="AC90" s="583"/>
      <c r="AD90" s="583"/>
      <c r="AE90" s="583"/>
      <c r="AF90" s="583"/>
      <c r="AG90" s="583"/>
      <c r="AH90" s="583"/>
      <c r="AI90" s="584"/>
    </row>
    <row r="91" ht="15.75" customHeight="1" spans="1:35" s="571" customFormat="1" x14ac:dyDescent="0.25">
      <c r="A91" s="588"/>
      <c r="B91" s="54"/>
      <c r="C91" s="54"/>
      <c r="D91" s="55"/>
      <c r="E91" s="575">
        <v>0.40972222222262644</v>
      </c>
      <c r="F91" s="576"/>
      <c r="G91" s="576"/>
      <c r="H91" s="576"/>
      <c r="I91" s="576"/>
      <c r="J91" s="577"/>
      <c r="K91" s="576"/>
      <c r="L91" s="576"/>
      <c r="M91" s="576"/>
      <c r="N91" s="576"/>
      <c r="O91" s="576"/>
      <c r="P91" s="578"/>
      <c r="Q91" s="579">
        <f t="shared" si="16"/>
      </c>
      <c r="R91" s="580"/>
      <c r="S91" s="580"/>
      <c r="T91" s="580"/>
      <c r="U91" s="580"/>
      <c r="V91" s="581"/>
      <c r="W91" s="582" t="s">
        <v>198</v>
      </c>
      <c r="X91" s="583"/>
      <c r="Y91" s="583"/>
      <c r="Z91" s="583"/>
      <c r="AA91" s="583"/>
      <c r="AB91" s="583"/>
      <c r="AC91" s="583"/>
      <c r="AD91" s="583"/>
      <c r="AE91" s="583"/>
      <c r="AF91" s="583"/>
      <c r="AG91" s="583"/>
      <c r="AH91" s="583"/>
      <c r="AI91" s="584"/>
    </row>
    <row r="92" ht="15.75" customHeight="1" spans="1:35" s="571" customFormat="1" x14ac:dyDescent="0.25">
      <c r="A92" s="588"/>
      <c r="B92" s="54"/>
      <c r="C92" s="54"/>
      <c r="D92" s="55"/>
      <c r="E92" s="575">
        <f>E91</f>
        <v>0.40972222222262644</v>
      </c>
      <c r="F92" s="576"/>
      <c r="G92" s="576"/>
      <c r="H92" s="576"/>
      <c r="I92" s="576"/>
      <c r="J92" s="577"/>
      <c r="K92" s="576">
        <v>0.5</v>
      </c>
      <c r="L92" s="576"/>
      <c r="M92" s="576"/>
      <c r="N92" s="576"/>
      <c r="O92" s="576"/>
      <c r="P92" s="578"/>
      <c r="Q92" s="579">
        <f t="shared" si="16"/>
        <v>0.09027777777737356</v>
      </c>
      <c r="R92" s="580"/>
      <c r="S92" s="580"/>
      <c r="T92" s="580"/>
      <c r="U92" s="580"/>
      <c r="V92" s="581"/>
      <c r="W92" s="582" t="s">
        <v>200</v>
      </c>
      <c r="X92" s="583"/>
      <c r="Y92" s="583"/>
      <c r="Z92" s="583"/>
      <c r="AA92" s="583"/>
      <c r="AB92" s="583"/>
      <c r="AC92" s="583"/>
      <c r="AD92" s="583"/>
      <c r="AE92" s="583"/>
      <c r="AF92" s="583"/>
      <c r="AG92" s="583"/>
      <c r="AH92" s="583"/>
      <c r="AI92" s="584"/>
    </row>
    <row r="93" ht="15.75" customHeight="1" spans="1:35" s="571" customFormat="1" x14ac:dyDescent="0.25">
      <c r="A93" s="588"/>
      <c r="B93" s="54"/>
      <c r="C93" s="54"/>
      <c r="D93" s="55"/>
      <c r="E93" s="575">
        <f>K92</f>
        <v>0.5</v>
      </c>
      <c r="F93" s="576"/>
      <c r="G93" s="576"/>
      <c r="H93" s="576"/>
      <c r="I93" s="576"/>
      <c r="J93" s="577"/>
      <c r="K93" s="576">
        <v>0.5416666666678793</v>
      </c>
      <c r="L93" s="576"/>
      <c r="M93" s="576"/>
      <c r="N93" s="576"/>
      <c r="O93" s="576"/>
      <c r="P93" s="578"/>
      <c r="Q93" s="579">
        <f t="shared" si="16"/>
        <v>0.041666666667879326</v>
      </c>
      <c r="R93" s="580"/>
      <c r="S93" s="580"/>
      <c r="T93" s="580"/>
      <c r="U93" s="580"/>
      <c r="V93" s="581"/>
      <c r="W93" s="582" t="s">
        <v>201</v>
      </c>
      <c r="X93" s="583"/>
      <c r="Y93" s="583"/>
      <c r="Z93" s="583"/>
      <c r="AA93" s="583"/>
      <c r="AB93" s="583"/>
      <c r="AC93" s="583"/>
      <c r="AD93" s="583"/>
      <c r="AE93" s="583"/>
      <c r="AF93" s="583"/>
      <c r="AG93" s="583"/>
      <c r="AH93" s="583"/>
      <c r="AI93" s="584"/>
    </row>
    <row r="94" ht="15.75" customHeight="1" spans="1:35" s="571" customFormat="1" x14ac:dyDescent="0.25">
      <c r="A94" s="588"/>
      <c r="B94" s="54"/>
      <c r="C94" s="54"/>
      <c r="D94" s="55"/>
      <c r="E94" s="575">
        <f>K93</f>
        <v>0.5416666666678793</v>
      </c>
      <c r="F94" s="576"/>
      <c r="G94" s="576"/>
      <c r="H94" s="576"/>
      <c r="I94" s="576"/>
      <c r="J94" s="577"/>
      <c r="K94" s="576">
        <v>0.5694444444452529</v>
      </c>
      <c r="L94" s="576"/>
      <c r="M94" s="576"/>
      <c r="N94" s="576"/>
      <c r="O94" s="576"/>
      <c r="P94" s="578"/>
      <c r="Q94" s="579">
        <f t="shared" si="16"/>
        <v>0.027777777777373558</v>
      </c>
      <c r="R94" s="580"/>
      <c r="S94" s="580"/>
      <c r="T94" s="580"/>
      <c r="U94" s="580"/>
      <c r="V94" s="581"/>
      <c r="W94" s="582" t="s">
        <v>200</v>
      </c>
      <c r="X94" s="583"/>
      <c r="Y94" s="583"/>
      <c r="Z94" s="583"/>
      <c r="AA94" s="583"/>
      <c r="AB94" s="583"/>
      <c r="AC94" s="583"/>
      <c r="AD94" s="583"/>
      <c r="AE94" s="583"/>
      <c r="AF94" s="583"/>
      <c r="AG94" s="583"/>
      <c r="AH94" s="583"/>
      <c r="AI94" s="584"/>
    </row>
    <row r="95" ht="15.75" customHeight="1" spans="1:35" s="571" customFormat="1" x14ac:dyDescent="0.25">
      <c r="A95" s="588"/>
      <c r="B95" s="54"/>
      <c r="C95" s="54"/>
      <c r="D95" s="55"/>
      <c r="E95" s="575"/>
      <c r="F95" s="576"/>
      <c r="G95" s="576"/>
      <c r="H95" s="576"/>
      <c r="I95" s="576"/>
      <c r="J95" s="577"/>
      <c r="K95" s="589">
        <f>K94</f>
        <v>0.5694444444452529</v>
      </c>
      <c r="L95" s="576"/>
      <c r="M95" s="576"/>
      <c r="N95" s="576"/>
      <c r="O95" s="576"/>
      <c r="P95" s="578"/>
      <c r="Q95" s="579">
        <f t="shared" si="16"/>
      </c>
      <c r="R95" s="580"/>
      <c r="S95" s="580"/>
      <c r="T95" s="580"/>
      <c r="U95" s="580"/>
      <c r="V95" s="581"/>
      <c r="W95" s="582" t="s">
        <v>202</v>
      </c>
      <c r="X95" s="583"/>
      <c r="Y95" s="583"/>
      <c r="Z95" s="583"/>
      <c r="AA95" s="583"/>
      <c r="AB95" s="583"/>
      <c r="AC95" s="583"/>
      <c r="AD95" s="583"/>
      <c r="AE95" s="583"/>
      <c r="AF95" s="583"/>
      <c r="AG95" s="583"/>
      <c r="AH95" s="583"/>
      <c r="AI95" s="584"/>
    </row>
    <row r="96" ht="15.75" customHeight="1" spans="1:35" s="571" customFormat="1" x14ac:dyDescent="0.25">
      <c r="A96" s="588"/>
      <c r="B96" s="54"/>
      <c r="C96" s="54"/>
      <c r="D96" s="55"/>
      <c r="E96" s="575"/>
      <c r="F96" s="576"/>
      <c r="G96" s="576"/>
      <c r="H96" s="576"/>
      <c r="I96" s="576"/>
      <c r="J96" s="577"/>
      <c r="K96" s="576"/>
      <c r="L96" s="576"/>
      <c r="M96" s="576"/>
      <c r="N96" s="576"/>
      <c r="O96" s="576"/>
      <c r="P96" s="578"/>
      <c r="Q96" s="579"/>
      <c r="R96" s="580"/>
      <c r="S96" s="580"/>
      <c r="T96" s="580"/>
      <c r="U96" s="580"/>
      <c r="V96" s="581"/>
      <c r="W96" s="582"/>
      <c r="X96" s="583"/>
      <c r="Y96" s="583"/>
      <c r="Z96" s="583"/>
      <c r="AA96" s="583"/>
      <c r="AB96" s="583"/>
      <c r="AC96" s="583"/>
      <c r="AD96" s="583"/>
      <c r="AE96" s="583"/>
      <c r="AF96" s="583"/>
      <c r="AG96" s="583"/>
      <c r="AH96" s="583"/>
      <c r="AI96" s="584"/>
    </row>
    <row r="97" ht="15.75" customHeight="1" hidden="1" spans="1:35" s="571" customFormat="1" x14ac:dyDescent="0.25">
      <c r="A97" s="588"/>
      <c r="B97" s="54"/>
      <c r="C97" s="54"/>
      <c r="D97" s="55"/>
      <c r="E97" s="575"/>
      <c r="F97" s="576"/>
      <c r="G97" s="576"/>
      <c r="H97" s="576"/>
      <c r="I97" s="576"/>
      <c r="J97" s="577"/>
      <c r="K97" s="589"/>
      <c r="L97" s="576"/>
      <c r="M97" s="576"/>
      <c r="N97" s="576"/>
      <c r="O97" s="576"/>
      <c r="P97" s="578"/>
      <c r="Q97" s="579"/>
      <c r="R97" s="580"/>
      <c r="S97" s="580"/>
      <c r="T97" s="580"/>
      <c r="U97" s="580"/>
      <c r="V97" s="581"/>
      <c r="W97" s="582"/>
      <c r="X97" s="583"/>
      <c r="Y97" s="583"/>
      <c r="Z97" s="583"/>
      <c r="AA97" s="583"/>
      <c r="AB97" s="583"/>
      <c r="AC97" s="583"/>
      <c r="AD97" s="583"/>
      <c r="AE97" s="583"/>
      <c r="AF97" s="583"/>
      <c r="AG97" s="583"/>
      <c r="AH97" s="583"/>
      <c r="AI97" s="584"/>
    </row>
    <row r="98" ht="15.75" customHeight="1" hidden="1" spans="1:35" s="571" customFormat="1" x14ac:dyDescent="0.25">
      <c r="A98" s="588"/>
      <c r="B98" s="54"/>
      <c r="C98" s="54"/>
      <c r="D98" s="55"/>
      <c r="E98" s="575"/>
      <c r="F98" s="576"/>
      <c r="G98" s="576"/>
      <c r="H98" s="576"/>
      <c r="I98" s="576"/>
      <c r="J98" s="577"/>
      <c r="K98" s="576"/>
      <c r="L98" s="576"/>
      <c r="M98" s="576"/>
      <c r="N98" s="576"/>
      <c r="O98" s="576"/>
      <c r="P98" s="578"/>
      <c r="Q98" s="579"/>
      <c r="R98" s="580"/>
      <c r="S98" s="580"/>
      <c r="T98" s="580"/>
      <c r="U98" s="580"/>
      <c r="V98" s="581"/>
      <c r="W98" s="582"/>
      <c r="X98" s="583"/>
      <c r="Y98" s="583"/>
      <c r="Z98" s="583"/>
      <c r="AA98" s="583"/>
      <c r="AB98" s="583"/>
      <c r="AC98" s="583"/>
      <c r="AD98" s="583"/>
      <c r="AE98" s="583"/>
      <c r="AF98" s="583"/>
      <c r="AG98" s="583"/>
      <c r="AH98" s="583"/>
      <c r="AI98" s="584"/>
    </row>
    <row r="99" ht="15.75" customHeight="1" hidden="1" spans="1:35" s="571" customFormat="1" x14ac:dyDescent="0.25">
      <c r="A99" s="588"/>
      <c r="B99" s="54"/>
      <c r="C99" s="54"/>
      <c r="D99" s="55"/>
      <c r="E99" s="575"/>
      <c r="F99" s="576"/>
      <c r="G99" s="576"/>
      <c r="H99" s="576"/>
      <c r="I99" s="576"/>
      <c r="J99" s="577"/>
      <c r="K99" s="589"/>
      <c r="L99" s="576"/>
      <c r="M99" s="576"/>
      <c r="N99" s="576"/>
      <c r="O99" s="576"/>
      <c r="P99" s="578"/>
      <c r="Q99" s="579"/>
      <c r="R99" s="580"/>
      <c r="S99" s="580"/>
      <c r="T99" s="580"/>
      <c r="U99" s="580"/>
      <c r="V99" s="581"/>
      <c r="W99" s="582"/>
      <c r="X99" s="583"/>
      <c r="Y99" s="583"/>
      <c r="Z99" s="583"/>
      <c r="AA99" s="583"/>
      <c r="AB99" s="583"/>
      <c r="AC99" s="583"/>
      <c r="AD99" s="583"/>
      <c r="AE99" s="583"/>
      <c r="AF99" s="583"/>
      <c r="AG99" s="583"/>
      <c r="AH99" s="583"/>
      <c r="AI99" s="584"/>
    </row>
    <row r="100" ht="15.75" customHeight="1" hidden="1" spans="1:35" s="571" customFormat="1" x14ac:dyDescent="0.25">
      <c r="A100" s="588"/>
      <c r="B100" s="54"/>
      <c r="C100" s="54"/>
      <c r="D100" s="55"/>
      <c r="E100" s="575"/>
      <c r="F100" s="576"/>
      <c r="G100" s="576"/>
      <c r="H100" s="576"/>
      <c r="I100" s="576"/>
      <c r="J100" s="577"/>
      <c r="K100" s="576"/>
      <c r="L100" s="576"/>
      <c r="M100" s="576"/>
      <c r="N100" s="576"/>
      <c r="O100" s="576"/>
      <c r="P100" s="578"/>
      <c r="Q100" s="579"/>
      <c r="R100" s="580"/>
      <c r="S100" s="580"/>
      <c r="T100" s="580"/>
      <c r="U100" s="580"/>
      <c r="V100" s="581"/>
      <c r="W100" s="582"/>
      <c r="X100" s="583"/>
      <c r="Y100" s="583"/>
      <c r="Z100" s="583"/>
      <c r="AA100" s="583"/>
      <c r="AB100" s="583"/>
      <c r="AC100" s="583"/>
      <c r="AD100" s="583"/>
      <c r="AE100" s="583"/>
      <c r="AF100" s="583"/>
      <c r="AG100" s="583"/>
      <c r="AH100" s="583"/>
      <c r="AI100" s="584"/>
    </row>
    <row r="101" ht="15.75" customHeight="1" hidden="1" spans="1:35" s="571" customFormat="1" x14ac:dyDescent="0.25">
      <c r="A101" s="588"/>
      <c r="B101" s="54"/>
      <c r="C101" s="54"/>
      <c r="D101" s="55"/>
      <c r="E101" s="575"/>
      <c r="F101" s="576"/>
      <c r="G101" s="576"/>
      <c r="H101" s="576"/>
      <c r="I101" s="576"/>
      <c r="J101" s="577"/>
      <c r="K101" s="576"/>
      <c r="L101" s="576"/>
      <c r="M101" s="576"/>
      <c r="N101" s="576"/>
      <c r="O101" s="576"/>
      <c r="P101" s="578"/>
      <c r="Q101" s="579"/>
      <c r="R101" s="580"/>
      <c r="S101" s="580"/>
      <c r="T101" s="580"/>
      <c r="U101" s="580"/>
      <c r="V101" s="581"/>
      <c r="W101" s="582"/>
      <c r="X101" s="583"/>
      <c r="Y101" s="583"/>
      <c r="Z101" s="583"/>
      <c r="AA101" s="583"/>
      <c r="AB101" s="583"/>
      <c r="AC101" s="583"/>
      <c r="AD101" s="583"/>
      <c r="AE101" s="583"/>
      <c r="AF101" s="583"/>
      <c r="AG101" s="583"/>
      <c r="AH101" s="583"/>
      <c r="AI101" s="584"/>
    </row>
    <row r="102" ht="15.75" customHeight="1" hidden="1" spans="1:35" s="571" customFormat="1" x14ac:dyDescent="0.25">
      <c r="A102" s="588"/>
      <c r="B102" s="54"/>
      <c r="C102" s="54"/>
      <c r="D102" s="55"/>
      <c r="E102" s="575"/>
      <c r="F102" s="576"/>
      <c r="G102" s="576"/>
      <c r="H102" s="576"/>
      <c r="I102" s="576"/>
      <c r="J102" s="577"/>
      <c r="K102" s="576"/>
      <c r="L102" s="576"/>
      <c r="M102" s="576"/>
      <c r="N102" s="576"/>
      <c r="O102" s="576"/>
      <c r="P102" s="578"/>
      <c r="Q102" s="579"/>
      <c r="R102" s="580"/>
      <c r="S102" s="580"/>
      <c r="T102" s="580"/>
      <c r="U102" s="580"/>
      <c r="V102" s="581"/>
      <c r="W102" s="582"/>
      <c r="X102" s="583"/>
      <c r="Y102" s="583"/>
      <c r="Z102" s="583"/>
      <c r="AA102" s="583"/>
      <c r="AB102" s="583"/>
      <c r="AC102" s="583"/>
      <c r="AD102" s="583"/>
      <c r="AE102" s="583"/>
      <c r="AF102" s="583"/>
      <c r="AG102" s="583"/>
      <c r="AH102" s="583"/>
      <c r="AI102" s="584"/>
    </row>
    <row r="103" ht="15.75" customHeight="1" hidden="1" spans="1:35" s="571" customFormat="1" x14ac:dyDescent="0.25">
      <c r="A103" s="588"/>
      <c r="B103" s="54"/>
      <c r="C103" s="54"/>
      <c r="D103" s="55"/>
      <c r="E103" s="575"/>
      <c r="F103" s="576"/>
      <c r="G103" s="576"/>
      <c r="H103" s="576"/>
      <c r="I103" s="576"/>
      <c r="J103" s="577"/>
      <c r="K103" s="576"/>
      <c r="L103" s="576"/>
      <c r="M103" s="576"/>
      <c r="N103" s="576"/>
      <c r="O103" s="576"/>
      <c r="P103" s="578"/>
      <c r="Q103" s="579"/>
      <c r="R103" s="580"/>
      <c r="S103" s="580"/>
      <c r="T103" s="580"/>
      <c r="U103" s="580"/>
      <c r="V103" s="581"/>
      <c r="W103" s="582"/>
      <c r="X103" s="583"/>
      <c r="Y103" s="583"/>
      <c r="Z103" s="583"/>
      <c r="AA103" s="583"/>
      <c r="AB103" s="583"/>
      <c r="AC103" s="583"/>
      <c r="AD103" s="583"/>
      <c r="AE103" s="583"/>
      <c r="AF103" s="583"/>
      <c r="AG103" s="583"/>
      <c r="AH103" s="583"/>
      <c r="AI103" s="584"/>
    </row>
    <row r="104" ht="15.75" customHeight="1" hidden="1" spans="1:35" s="571" customFormat="1" x14ac:dyDescent="0.25">
      <c r="A104" s="588"/>
      <c r="B104" s="54"/>
      <c r="C104" s="54"/>
      <c r="D104" s="55"/>
      <c r="E104" s="575"/>
      <c r="F104" s="576"/>
      <c r="G104" s="576"/>
      <c r="H104" s="576"/>
      <c r="I104" s="576"/>
      <c r="J104" s="577"/>
      <c r="K104" s="576"/>
      <c r="L104" s="576"/>
      <c r="M104" s="576"/>
      <c r="N104" s="576"/>
      <c r="O104" s="576"/>
      <c r="P104" s="578"/>
      <c r="Q104" s="579">
        <f t="shared" ref="Q104" si="17">IF(AND(NOT(ISBLANK(K104)),NOT(ISBLANK(E104))), IF(K104&gt;E104,K104-E104,24-E104+K104), "")</f>
      </c>
      <c r="R104" s="580"/>
      <c r="S104" s="580"/>
      <c r="T104" s="580"/>
      <c r="U104" s="580"/>
      <c r="V104" s="581"/>
      <c r="W104" s="582"/>
      <c r="X104" s="583"/>
      <c r="Y104" s="583"/>
      <c r="Z104" s="583"/>
      <c r="AA104" s="583"/>
      <c r="AB104" s="583"/>
      <c r="AC104" s="583"/>
      <c r="AD104" s="583"/>
      <c r="AE104" s="583"/>
      <c r="AF104" s="583"/>
      <c r="AG104" s="583"/>
      <c r="AH104" s="583"/>
      <c r="AI104" s="584"/>
    </row>
    <row r="105" ht="15.75" customHeight="1" spans="1:35" s="571" customFormat="1" x14ac:dyDescent="0.25">
      <c r="A105" s="590"/>
      <c r="B105" s="591"/>
      <c r="C105" s="591"/>
      <c r="D105" s="592"/>
      <c r="E105" s="593"/>
      <c r="F105" s="594"/>
      <c r="G105" s="594"/>
      <c r="H105" s="594"/>
      <c r="I105" s="594"/>
      <c r="J105" s="595"/>
      <c r="K105" s="594"/>
      <c r="L105" s="594"/>
      <c r="M105" s="594"/>
      <c r="N105" s="594"/>
      <c r="O105" s="594"/>
      <c r="P105" s="596"/>
      <c r="Q105" s="597">
        <f t="shared" ref="Q105" si="18">IF(AND(NOT(ISBLANK(K105)),NOT(ISBLANK(E105))), IF(K105&gt;E105,K105-E105,24-E105+K105), "")</f>
      </c>
      <c r="R105" s="598"/>
      <c r="S105" s="598"/>
      <c r="T105" s="598"/>
      <c r="U105" s="598"/>
      <c r="V105" s="599"/>
      <c r="W105" s="590"/>
      <c r="X105" s="591"/>
      <c r="Y105" s="591"/>
      <c r="Z105" s="591"/>
      <c r="AA105" s="591"/>
      <c r="AB105" s="591"/>
      <c r="AC105" s="591"/>
      <c r="AD105" s="591"/>
      <c r="AE105" s="591"/>
      <c r="AF105" s="591"/>
      <c r="AG105" s="591"/>
      <c r="AH105" s="591"/>
      <c r="AI105" s="592"/>
    </row>
    <row r="106" ht="15.75" customHeight="1" spans="1:35" s="571" customFormat="1" x14ac:dyDescent="0.25">
      <c r="A106" s="600"/>
      <c r="B106" s="601"/>
      <c r="C106" s="601"/>
      <c r="D106" s="601"/>
      <c r="E106" s="601"/>
      <c r="F106" s="601"/>
      <c r="G106" s="601"/>
      <c r="H106" s="601"/>
      <c r="I106" s="601"/>
      <c r="J106" s="601"/>
      <c r="K106" s="601"/>
      <c r="L106" s="601"/>
      <c r="M106" s="601"/>
      <c r="N106" s="601"/>
      <c r="O106" s="601"/>
      <c r="P106" s="602"/>
      <c r="Q106" s="603">
        <f>SUM(Q88:V105)</f>
        <v>0.22916666666787933</v>
      </c>
      <c r="R106" s="604"/>
      <c r="S106" s="604"/>
      <c r="T106" s="604"/>
      <c r="U106" s="604"/>
      <c r="V106" s="605"/>
      <c r="W106" s="600"/>
      <c r="X106" s="601"/>
      <c r="Y106" s="601"/>
      <c r="Z106" s="601"/>
      <c r="AA106" s="601"/>
      <c r="AB106" s="601"/>
      <c r="AC106" s="601"/>
      <c r="AD106" s="601"/>
      <c r="AE106" s="601"/>
      <c r="AF106" s="601"/>
      <c r="AG106" s="601"/>
      <c r="AH106" s="601"/>
      <c r="AI106" s="602"/>
    </row>
    <row r="107" ht="15.75" customHeight="1" hidden="1" spans="1:41" s="571" customFormat="1" x14ac:dyDescent="0.25">
      <c r="A107" s="618"/>
      <c r="B107" s="619"/>
      <c r="C107" s="619"/>
      <c r="D107" s="620"/>
      <c r="E107" s="575"/>
      <c r="F107" s="576"/>
      <c r="G107" s="576"/>
      <c r="H107" s="576"/>
      <c r="I107" s="576"/>
      <c r="J107" s="577"/>
      <c r="K107" s="589"/>
      <c r="L107" s="576"/>
      <c r="M107" s="576"/>
      <c r="N107" s="576"/>
      <c r="O107" s="576"/>
      <c r="P107" s="578"/>
      <c r="Q107" s="579"/>
      <c r="R107" s="580"/>
      <c r="S107" s="580"/>
      <c r="T107" s="580"/>
      <c r="U107" s="580"/>
      <c r="V107" s="581"/>
      <c r="W107" s="606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8"/>
      <c r="AO107" s="571" t="s">
        <v>40</v>
      </c>
    </row>
    <row r="108" ht="15.75" customHeight="1" hidden="1" spans="1:35" s="571" customFormat="1" x14ac:dyDescent="0.25">
      <c r="A108" s="588"/>
      <c r="B108" s="54"/>
      <c r="C108" s="54"/>
      <c r="D108" s="55"/>
      <c r="E108" s="575"/>
      <c r="F108" s="576"/>
      <c r="G108" s="576"/>
      <c r="H108" s="576"/>
      <c r="I108" s="576"/>
      <c r="J108" s="577"/>
      <c r="K108" s="576"/>
      <c r="L108" s="576"/>
      <c r="M108" s="576"/>
      <c r="N108" s="576"/>
      <c r="O108" s="576"/>
      <c r="P108" s="578"/>
      <c r="Q108" s="579">
        <f t="shared" ref="Q108:Q119" si="19">IF(AND(NOT(ISBLANK(K108)),NOT(ISBLANK(E108))), IF(K108&gt;E108,K108-E108,24-E108+K108), "")</f>
      </c>
      <c r="R108" s="580"/>
      <c r="S108" s="580"/>
      <c r="T108" s="580"/>
      <c r="U108" s="580"/>
      <c r="V108" s="581"/>
      <c r="W108" s="582"/>
      <c r="X108" s="583"/>
      <c r="Y108" s="583"/>
      <c r="Z108" s="583"/>
      <c r="AA108" s="583"/>
      <c r="AB108" s="583"/>
      <c r="AC108" s="583"/>
      <c r="AD108" s="583"/>
      <c r="AE108" s="583"/>
      <c r="AF108" s="583"/>
      <c r="AG108" s="583"/>
      <c r="AH108" s="583"/>
      <c r="AI108" s="584"/>
    </row>
    <row r="109" ht="15.75" customHeight="1" hidden="1" spans="1:35" s="571" customFormat="1" x14ac:dyDescent="0.25">
      <c r="A109" s="588"/>
      <c r="B109" s="54"/>
      <c r="C109" s="54"/>
      <c r="D109" s="55"/>
      <c r="E109" s="575"/>
      <c r="F109" s="576"/>
      <c r="G109" s="576"/>
      <c r="H109" s="576"/>
      <c r="I109" s="576"/>
      <c r="J109" s="577"/>
      <c r="K109" s="576"/>
      <c r="L109" s="576"/>
      <c r="M109" s="576"/>
      <c r="N109" s="576"/>
      <c r="O109" s="576"/>
      <c r="P109" s="578"/>
      <c r="Q109" s="579">
        <f t="shared" si="19"/>
      </c>
      <c r="R109" s="580"/>
      <c r="S109" s="580"/>
      <c r="T109" s="580"/>
      <c r="U109" s="580"/>
      <c r="V109" s="581"/>
      <c r="W109" s="582"/>
      <c r="X109" s="583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3"/>
      <c r="AI109" s="584"/>
    </row>
    <row r="110" ht="15.75" customHeight="1" hidden="1" spans="1:35" s="571" customFormat="1" x14ac:dyDescent="0.25">
      <c r="A110" s="588"/>
      <c r="B110" s="54"/>
      <c r="C110" s="54"/>
      <c r="D110" s="55"/>
      <c r="E110" s="575"/>
      <c r="F110" s="576"/>
      <c r="G110" s="576"/>
      <c r="H110" s="576"/>
      <c r="I110" s="576"/>
      <c r="J110" s="577"/>
      <c r="K110" s="576"/>
      <c r="L110" s="576"/>
      <c r="M110" s="576"/>
      <c r="N110" s="576"/>
      <c r="O110" s="576"/>
      <c r="P110" s="578"/>
      <c r="Q110" s="579">
        <f t="shared" si="19"/>
      </c>
      <c r="R110" s="580"/>
      <c r="S110" s="580"/>
      <c r="T110" s="580"/>
      <c r="U110" s="580"/>
      <c r="V110" s="581"/>
      <c r="W110" s="582"/>
      <c r="X110" s="583"/>
      <c r="Y110" s="583"/>
      <c r="Z110" s="583"/>
      <c r="AA110" s="583"/>
      <c r="AB110" s="583"/>
      <c r="AC110" s="583"/>
      <c r="AD110" s="583"/>
      <c r="AE110" s="583"/>
      <c r="AF110" s="583"/>
      <c r="AG110" s="583"/>
      <c r="AH110" s="583"/>
      <c r="AI110" s="584"/>
    </row>
    <row r="111" ht="15.75" customHeight="1" hidden="1" spans="1:35" s="571" customFormat="1" x14ac:dyDescent="0.25">
      <c r="A111" s="588"/>
      <c r="B111" s="54"/>
      <c r="C111" s="54"/>
      <c r="D111" s="55"/>
      <c r="E111" s="575"/>
      <c r="F111" s="576"/>
      <c r="G111" s="576"/>
      <c r="H111" s="576"/>
      <c r="I111" s="576"/>
      <c r="J111" s="577"/>
      <c r="K111" s="576"/>
      <c r="L111" s="576"/>
      <c r="M111" s="576"/>
      <c r="N111" s="576"/>
      <c r="O111" s="576"/>
      <c r="P111" s="578"/>
      <c r="Q111" s="579">
        <f t="shared" si="19"/>
      </c>
      <c r="R111" s="580"/>
      <c r="S111" s="580"/>
      <c r="T111" s="580"/>
      <c r="U111" s="580"/>
      <c r="V111" s="581"/>
      <c r="W111" s="582"/>
      <c r="X111" s="583"/>
      <c r="Y111" s="583"/>
      <c r="Z111" s="583"/>
      <c r="AA111" s="583"/>
      <c r="AB111" s="583"/>
      <c r="AC111" s="583"/>
      <c r="AD111" s="583"/>
      <c r="AE111" s="583"/>
      <c r="AF111" s="583"/>
      <c r="AG111" s="583"/>
      <c r="AH111" s="583"/>
      <c r="AI111" s="584"/>
    </row>
    <row r="112" ht="15.75" customHeight="1" hidden="1" spans="1:35" s="571" customFormat="1" x14ac:dyDescent="0.25">
      <c r="A112" s="588"/>
      <c r="B112" s="54"/>
      <c r="C112" s="54"/>
      <c r="D112" s="55"/>
      <c r="E112" s="575"/>
      <c r="F112" s="576"/>
      <c r="G112" s="576"/>
      <c r="H112" s="576"/>
      <c r="I112" s="576"/>
      <c r="J112" s="577"/>
      <c r="K112" s="576"/>
      <c r="L112" s="576"/>
      <c r="M112" s="576"/>
      <c r="N112" s="576"/>
      <c r="O112" s="576"/>
      <c r="P112" s="578"/>
      <c r="Q112" s="579">
        <f t="shared" si="19"/>
      </c>
      <c r="R112" s="580"/>
      <c r="S112" s="580"/>
      <c r="T112" s="580"/>
      <c r="U112" s="580"/>
      <c r="V112" s="581"/>
      <c r="W112" s="582"/>
      <c r="X112" s="583"/>
      <c r="Y112" s="583"/>
      <c r="Z112" s="583"/>
      <c r="AA112" s="583"/>
      <c r="AB112" s="583"/>
      <c r="AC112" s="583"/>
      <c r="AD112" s="583"/>
      <c r="AE112" s="583"/>
      <c r="AF112" s="583"/>
      <c r="AG112" s="583"/>
      <c r="AH112" s="583"/>
      <c r="AI112" s="584"/>
    </row>
    <row r="113" ht="15.75" customHeight="1" hidden="1" spans="1:35" s="571" customFormat="1" x14ac:dyDescent="0.25">
      <c r="A113" s="588"/>
      <c r="B113" s="54"/>
      <c r="C113" s="54"/>
      <c r="D113" s="55"/>
      <c r="E113" s="575"/>
      <c r="F113" s="576"/>
      <c r="G113" s="576"/>
      <c r="H113" s="576"/>
      <c r="I113" s="576"/>
      <c r="J113" s="577"/>
      <c r="K113" s="576"/>
      <c r="L113" s="576"/>
      <c r="M113" s="576"/>
      <c r="N113" s="576"/>
      <c r="O113" s="576"/>
      <c r="P113" s="578"/>
      <c r="Q113" s="579">
        <f t="shared" si="19"/>
      </c>
      <c r="R113" s="580"/>
      <c r="S113" s="580"/>
      <c r="T113" s="580"/>
      <c r="U113" s="580"/>
      <c r="V113" s="581"/>
      <c r="W113" s="582"/>
      <c r="X113" s="583"/>
      <c r="Y113" s="583"/>
      <c r="Z113" s="583"/>
      <c r="AA113" s="583"/>
      <c r="AB113" s="583"/>
      <c r="AC113" s="583"/>
      <c r="AD113" s="583"/>
      <c r="AE113" s="583"/>
      <c r="AF113" s="583"/>
      <c r="AG113" s="583"/>
      <c r="AH113" s="583"/>
      <c r="AI113" s="584"/>
    </row>
    <row r="114" ht="15.75" customHeight="1" hidden="1" spans="1:35" s="571" customFormat="1" x14ac:dyDescent="0.25">
      <c r="A114" s="588"/>
      <c r="B114" s="54"/>
      <c r="C114" s="54"/>
      <c r="D114" s="55"/>
      <c r="E114" s="575"/>
      <c r="F114" s="576"/>
      <c r="G114" s="576"/>
      <c r="H114" s="576"/>
      <c r="I114" s="576"/>
      <c r="J114" s="577"/>
      <c r="K114" s="576"/>
      <c r="L114" s="576"/>
      <c r="M114" s="576"/>
      <c r="N114" s="576"/>
      <c r="O114" s="576"/>
      <c r="P114" s="578"/>
      <c r="Q114" s="579">
        <f t="shared" si="19"/>
      </c>
      <c r="R114" s="580"/>
      <c r="S114" s="580"/>
      <c r="T114" s="580"/>
      <c r="U114" s="580"/>
      <c r="V114" s="581"/>
      <c r="W114" s="582"/>
      <c r="X114" s="583"/>
      <c r="Y114" s="583"/>
      <c r="Z114" s="583"/>
      <c r="AA114" s="583"/>
      <c r="AB114" s="583"/>
      <c r="AC114" s="583"/>
      <c r="AD114" s="583"/>
      <c r="AE114" s="583"/>
      <c r="AF114" s="583"/>
      <c r="AG114" s="583"/>
      <c r="AH114" s="583"/>
      <c r="AI114" s="584"/>
    </row>
    <row r="115" ht="15.75" customHeight="1" hidden="1" spans="1:35" s="571" customFormat="1" x14ac:dyDescent="0.25">
      <c r="A115" s="588"/>
      <c r="B115" s="54"/>
      <c r="C115" s="54"/>
      <c r="D115" s="55"/>
      <c r="E115" s="575"/>
      <c r="F115" s="576"/>
      <c r="G115" s="576"/>
      <c r="H115" s="576"/>
      <c r="I115" s="576"/>
      <c r="J115" s="577"/>
      <c r="K115" s="576"/>
      <c r="L115" s="576"/>
      <c r="M115" s="576"/>
      <c r="N115" s="576"/>
      <c r="O115" s="576"/>
      <c r="P115" s="578"/>
      <c r="Q115" s="579">
        <f t="shared" si="19"/>
      </c>
      <c r="R115" s="580"/>
      <c r="S115" s="580"/>
      <c r="T115" s="580"/>
      <c r="U115" s="580"/>
      <c r="V115" s="581"/>
      <c r="W115" s="582"/>
      <c r="X115" s="583"/>
      <c r="Y115" s="583"/>
      <c r="Z115" s="583"/>
      <c r="AA115" s="583"/>
      <c r="AB115" s="583"/>
      <c r="AC115" s="583"/>
      <c r="AD115" s="583"/>
      <c r="AE115" s="583"/>
      <c r="AF115" s="583"/>
      <c r="AG115" s="583"/>
      <c r="AH115" s="583"/>
      <c r="AI115" s="584"/>
    </row>
    <row r="116" ht="15.75" customHeight="1" hidden="1" spans="1:35" s="571" customFormat="1" x14ac:dyDescent="0.25">
      <c r="A116" s="588"/>
      <c r="B116" s="54"/>
      <c r="C116" s="54"/>
      <c r="D116" s="55"/>
      <c r="E116" s="575"/>
      <c r="F116" s="576"/>
      <c r="G116" s="576"/>
      <c r="H116" s="576"/>
      <c r="I116" s="576"/>
      <c r="J116" s="577"/>
      <c r="K116" s="589"/>
      <c r="L116" s="576"/>
      <c r="M116" s="576"/>
      <c r="N116" s="576"/>
      <c r="O116" s="576"/>
      <c r="P116" s="578"/>
      <c r="Q116" s="579">
        <f t="shared" si="19"/>
      </c>
      <c r="R116" s="580"/>
      <c r="S116" s="580"/>
      <c r="T116" s="580"/>
      <c r="U116" s="580"/>
      <c r="V116" s="581"/>
      <c r="W116" s="582"/>
      <c r="X116" s="583"/>
      <c r="Y116" s="583"/>
      <c r="Z116" s="583"/>
      <c r="AA116" s="583"/>
      <c r="AB116" s="583"/>
      <c r="AC116" s="583"/>
      <c r="AD116" s="583"/>
      <c r="AE116" s="583"/>
      <c r="AF116" s="583"/>
      <c r="AG116" s="583"/>
      <c r="AH116" s="583"/>
      <c r="AI116" s="584"/>
    </row>
    <row r="117" ht="15.75" customHeight="1" hidden="1" spans="1:35" s="571" customFormat="1" x14ac:dyDescent="0.25">
      <c r="A117" s="588"/>
      <c r="B117" s="54"/>
      <c r="C117" s="54"/>
      <c r="D117" s="55"/>
      <c r="E117" s="575"/>
      <c r="F117" s="576"/>
      <c r="G117" s="576"/>
      <c r="H117" s="576"/>
      <c r="I117" s="576"/>
      <c r="J117" s="577"/>
      <c r="K117" s="576"/>
      <c r="L117" s="576"/>
      <c r="M117" s="576"/>
      <c r="N117" s="576"/>
      <c r="O117" s="576"/>
      <c r="P117" s="578"/>
      <c r="Q117" s="579">
        <f t="shared" si="19"/>
      </c>
      <c r="R117" s="580"/>
      <c r="S117" s="580"/>
      <c r="T117" s="580"/>
      <c r="U117" s="580"/>
      <c r="V117" s="581"/>
      <c r="W117" s="582"/>
      <c r="X117" s="583"/>
      <c r="Y117" s="583"/>
      <c r="Z117" s="583"/>
      <c r="AA117" s="583"/>
      <c r="AB117" s="583"/>
      <c r="AC117" s="583"/>
      <c r="AD117" s="583"/>
      <c r="AE117" s="583"/>
      <c r="AF117" s="583"/>
      <c r="AG117" s="583"/>
      <c r="AH117" s="583"/>
      <c r="AI117" s="584"/>
    </row>
    <row r="118" ht="15.75" customHeight="1" hidden="1" spans="1:35" s="571" customFormat="1" x14ac:dyDescent="0.25">
      <c r="A118" s="588"/>
      <c r="B118" s="54"/>
      <c r="C118" s="54"/>
      <c r="D118" s="55"/>
      <c r="E118" s="575"/>
      <c r="F118" s="576"/>
      <c r="G118" s="576"/>
      <c r="H118" s="576"/>
      <c r="I118" s="576"/>
      <c r="J118" s="577"/>
      <c r="K118" s="576"/>
      <c r="L118" s="576"/>
      <c r="M118" s="576"/>
      <c r="N118" s="576"/>
      <c r="O118" s="576"/>
      <c r="P118" s="578"/>
      <c r="Q118" s="579">
        <f t="shared" si="19"/>
      </c>
      <c r="R118" s="580"/>
      <c r="S118" s="580"/>
      <c r="T118" s="580"/>
      <c r="U118" s="580"/>
      <c r="V118" s="581"/>
      <c r="W118" s="582"/>
      <c r="X118" s="583"/>
      <c r="Y118" s="583"/>
      <c r="Z118" s="583"/>
      <c r="AA118" s="583"/>
      <c r="AB118" s="583"/>
      <c r="AC118" s="583"/>
      <c r="AD118" s="583"/>
      <c r="AE118" s="583"/>
      <c r="AF118" s="583"/>
      <c r="AG118" s="583"/>
      <c r="AH118" s="583"/>
      <c r="AI118" s="584"/>
    </row>
    <row r="119" ht="15.75" customHeight="1" hidden="1" spans="1:35" s="571" customFormat="1" x14ac:dyDescent="0.25">
      <c r="A119" s="588"/>
      <c r="B119" s="54"/>
      <c r="C119" s="54"/>
      <c r="D119" s="55"/>
      <c r="E119" s="575"/>
      <c r="F119" s="576"/>
      <c r="G119" s="576"/>
      <c r="H119" s="576"/>
      <c r="I119" s="576"/>
      <c r="J119" s="577"/>
      <c r="K119" s="576"/>
      <c r="L119" s="576"/>
      <c r="M119" s="576"/>
      <c r="N119" s="576"/>
      <c r="O119" s="576"/>
      <c r="P119" s="578"/>
      <c r="Q119" s="579">
        <f t="shared" si="19"/>
      </c>
      <c r="R119" s="580"/>
      <c r="S119" s="580"/>
      <c r="T119" s="580"/>
      <c r="U119" s="580"/>
      <c r="V119" s="581"/>
      <c r="W119" s="582"/>
      <c r="X119" s="583"/>
      <c r="Y119" s="583"/>
      <c r="Z119" s="583"/>
      <c r="AA119" s="583"/>
      <c r="AB119" s="583"/>
      <c r="AC119" s="583"/>
      <c r="AD119" s="583"/>
      <c r="AE119" s="583"/>
      <c r="AF119" s="583"/>
      <c r="AG119" s="583"/>
      <c r="AH119" s="583"/>
      <c r="AI119" s="584"/>
    </row>
    <row r="120" ht="15.75" customHeight="1" hidden="1" spans="1:35" s="571" customFormat="1" x14ac:dyDescent="0.25">
      <c r="A120" s="588"/>
      <c r="B120" s="54"/>
      <c r="C120" s="54"/>
      <c r="D120" s="55"/>
      <c r="E120" s="575"/>
      <c r="F120" s="576"/>
      <c r="G120" s="576"/>
      <c r="H120" s="576"/>
      <c r="I120" s="576"/>
      <c r="J120" s="577"/>
      <c r="K120" s="576"/>
      <c r="L120" s="576"/>
      <c r="M120" s="576"/>
      <c r="N120" s="576"/>
      <c r="O120" s="576"/>
      <c r="P120" s="578"/>
      <c r="Q120" s="579">
        <f t="shared" ref="Q120:Q121" si="20">IF(AND(NOT(ISBLANK(K120)),NOT(ISBLANK(E120))), IF(K120&gt;E120,K120-E120,24-E120+K120), "")</f>
      </c>
      <c r="R120" s="580"/>
      <c r="S120" s="580"/>
      <c r="T120" s="580"/>
      <c r="U120" s="580"/>
      <c r="V120" s="581"/>
      <c r="W120" s="582"/>
      <c r="X120" s="583"/>
      <c r="Y120" s="583"/>
      <c r="Z120" s="583"/>
      <c r="AA120" s="583"/>
      <c r="AB120" s="583"/>
      <c r="AC120" s="583"/>
      <c r="AD120" s="583"/>
      <c r="AE120" s="583"/>
      <c r="AF120" s="583"/>
      <c r="AG120" s="583"/>
      <c r="AH120" s="583"/>
      <c r="AI120" s="584"/>
    </row>
    <row r="121" ht="15.75" customHeight="1" hidden="1" spans="1:35" s="571" customFormat="1" x14ac:dyDescent="0.25">
      <c r="A121" s="588"/>
      <c r="B121" s="54"/>
      <c r="C121" s="54"/>
      <c r="D121" s="55"/>
      <c r="E121" s="575"/>
      <c r="F121" s="576"/>
      <c r="G121" s="576"/>
      <c r="H121" s="576"/>
      <c r="I121" s="576"/>
      <c r="J121" s="577"/>
      <c r="K121" s="576"/>
      <c r="L121" s="576"/>
      <c r="M121" s="576"/>
      <c r="N121" s="576"/>
      <c r="O121" s="576"/>
      <c r="P121" s="578"/>
      <c r="Q121" s="579">
        <f t="shared" si="20"/>
      </c>
      <c r="R121" s="580"/>
      <c r="S121" s="580"/>
      <c r="T121" s="580"/>
      <c r="U121" s="580"/>
      <c r="V121" s="581"/>
      <c r="W121" s="582"/>
      <c r="X121" s="583"/>
      <c r="Y121" s="583"/>
      <c r="Z121" s="583"/>
      <c r="AA121" s="583"/>
      <c r="AB121" s="583"/>
      <c r="AC121" s="583"/>
      <c r="AD121" s="583"/>
      <c r="AE121" s="583"/>
      <c r="AF121" s="583"/>
      <c r="AG121" s="583"/>
      <c r="AH121" s="583"/>
      <c r="AI121" s="584"/>
    </row>
    <row r="122" ht="15.75" customHeight="1" hidden="1" spans="1:35" s="571" customFormat="1" x14ac:dyDescent="0.25">
      <c r="A122" s="588"/>
      <c r="B122" s="54"/>
      <c r="C122" s="54"/>
      <c r="D122" s="55"/>
      <c r="E122" s="575"/>
      <c r="F122" s="576"/>
      <c r="G122" s="576"/>
      <c r="H122" s="576"/>
      <c r="I122" s="576"/>
      <c r="J122" s="577"/>
      <c r="K122" s="576"/>
      <c r="L122" s="576"/>
      <c r="M122" s="576"/>
      <c r="N122" s="576"/>
      <c r="O122" s="576"/>
      <c r="P122" s="578"/>
      <c r="Q122" s="579"/>
      <c r="R122" s="580"/>
      <c r="S122" s="580"/>
      <c r="T122" s="580"/>
      <c r="U122" s="580"/>
      <c r="V122" s="581"/>
      <c r="W122" s="582"/>
      <c r="X122" s="583"/>
      <c r="Y122" s="583"/>
      <c r="Z122" s="583"/>
      <c r="AA122" s="583"/>
      <c r="AB122" s="583"/>
      <c r="AC122" s="583"/>
      <c r="AD122" s="583"/>
      <c r="AE122" s="583"/>
      <c r="AF122" s="583"/>
      <c r="AG122" s="583"/>
      <c r="AH122" s="583"/>
      <c r="AI122" s="584"/>
    </row>
    <row r="123" ht="15.75" customHeight="1" hidden="1" spans="1:35" s="571" customFormat="1" x14ac:dyDescent="0.25">
      <c r="A123" s="590"/>
      <c r="B123" s="591"/>
      <c r="C123" s="591"/>
      <c r="D123" s="592"/>
      <c r="E123" s="593"/>
      <c r="F123" s="594"/>
      <c r="G123" s="594"/>
      <c r="H123" s="594"/>
      <c r="I123" s="594"/>
      <c r="J123" s="595"/>
      <c r="K123" s="621"/>
      <c r="L123" s="594"/>
      <c r="M123" s="594"/>
      <c r="N123" s="594"/>
      <c r="O123" s="594"/>
      <c r="P123" s="596"/>
      <c r="Q123" s="597">
        <f t="shared" ref="Q123" si="21">IF(AND(NOT(ISBLANK(K123)),NOT(ISBLANK(E123))), IF(K123&gt;E123,K123-E123,24-E123+K123), "")</f>
      </c>
      <c r="R123" s="598"/>
      <c r="S123" s="598"/>
      <c r="T123" s="598"/>
      <c r="U123" s="598"/>
      <c r="V123" s="599"/>
      <c r="W123" s="610"/>
      <c r="X123" s="611"/>
      <c r="Y123" s="611"/>
      <c r="Z123" s="611"/>
      <c r="AA123" s="611"/>
      <c r="AB123" s="611"/>
      <c r="AC123" s="611"/>
      <c r="AD123" s="611"/>
      <c r="AE123" s="611"/>
      <c r="AF123" s="611"/>
      <c r="AG123" s="611"/>
      <c r="AH123" s="611"/>
      <c r="AI123" s="612"/>
    </row>
    <row r="124" ht="15.75" customHeight="1" hidden="1" spans="1:35" s="40" customFormat="1" x14ac:dyDescent="0.25">
      <c r="A124" s="600"/>
      <c r="B124" s="601"/>
      <c r="C124" s="601"/>
      <c r="D124" s="601"/>
      <c r="E124" s="601"/>
      <c r="F124" s="601"/>
      <c r="G124" s="601"/>
      <c r="H124" s="601"/>
      <c r="I124" s="601"/>
      <c r="J124" s="601"/>
      <c r="K124" s="601"/>
      <c r="L124" s="601"/>
      <c r="M124" s="601"/>
      <c r="N124" s="601"/>
      <c r="O124" s="601"/>
      <c r="P124" s="602"/>
      <c r="Q124" s="603">
        <f>SUM(Q107:V123)</f>
        <v>0</v>
      </c>
      <c r="R124" s="604"/>
      <c r="S124" s="604"/>
      <c r="T124" s="604"/>
      <c r="U124" s="604"/>
      <c r="V124" s="605"/>
      <c r="W124" s="614"/>
      <c r="X124" s="615"/>
      <c r="Y124" s="615"/>
      <c r="Z124" s="615"/>
      <c r="AA124" s="615"/>
      <c r="AB124" s="615"/>
      <c r="AC124" s="615"/>
      <c r="AD124" s="615"/>
      <c r="AE124" s="615"/>
      <c r="AF124" s="615"/>
      <c r="AG124" s="615"/>
      <c r="AH124" s="615"/>
      <c r="AI124" s="616"/>
    </row>
    <row r="125" spans="1:2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</sheetData>
  <mergeCells count="562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D67"/>
    <mergeCell ref="E67:J67"/>
    <mergeCell ref="K67:P67"/>
    <mergeCell ref="Q67:V67"/>
    <mergeCell ref="W67:AI67"/>
    <mergeCell ref="A68:D68"/>
    <mergeCell ref="E68:J68"/>
    <mergeCell ref="K68:P68"/>
    <mergeCell ref="Q68:V68"/>
    <mergeCell ref="W68:AI68"/>
    <mergeCell ref="A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  <mergeCell ref="A88:D88"/>
    <mergeCell ref="E88:J88"/>
    <mergeCell ref="K88:P88"/>
    <mergeCell ref="Q88:V88"/>
    <mergeCell ref="W88:AI88"/>
    <mergeCell ref="A89:D89"/>
    <mergeCell ref="E89:J89"/>
    <mergeCell ref="K89:P89"/>
    <mergeCell ref="Q89:V89"/>
    <mergeCell ref="W89:AI89"/>
    <mergeCell ref="A90:D90"/>
    <mergeCell ref="E90:J90"/>
    <mergeCell ref="K90:P90"/>
    <mergeCell ref="Q90:V90"/>
    <mergeCell ref="W90:AI90"/>
    <mergeCell ref="A91:D91"/>
    <mergeCell ref="E91:J91"/>
    <mergeCell ref="K91:P91"/>
    <mergeCell ref="Q91:V91"/>
    <mergeCell ref="W91:AI91"/>
    <mergeCell ref="A92:D92"/>
    <mergeCell ref="E92:J92"/>
    <mergeCell ref="K92:P92"/>
    <mergeCell ref="Q92:V92"/>
    <mergeCell ref="W92:AI92"/>
    <mergeCell ref="A93:D93"/>
    <mergeCell ref="E93:J93"/>
    <mergeCell ref="K93:P93"/>
    <mergeCell ref="Q93:V93"/>
    <mergeCell ref="W93:AI93"/>
    <mergeCell ref="A94:D94"/>
    <mergeCell ref="E94:J94"/>
    <mergeCell ref="K94:P94"/>
    <mergeCell ref="Q94:V94"/>
    <mergeCell ref="W94:AI94"/>
    <mergeCell ref="A95:D95"/>
    <mergeCell ref="E95:J95"/>
    <mergeCell ref="K95:P95"/>
    <mergeCell ref="Q95:V95"/>
    <mergeCell ref="W95:AI95"/>
    <mergeCell ref="A96:D96"/>
    <mergeCell ref="E96:J96"/>
    <mergeCell ref="K96:P96"/>
    <mergeCell ref="Q96:V96"/>
    <mergeCell ref="W96:AI96"/>
    <mergeCell ref="A97:D97"/>
    <mergeCell ref="E97:J97"/>
    <mergeCell ref="K97:P97"/>
    <mergeCell ref="Q97:V97"/>
    <mergeCell ref="W97:AI97"/>
    <mergeCell ref="A98:D98"/>
    <mergeCell ref="E98:J98"/>
    <mergeCell ref="K98:P98"/>
    <mergeCell ref="Q98:V98"/>
    <mergeCell ref="W98:AI98"/>
    <mergeCell ref="A99:D99"/>
    <mergeCell ref="E99:J99"/>
    <mergeCell ref="K99:P99"/>
    <mergeCell ref="Q99:V99"/>
    <mergeCell ref="W99:AI99"/>
    <mergeCell ref="A100:D100"/>
    <mergeCell ref="E100:J100"/>
    <mergeCell ref="K100:P100"/>
    <mergeCell ref="Q100:V100"/>
    <mergeCell ref="W100:AI100"/>
    <mergeCell ref="A101:D101"/>
    <mergeCell ref="E101:J101"/>
    <mergeCell ref="K101:P101"/>
    <mergeCell ref="Q101:V101"/>
    <mergeCell ref="W101:AI101"/>
    <mergeCell ref="A102:D102"/>
    <mergeCell ref="E102:J102"/>
    <mergeCell ref="K102:P102"/>
    <mergeCell ref="Q102:V102"/>
    <mergeCell ref="W102:AI102"/>
    <mergeCell ref="A103:D103"/>
    <mergeCell ref="E103:J103"/>
    <mergeCell ref="K103:P103"/>
    <mergeCell ref="Q103:V103"/>
    <mergeCell ref="W103:AI103"/>
    <mergeCell ref="A104:D104"/>
    <mergeCell ref="E104:J104"/>
    <mergeCell ref="K104:P104"/>
    <mergeCell ref="Q104:V104"/>
    <mergeCell ref="W104:AI104"/>
    <mergeCell ref="A105:D105"/>
    <mergeCell ref="E105:J105"/>
    <mergeCell ref="K105:P105"/>
    <mergeCell ref="Q105:V105"/>
    <mergeCell ref="W105:AI105"/>
    <mergeCell ref="A106:P106"/>
    <mergeCell ref="Q106:V106"/>
    <mergeCell ref="W106:AI106"/>
    <mergeCell ref="A107:D107"/>
    <mergeCell ref="E107:J107"/>
    <mergeCell ref="K107:P107"/>
    <mergeCell ref="Q107:V107"/>
    <mergeCell ref="W107:AI107"/>
    <mergeCell ref="A108:D108"/>
    <mergeCell ref="E108:J108"/>
    <mergeCell ref="K108:P108"/>
    <mergeCell ref="Q108:V108"/>
    <mergeCell ref="W108:AI108"/>
    <mergeCell ref="A109:D109"/>
    <mergeCell ref="E109:J109"/>
    <mergeCell ref="K109:P109"/>
    <mergeCell ref="Q109:V109"/>
    <mergeCell ref="W109:AI109"/>
    <mergeCell ref="A110:D110"/>
    <mergeCell ref="E110:J110"/>
    <mergeCell ref="K110:P110"/>
    <mergeCell ref="Q110:V110"/>
    <mergeCell ref="W110:AI110"/>
    <mergeCell ref="A111:D111"/>
    <mergeCell ref="E111:J111"/>
    <mergeCell ref="K111:P111"/>
    <mergeCell ref="Q111:V111"/>
    <mergeCell ref="W111:AI111"/>
    <mergeCell ref="A112:D112"/>
    <mergeCell ref="E112:J112"/>
    <mergeCell ref="K112:P112"/>
    <mergeCell ref="Q112:V112"/>
    <mergeCell ref="W112:AI112"/>
    <mergeCell ref="A113:D113"/>
    <mergeCell ref="E113:J113"/>
    <mergeCell ref="K113:P113"/>
    <mergeCell ref="Q113:V113"/>
    <mergeCell ref="W113:AI113"/>
    <mergeCell ref="A114:D114"/>
    <mergeCell ref="E114:J114"/>
    <mergeCell ref="K114:P114"/>
    <mergeCell ref="Q114:V114"/>
    <mergeCell ref="W114:AI114"/>
    <mergeCell ref="A115:D115"/>
    <mergeCell ref="E115:J115"/>
    <mergeCell ref="K115:P115"/>
    <mergeCell ref="Q115:V115"/>
    <mergeCell ref="W115:AI115"/>
    <mergeCell ref="A116:D116"/>
    <mergeCell ref="E116:J116"/>
    <mergeCell ref="K116:P116"/>
    <mergeCell ref="Q116:V116"/>
    <mergeCell ref="W116:AI116"/>
    <mergeCell ref="A117:D117"/>
    <mergeCell ref="E117:J117"/>
    <mergeCell ref="K117:P117"/>
    <mergeCell ref="Q117:V117"/>
    <mergeCell ref="W117:AI117"/>
    <mergeCell ref="A118:D118"/>
    <mergeCell ref="E118:J118"/>
    <mergeCell ref="K118:P118"/>
    <mergeCell ref="Q118:V118"/>
    <mergeCell ref="W118:AI118"/>
    <mergeCell ref="A119:D119"/>
    <mergeCell ref="E119:J119"/>
    <mergeCell ref="K119:P119"/>
    <mergeCell ref="Q119:V119"/>
    <mergeCell ref="W119:AI119"/>
    <mergeCell ref="A120:D120"/>
    <mergeCell ref="E120:J120"/>
    <mergeCell ref="K120:P120"/>
    <mergeCell ref="Q120:V120"/>
    <mergeCell ref="W120:AI120"/>
    <mergeCell ref="A121:D121"/>
    <mergeCell ref="E121:J121"/>
    <mergeCell ref="K121:P121"/>
    <mergeCell ref="Q121:V121"/>
    <mergeCell ref="W121:AI121"/>
    <mergeCell ref="A122:D122"/>
    <mergeCell ref="E122:J122"/>
    <mergeCell ref="K122:P122"/>
    <mergeCell ref="Q122:V122"/>
    <mergeCell ref="W122:AI122"/>
    <mergeCell ref="A123:D123"/>
    <mergeCell ref="E123:J123"/>
    <mergeCell ref="K123:P123"/>
    <mergeCell ref="Q123:V123"/>
    <mergeCell ref="W123:AI123"/>
    <mergeCell ref="A124:P124"/>
    <mergeCell ref="Q124:V124"/>
    <mergeCell ref="W124:AI124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2026-07-20T04:29:07Z</cp:lastPrinted>
  <dcterms:created xsi:type="dcterms:W3CDTF">2016-08-02T06:12:57Z</dcterms:created>
  <dcterms:modified xsi:type="dcterms:W3CDTF">2026-07-20T04:44:49Z</dcterms:modified>
</cp:coreProperties>
</file>