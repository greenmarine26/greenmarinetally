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70" yWindow="0" windowWidth="12105" windowHeight="11670" activeTab="3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9" name="Act. Cntr-Seal No List" state="visible" r:id="rId8"/>
    <sheet sheetId="10" name="RF Condition Report" state="visible" r:id="rId9"/>
    <sheet sheetId="13" name="Performance" state="visible" r:id="rId10"/>
  </sheets>
  <calcPr calcId="171027"/>
</workbook>
</file>

<file path=xl/sharedStrings.xml><?xml version="1.0" encoding="utf-8"?>
<sst xmlns="http://schemas.openxmlformats.org/spreadsheetml/2006/main" count="508" uniqueCount="192">
  <si>
    <t xml:space="preserve">GREEN  MARINE  CO.,  LTD.  </t>
  </si>
  <si>
    <t>FINAL  WORKING  REPORT (VOUCHER)</t>
  </si>
  <si>
    <t xml:space="preserve">  M/V  :</t>
  </si>
  <si>
    <t xml:space="preserve"> ATLANTIC PIONEER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</si>
  <si>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</si>
  <si>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</si>
  <si>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</si>
  <si>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</si>
  <si>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</si>
  <si>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</si>
  <si>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</si>
  <si>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</si>
  <si>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</si>
  <si>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</si>
  <si>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</si>
  <si>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</si>
  <si>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</si>
  <si>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</si>
  <si>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</si>
  <si>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</si>
  <si>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</si>
  <si>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</si>
  <si>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</si>
  <si>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</si>
  <si>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</si>
  <si>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</si>
  <si>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</si>
  <si>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</si>
  <si>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</si>
  <si>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</si>
  <si>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</si>
  <si>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</si>
  <si>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</si>
  <si>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</si>
  <si>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26th</t>
  </si>
  <si>
    <t xml:space="preserve"> </t>
  </si>
  <si>
    <t xml:space="preserve"> CARGO  OVERAGE &amp; SHORTAGE  REPORT  (DISCH)</t>
  </si>
  <si>
    <r>
      <t xml:space="preserve"> M/V </t>
    </r>
    <r>
      <rPr>
        <b/>
        <charset val="129"/>
        <family val="3"/>
        <scheme val="minor"/>
        <sz val="12"/>
        <rFont val="맑은 고딕"/>
      </rPr>
      <t xml:space="preserve"> :</t>
    </r>
  </si>
  <si>
    <t>ATLANTIC PIONEER</t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</si>
  <si>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</si>
  <si>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</si>
  <si>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</si>
  <si>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</si>
  <si>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</si>
  <si>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</si>
  <si>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</si>
  <si>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</si>
  <si>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</si>
  <si>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</si>
  <si>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</si>
  <si>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</si>
  <si>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</si>
  <si>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</si>
  <si>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</si>
  <si>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</si>
  <si>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</si>
  <si>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</si>
  <si>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</si>
  <si>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</si>
  <si>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</si>
  <si>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</si>
  <si>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t>2634E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</si>
  <si>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</si>
  <si>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</si>
  <si>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</si>
  <si>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PNCT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</si>
  <si>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</si>
  <si>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</si>
  <si>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</si>
  <si>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</si>
  <si>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</si>
  <si>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</si>
  <si>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</si>
  <si>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</si>
  <si>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</si>
  <si>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</si>
  <si>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</si>
  <si>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</si>
  <si>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</si>
  <si>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</si>
  <si>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</si>
  <si>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</si>
  <si>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</si>
  <si>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</si>
  <si>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 xml:space="preserve">  </t>
  </si>
  <si>
    <t>20FT</t>
  </si>
  <si>
    <t>EMPTY</t>
  </si>
  <si>
    <t>FULL</t>
  </si>
  <si>
    <t>40FT</t>
  </si>
  <si>
    <t>TOTAL</t>
  </si>
  <si>
    <t>REEFER  CONTAINER  CONDITION  REPORT</t>
  </si>
  <si>
    <t>Discharging  /  Loading</t>
  </si>
  <si>
    <t>( 1/3 )</t>
  </si>
  <si>
    <t>M/V : ATLANTIC PIONEER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</si>
  <si>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</si>
  <si>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</si>
  <si>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</si>
  <si>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</si>
  <si>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</si>
  <si>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</si>
  <si>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</si>
  <si>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</si>
  <si>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</si>
  <si>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</si>
  <si>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</si>
  <si>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( 2/3 )</t>
  </si>
  <si>
    <t>M / V : ATLANTIC PIONEER</t>
  </si>
  <si>
    <t>PIER   : PNCT</t>
  </si>
  <si>
    <t>FSCU5888716</t>
  </si>
  <si>
    <t>40RH</t>
  </si>
  <si>
    <t>19 : 15 HRS</t>
  </si>
  <si>
    <t>CNWEI</t>
  </si>
  <si>
    <t>FSCU5890396</t>
  </si>
  <si>
    <t>"</t>
  </si>
  <si>
    <t>FSCU5890400</t>
  </si>
  <si>
    <t>CNDLC</t>
  </si>
  <si>
    <t>FSCU5892104</t>
  </si>
  <si>
    <t>FSCU5892803</t>
  </si>
  <si>
    <t>FSCU5893203</t>
  </si>
  <si>
    <t>FSCU5893878</t>
  </si>
  <si>
    <t>FSCU5907689</t>
  </si>
  <si>
    <t>FSCU5907776</t>
  </si>
  <si>
    <t>FSCU5908113</t>
  </si>
  <si>
    <t>FSCU5908480</t>
  </si>
  <si>
    <t>FSCU5909629</t>
  </si>
  <si>
    <t>FSCU5911210</t>
  </si>
  <si>
    <t>FSCU5911591</t>
  </si>
  <si>
    <t>HALU8501720</t>
  </si>
  <si>
    <t>HALU8505073</t>
  </si>
  <si>
    <t>HALU8505725</t>
  </si>
  <si>
    <t>SKRU6504677</t>
  </si>
  <si>
    <t>SKRU6505821</t>
  </si>
  <si>
    <t>SKRU6507193</t>
  </si>
  <si>
    <t>SKRU8900580</t>
  </si>
  <si>
    <t>SKRU9000469</t>
  </si>
  <si>
    <t>SKRU9501162</t>
  </si>
  <si>
    <t>SKRU9501440</t>
  </si>
  <si>
    <t>SKRU9501558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</si>
  <si>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</si>
  <si>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</si>
  <si>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</si>
  <si>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</si>
  <si>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</si>
  <si>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</si>
  <si>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( 3/3 )</t>
  </si>
  <si>
    <t xml:space="preserve">2634E  </t>
  </si>
  <si>
    <t>SKRU9600102</t>
  </si>
  <si>
    <t>SKRU9601032</t>
  </si>
  <si>
    <t>SKRU9602907</t>
  </si>
  <si>
    <t>SKRU9900521</t>
  </si>
  <si>
    <t>SKRU9902890</t>
  </si>
  <si>
    <t>SKRU9903140</t>
  </si>
  <si>
    <t>SKRU9905776</t>
  </si>
  <si>
    <t>SKRU9907104</t>
  </si>
  <si>
    <t>SKRU9909112</t>
  </si>
  <si>
    <t>SZLU9371237</t>
  </si>
  <si>
    <t>SZLU9371469</t>
  </si>
  <si>
    <t>SZLU9456674</t>
  </si>
  <si>
    <t>SZLU9457011</t>
  </si>
  <si>
    <t>TTNU8383711</t>
  </si>
  <si>
    <t>GREEN MARINE CO., LTD</t>
  </si>
  <si>
    <t>PERFORMANCE  REPORT</t>
  </si>
  <si>
    <r>
      <t xml:space="preserve">  M/V  </t>
    </r>
    <r>
      <rPr>
        <b/>
        <charset val="129"/>
        <family val="3"/>
        <scheme val="minor"/>
        <sz val="10"/>
        <rFont val="맑은 고딕"/>
      </rPr>
      <t>:</t>
    </r>
  </si>
  <si>
    <t xml:space="preserve">2634E </t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</si>
  <si>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</si>
  <si>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</si>
  <si>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</si>
  <si>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</si>
  <si>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</si>
  <si>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</si>
  <si>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3 , RH x 61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</si>
  <si>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</si>
  <si>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</si>
  <si>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</si>
  <si>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</si>
  <si>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</si>
  <si>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</si>
  <si>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</si>
  <si>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</si>
  <si>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</si>
  <si>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</si>
  <si>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</si>
  <si>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</si>
  <si>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</si>
  <si>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</si>
  <si>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#4 (G/C)</t>
  </si>
  <si>
    <t>#2 (G/C)</t>
  </si>
  <si>
    <t>11th</t>
  </si>
  <si>
    <t xml:space="preserve">    GANG K/OFF</t>
  </si>
  <si>
    <t>RESUMED DISCH'</t>
  </si>
  <si>
    <t>NO WORK DUE TO CRANE TROUBLE</t>
  </si>
  <si>
    <t>COMPLETED DISCH' &amp; GANG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</si>
</sst>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hh:mm&quot;HRS&quot;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 shrinkToFit="1"/>
    </xf>
    <xf numFmtId="164" fontId="7" fillId="0" borderId="52" xfId="0" applyNumberFormat="1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164" fontId="7" fillId="0" borderId="60" xfId="0" applyNumberFormat="1" applyFont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164" fontId="7" fillId="0" borderId="73" xfId="0" applyNumberFormat="1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74" xfId="0" applyNumberFormat="1" applyFont="1" applyBorder="1" applyAlignment="1">
      <alignment horizontal="center" vertical="center" shrinkToFit="1"/>
    </xf>
    <xf numFmtId="164" fontId="7" fillId="0" borderId="75" xfId="0" applyNumberFormat="1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79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80" xfId="0" applyNumberFormat="1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89" xfId="0" applyNumberFormat="1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92" xfId="0" applyFont="1" applyBorder="1" applyAlignment="1">
      <alignment horizontal="center" vertical="center" shrinkToFit="1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100" xfId="0" applyNumberFormat="1" applyFont="1" applyBorder="1" applyAlignment="1">
      <alignment horizontal="center" vertical="center" shrinkToFit="1"/>
    </xf>
    <xf numFmtId="164" fontId="7" fillId="0" borderId="103" xfId="0" applyNumberFormat="1" applyFont="1" applyBorder="1" applyAlignment="1">
      <alignment horizontal="left" vertical="center" shrinkToFit="1"/>
    </xf>
    <xf numFmtId="164" fontId="7" fillId="0" borderId="104" xfId="0" applyNumberFormat="1" applyFont="1" applyBorder="1" applyAlignment="1">
      <alignment horizontal="left" vertical="center" shrinkToFit="1"/>
    </xf>
    <xf numFmtId="164" fontId="7" fillId="0" borderId="76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10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6" xfId="0" applyNumberFormat="1" applyFont="1" applyBorder="1" applyAlignment="1">
      <alignment horizontal="center" vertical="center"/>
    </xf>
    <xf numFmtId="20" fontId="7" fillId="0" borderId="10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/>
    </xf>
    <xf numFmtId="0" fontId="7" fillId="0" borderId="106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92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/>
    </xf>
    <xf numFmtId="166" fontId="7" fillId="0" borderId="73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0" fontId="7" fillId="0" borderId="111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49" fontId="7" fillId="0" borderId="112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 indent="1"/>
    </xf>
    <xf numFmtId="166" fontId="7" fillId="0" borderId="113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73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92" xfId="0" applyFont="1" applyBorder="1" applyAlignment="1">
      <alignment horizontal="left" vertical="center" indent="1"/>
    </xf>
    <xf numFmtId="0" fontId="7" fillId="0" borderId="93" xfId="0" applyFont="1" applyBorder="1" applyAlignment="1">
      <alignment horizontal="left" vertical="center" indent="1"/>
    </xf>
    <xf numFmtId="0" fontId="7" fillId="0" borderId="95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0" fontId="7" fillId="0" borderId="73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left" vertical="center" indent="1"/>
    </xf>
    <xf numFmtId="0" fontId="1" fillId="0" borderId="73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10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109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shrinkToFit="1"/>
    </xf>
    <xf numFmtId="0" fontId="5" fillId="0" borderId="114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7" xfId="0" applyFont="1" applyBorder="1" applyAlignment="1">
      <alignment horizontal="left" vertical="center"/>
    </xf>
    <xf numFmtId="0" fontId="7" fillId="0" borderId="89" xfId="0" applyFont="1" applyBorder="1" applyAlignment="1">
      <alignment horizontal="left" vertical="center"/>
    </xf>
    <xf numFmtId="164" fontId="7" fillId="0" borderId="86" xfId="0" applyNumberFormat="1" applyFont="1" applyBorder="1" applyAlignment="1">
      <alignment horizontal="center" vertical="center" wrapText="1" shrinkToFit="1"/>
    </xf>
    <xf numFmtId="0" fontId="7" fillId="0" borderId="89" xfId="0" applyFont="1" applyBorder="1" applyAlignment="1">
      <alignment horizontal="center" vertical="center" wrapText="1" shrinkToFit="1"/>
    </xf>
    <xf numFmtId="164" fontId="7" fillId="0" borderId="85" xfId="0" applyNumberFormat="1" applyFont="1" applyBorder="1" applyAlignment="1">
      <alignment horizontal="center" vertical="center" wrapText="1" shrinkToFit="1"/>
    </xf>
    <xf numFmtId="0" fontId="10" fillId="0" borderId="85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9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7" fillId="0" borderId="109" xfId="0" applyNumberFormat="1" applyFont="1" applyBorder="1" applyAlignment="1">
      <alignment horizontal="center" vertical="center" wrapText="1" shrinkToFit="1"/>
    </xf>
    <xf numFmtId="0" fontId="7" fillId="0" borderId="109" xfId="0" applyFont="1" applyBorder="1" applyAlignment="1">
      <alignment horizontal="center" vertical="center" wrapText="1" shrinkToFit="1"/>
    </xf>
    <xf numFmtId="0" fontId="10" fillId="0" borderId="109" xfId="0" applyFont="1" applyBorder="1" applyAlignment="1">
      <alignment horizontal="left" vertical="center" shrinkToFit="1" indent="1"/>
    </xf>
    <xf numFmtId="164" fontId="7" fillId="0" borderId="73" xfId="0" applyNumberFormat="1" applyFont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10" xfId="0" applyNumberFormat="1" applyFont="1" applyBorder="1" applyAlignment="1">
      <alignment horizontal="center" vertical="center" wrapText="1" shrinkToFit="1"/>
    </xf>
    <xf numFmtId="164" fontId="8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left" vertical="center"/>
    </xf>
    <xf numFmtId="0" fontId="12" fillId="0" borderId="105" xfId="0" applyFont="1" applyBorder="1" applyAlignment="1">
      <alignment horizontal="left" vertical="center"/>
    </xf>
    <xf numFmtId="0" fontId="12" fillId="0" borderId="11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1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vertical="center" shrinkToFit="1"/>
    </xf>
    <xf numFmtId="0" fontId="7" fillId="0" borderId="87" xfId="0" applyFont="1" applyBorder="1" applyAlignment="1">
      <alignment vertical="center" shrinkToFit="1"/>
    </xf>
    <xf numFmtId="0" fontId="7" fillId="0" borderId="89" xfId="0" applyFont="1" applyBorder="1" applyAlignment="1">
      <alignment vertical="center" shrinkToFit="1"/>
    </xf>
    <xf numFmtId="0" fontId="7" fillId="0" borderId="1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6" xfId="0" applyFont="1" applyBorder="1" applyAlignment="1">
      <alignment horizontal="left" vertical="center" indent="1"/>
    </xf>
    <xf numFmtId="164" fontId="1" fillId="0" borderId="8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5" fillId="0" borderId="1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0" fontId="14" fillId="0" borderId="109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49" fontId="7" fillId="0" borderId="110" xfId="0" applyNumberFormat="1" applyFont="1" applyBorder="1" applyAlignment="1">
      <alignment horizontal="center" vertical="center" shrinkToFit="1"/>
    </xf>
    <xf numFmtId="0" fontId="7" fillId="0" borderId="1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shrinkToFit="1"/>
    </xf>
    <xf numFmtId="0" fontId="10" fillId="0" borderId="119" xfId="0" applyFont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49" fontId="7" fillId="0" borderId="109" xfId="0" applyNumberFormat="1" applyFont="1" applyBorder="1" applyAlignment="1">
      <alignment horizontal="center" vertical="center" shrinkToFit="1"/>
    </xf>
    <xf numFmtId="0" fontId="10" fillId="0" borderId="90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 shrinkToFit="1"/>
    </xf>
    <xf numFmtId="0" fontId="14" fillId="0" borderId="1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09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14" fillId="0" borderId="124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0" fontId="14" fillId="0" borderId="91" xfId="0" applyFont="1" applyBorder="1" applyAlignment="1">
      <alignment vertical="center"/>
    </xf>
    <xf numFmtId="0" fontId="14" fillId="0" borderId="122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167" fontId="14" fillId="0" borderId="44" xfId="0" applyNumberFormat="1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167" fontId="16" fillId="3" borderId="109" xfId="0" applyNumberFormat="1" applyFont="1" applyFill="1" applyBorder="1" applyAlignment="1">
      <alignment horizontal="center" vertical="center"/>
    </xf>
    <xf numFmtId="168" fontId="7" fillId="0" borderId="109" xfId="0" applyNumberFormat="1" applyFont="1" applyBorder="1" applyAlignment="1">
      <alignment horizontal="center" vertical="center"/>
    </xf>
    <xf numFmtId="0" fontId="7" fillId="2" borderId="95" xfId="0" applyFont="1" applyFill="1" applyBorder="1" applyAlignment="1">
      <alignment horizontal="center" vertical="center" wrapText="1"/>
    </xf>
    <xf numFmtId="0" fontId="7" fillId="2" borderId="110" xfId="0" applyFont="1" applyFill="1" applyBorder="1" applyAlignment="1">
      <alignment horizontal="center" vertical="center" wrapText="1"/>
    </xf>
    <xf numFmtId="167" fontId="16" fillId="3" borderId="110" xfId="0" applyNumberFormat="1" applyFont="1" applyFill="1" applyBorder="1" applyAlignment="1">
      <alignment horizontal="center" vertical="center"/>
    </xf>
    <xf numFmtId="168" fontId="7" fillId="0" borderId="110" xfId="0" applyNumberFormat="1" applyFont="1" applyBorder="1" applyAlignment="1">
      <alignment horizontal="center" vertical="center"/>
    </xf>
    <xf numFmtId="167" fontId="17" fillId="2" borderId="31" xfId="0" applyNumberFormat="1" applyFont="1" applyFill="1" applyBorder="1" applyAlignment="1">
      <alignment horizontal="center" vertical="center"/>
    </xf>
    <xf numFmtId="167" fontId="17" fillId="2" borderId="109" xfId="0" applyNumberFormat="1" applyFont="1" applyFill="1" applyBorder="1" applyAlignment="1">
      <alignment horizontal="center" vertical="center"/>
    </xf>
    <xf numFmtId="167" fontId="16" fillId="3" borderId="31" xfId="0" applyNumberFormat="1" applyFont="1" applyFill="1" applyBorder="1" applyAlignment="1">
      <alignment horizontal="center" vertical="center"/>
    </xf>
    <xf numFmtId="168" fontId="7" fillId="0" borderId="44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8" fontId="7" fillId="0" borderId="37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wrapText="1"/>
    </xf>
    <xf numFmtId="167" fontId="16" fillId="0" borderId="109" xfId="0" applyNumberFormat="1" applyFont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 wrapText="1"/>
    </xf>
    <xf numFmtId="168" fontId="7" fillId="0" borderId="59" xfId="0" applyNumberFormat="1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10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01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81" xfId="0" applyFont="1" applyBorder="1" applyAlignment="1">
      <alignment horizontal="left" vertical="center"/>
    </xf>
    <xf numFmtId="0" fontId="7" fillId="0" borderId="125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19" fillId="0" borderId="33" xfId="0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165" fontId="19" fillId="0" borderId="85" xfId="0" applyNumberFormat="1" applyFont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65" fontId="19" fillId="0" borderId="36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65" fontId="19" fillId="0" borderId="86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165" fontId="19" fillId="0" borderId="84" xfId="0" applyNumberFormat="1" applyFont="1" applyBorder="1" applyAlignment="1">
      <alignment horizontal="center" vertical="center"/>
    </xf>
    <xf numFmtId="165" fontId="19" fillId="0" borderId="118" xfId="0" applyNumberFormat="1" applyFont="1" applyBorder="1" applyAlignment="1">
      <alignment horizontal="center" vertical="center"/>
    </xf>
    <xf numFmtId="169" fontId="19" fillId="0" borderId="126" xfId="0" applyNumberFormat="1" applyFont="1" applyBorder="1" applyAlignment="1">
      <alignment horizontal="left" vertical="center" shrinkToFit="1" indent="1"/>
    </xf>
    <xf numFmtId="169" fontId="19" fillId="0" borderId="127" xfId="0" applyNumberFormat="1" applyFont="1" applyBorder="1" applyAlignment="1">
      <alignment horizontal="left" vertical="center" shrinkToFit="1" indent="1"/>
    </xf>
    <xf numFmtId="169" fontId="19" fillId="0" borderId="128" xfId="0" applyNumberFormat="1" applyFont="1" applyBorder="1" applyAlignment="1">
      <alignment horizontal="left" vertical="center" shrinkToFit="1" indent="1"/>
    </xf>
    <xf numFmtId="0" fontId="7" fillId="0" borderId="9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9" xfId="0" applyFont="1" applyBorder="1" applyAlignment="1">
      <alignment horizontal="center" vertical="center"/>
    </xf>
    <xf numFmtId="165" fontId="19" fillId="0" borderId="109" xfId="0" applyNumberFormat="1" applyFont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165" fontId="19" fillId="0" borderId="31" xfId="0" applyNumberFormat="1" applyFont="1" applyBorder="1" applyAlignment="1">
      <alignment horizontal="center" vertical="center"/>
    </xf>
    <xf numFmtId="165" fontId="19" fillId="0" borderId="119" xfId="0" applyNumberFormat="1" applyFont="1" applyBorder="1" applyAlignment="1">
      <alignment horizontal="center" vertical="center"/>
    </xf>
    <xf numFmtId="165" fontId="19" fillId="0" borderId="120" xfId="0" applyNumberFormat="1" applyFont="1" applyBorder="1" applyAlignment="1">
      <alignment horizontal="center" vertical="center"/>
    </xf>
    <xf numFmtId="0" fontId="19" fillId="0" borderId="78" xfId="0" applyFont="1" applyBorder="1" applyAlignment="1">
      <alignment horizontal="left" vertical="center" shrinkToFit="1" indent="1"/>
    </xf>
    <xf numFmtId="0" fontId="19" fillId="0" borderId="37" xfId="0" applyFont="1" applyBorder="1" applyAlignment="1">
      <alignment horizontal="left" vertical="center" shrinkToFit="1" indent="1"/>
    </xf>
    <xf numFmtId="0" fontId="19" fillId="0" borderId="130" xfId="0" applyFont="1" applyBorder="1" applyAlignment="1">
      <alignment horizontal="left" vertical="center" shrinkToFit="1" indent="1"/>
    </xf>
    <xf numFmtId="165" fontId="19" fillId="0" borderId="123" xfId="0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165" fontId="19" fillId="0" borderId="129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19" fillId="0" borderId="129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19" fillId="0" borderId="17" xfId="0" applyNumberFormat="1" applyFont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0" borderId="78" xfId="0" applyNumberFormat="1" applyFont="1" applyBorder="1" applyAlignment="1">
      <alignment horizontal="center" vertical="center"/>
    </xf>
    <xf numFmtId="165" fontId="19" fillId="0" borderId="37" xfId="0" applyNumberFormat="1" applyFont="1" applyBorder="1" applyAlignment="1">
      <alignment horizontal="center" vertical="center"/>
    </xf>
    <xf numFmtId="165" fontId="19" fillId="0" borderId="130" xfId="0" applyNumberFormat="1" applyFont="1" applyBorder="1" applyAlignment="1">
      <alignment horizontal="center" vertical="center"/>
    </xf>
    <xf numFmtId="169" fontId="19" fillId="0" borderId="17" xfId="0" applyNumberFormat="1" applyFont="1" applyBorder="1" applyAlignment="1">
      <alignment horizontal="left" vertical="center" shrinkToFit="1" indent="1"/>
    </xf>
    <xf numFmtId="169" fontId="19" fillId="0" borderId="18" xfId="0" applyNumberFormat="1" applyFont="1" applyBorder="1" applyAlignment="1">
      <alignment horizontal="left" vertical="center" shrinkToFit="1" indent="1"/>
    </xf>
    <xf numFmtId="169" fontId="19" fillId="0" borderId="125" xfId="0" applyNumberFormat="1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center" vertical="center" wrapText="1"/>
    </xf>
    <xf numFmtId="0" fontId="7" fillId="0" borderId="104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165" fontId="20" fillId="0" borderId="58" xfId="0" applyNumberFormat="1" applyFont="1" applyBorder="1" applyAlignment="1">
      <alignment horizontal="center" vertical="center"/>
    </xf>
    <xf numFmtId="165" fontId="20" fillId="0" borderId="59" xfId="0" applyNumberFormat="1" applyFont="1" applyBorder="1" applyAlignment="1">
      <alignment horizontal="center" vertical="center"/>
    </xf>
    <xf numFmtId="165" fontId="20" fillId="0" borderId="132" xfId="0" applyNumberFormat="1" applyFont="1" applyBorder="1" applyAlignment="1">
      <alignment horizontal="center" vertical="center"/>
    </xf>
    <xf numFmtId="165" fontId="20" fillId="0" borderId="133" xfId="0" applyNumberFormat="1" applyFont="1" applyBorder="1" applyAlignment="1">
      <alignment horizontal="center" vertical="center"/>
    </xf>
    <xf numFmtId="165" fontId="20" fillId="0" borderId="134" xfId="0" applyNumberFormat="1" applyFont="1" applyBorder="1" applyAlignment="1">
      <alignment horizontal="center" vertical="center"/>
    </xf>
    <xf numFmtId="165" fontId="20" fillId="0" borderId="131" xfId="0" applyNumberFormat="1" applyFont="1" applyBorder="1" applyAlignment="1">
      <alignment horizontal="center" vertical="center"/>
    </xf>
    <xf numFmtId="165" fontId="20" fillId="0" borderId="135" xfId="0" applyNumberFormat="1" applyFont="1" applyBorder="1" applyAlignment="1">
      <alignment horizontal="center" vertical="center"/>
    </xf>
    <xf numFmtId="165" fontId="20" fillId="0" borderId="136" xfId="0" applyNumberFormat="1" applyFont="1" applyBorder="1" applyAlignment="1">
      <alignment horizontal="center" vertical="center"/>
    </xf>
    <xf numFmtId="165" fontId="20" fillId="0" borderId="137" xfId="0" applyNumberFormat="1" applyFont="1" applyBorder="1" applyAlignment="1">
      <alignment horizontal="center" vertical="center"/>
    </xf>
    <xf numFmtId="0" fontId="19" fillId="0" borderId="135" xfId="0" applyFont="1" applyBorder="1" applyAlignment="1">
      <alignment horizontal="left" vertical="center" shrinkToFit="1" indent="1"/>
    </xf>
    <xf numFmtId="0" fontId="19" fillId="0" borderId="136" xfId="0" applyFont="1" applyBorder="1" applyAlignment="1">
      <alignment horizontal="left" vertical="center" shrinkToFit="1" indent="1"/>
    </xf>
    <xf numFmtId="0" fontId="19" fillId="0" borderId="137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101" xfId="0" applyFont="1" applyBorder="1" applyAlignment="1">
      <alignment horizontal="center" vertical="center" wrapText="1"/>
    </xf>
    <xf numFmtId="0" fontId="7" fillId="0" borderId="138" xfId="0" applyFont="1" applyBorder="1" applyAlignment="1">
      <alignment horizontal="center" vertical="center" wrapText="1"/>
    </xf>
    <xf numFmtId="165" fontId="19" fillId="0" borderId="121" xfId="0" applyNumberFormat="1" applyFont="1" applyBorder="1" applyAlignment="1">
      <alignment horizontal="center" vertical="center"/>
    </xf>
    <xf numFmtId="165" fontId="19" fillId="0" borderId="11" xfId="0" applyNumberFormat="1" applyFont="1" applyBorder="1" applyAlignment="1">
      <alignment horizontal="center" vertical="center"/>
    </xf>
    <xf numFmtId="165" fontId="19" fillId="0" borderId="13" xfId="0" applyNumberFormat="1" applyFont="1" applyBorder="1" applyAlignment="1">
      <alignment horizontal="center" vertical="center"/>
    </xf>
    <xf numFmtId="169" fontId="19" fillId="0" borderId="99" xfId="0" applyNumberFormat="1" applyFont="1" applyBorder="1" applyAlignment="1">
      <alignment horizontal="left" vertical="center" shrinkToFit="1" indent="1"/>
    </xf>
    <xf numFmtId="169" fontId="19" fillId="0" borderId="0" xfId="0" applyNumberFormat="1" applyFont="1" applyAlignment="1">
      <alignment horizontal="left" vertical="center" shrinkToFit="1" indent="1"/>
    </xf>
    <xf numFmtId="169" fontId="19" fillId="0" borderId="100" xfId="0" applyNumberFormat="1" applyFont="1" applyBorder="1" applyAlignment="1">
      <alignment horizontal="left" vertical="center" shrinkToFit="1" indent="1"/>
    </xf>
    <xf numFmtId="0" fontId="7" fillId="0" borderId="111" xfId="0" applyFont="1" applyBorder="1" applyAlignment="1">
      <alignment horizontal="center" vertical="center" wrapText="1"/>
    </xf>
    <xf numFmtId="0" fontId="7" fillId="0" borderId="105" xfId="0" applyFont="1" applyBorder="1" applyAlignment="1">
      <alignment horizontal="center" vertical="center"/>
    </xf>
    <xf numFmtId="0" fontId="7" fillId="0" borderId="139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49" fontId="19" fillId="0" borderId="78" xfId="0" applyNumberFormat="1" applyFont="1" applyBorder="1" applyAlignment="1">
      <alignment horizontal="left" vertical="center" shrinkToFit="1" indent="1"/>
    </xf>
    <xf numFmtId="49" fontId="19" fillId="0" borderId="37" xfId="0" applyNumberFormat="1" applyFont="1" applyBorder="1" applyAlignment="1">
      <alignment horizontal="left" vertical="center" shrinkToFit="1" indent="1"/>
    </xf>
    <xf numFmtId="49" fontId="19" fillId="0" borderId="130" xfId="0" applyNumberFormat="1" applyFont="1" applyBorder="1" applyAlignment="1">
      <alignment horizontal="left" vertical="center" shrinkToFit="1" indent="1"/>
    </xf>
    <xf numFmtId="0" fontId="7" fillId="0" borderId="77" xfId="0" applyFont="1" applyBorder="1" applyAlignment="1">
      <alignment horizontal="center" vertical="center" wrapText="1"/>
    </xf>
    <xf numFmtId="0" fontId="7" fillId="0" borderId="136" xfId="0" applyFont="1" applyBorder="1" applyAlignment="1">
      <alignment horizontal="center" vertical="center"/>
    </xf>
    <xf numFmtId="0" fontId="7" fillId="0" borderId="132" xfId="0" applyFont="1" applyBorder="1" applyAlignment="1">
      <alignment horizontal="center" vertical="center"/>
    </xf>
    <xf numFmtId="0" fontId="19" fillId="0" borderId="133" xfId="0" applyFont="1" applyBorder="1" applyAlignment="1">
      <alignment horizontal="left" vertical="center" shrinkToFit="1" indent="1"/>
    </xf>
    <xf numFmtId="165" fontId="19" fillId="0" borderId="12" xfId="0" applyNumberFormat="1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165" fontId="19" fillId="0" borderId="9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0" fontId="19" fillId="0" borderId="36" xfId="0" applyFont="1" applyBorder="1" applyAlignment="1">
      <alignment horizontal="left" vertical="center" shrinkToFit="1" indent="1"/>
    </xf>
    <xf numFmtId="0" fontId="19" fillId="0" borderId="31" xfId="0" applyFont="1" applyBorder="1" applyAlignment="1">
      <alignment horizontal="left" vertical="center" shrinkToFit="1" indent="1"/>
    </xf>
    <xf numFmtId="0" fontId="19" fillId="0" borderId="32" xfId="0" applyFont="1" applyBorder="1" applyAlignment="1">
      <alignment horizontal="left" vertical="center" shrinkToFit="1" indent="1"/>
    </xf>
    <xf numFmtId="165" fontId="19" fillId="0" borderId="125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 shrinkToFit="1" indent="1"/>
    </xf>
    <xf numFmtId="0" fontId="19" fillId="0" borderId="18" xfId="0" applyFont="1" applyBorder="1" applyAlignment="1">
      <alignment horizontal="left" vertical="center" shrinkToFit="1" indent="1"/>
    </xf>
    <xf numFmtId="0" fontId="19" fillId="0" borderId="125" xfId="0" applyFont="1" applyBorder="1" applyAlignment="1">
      <alignment horizontal="left" vertical="center" shrinkToFit="1" indent="1"/>
    </xf>
    <xf numFmtId="0" fontId="7" fillId="0" borderId="75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0" fontId="19" fillId="0" borderId="77" xfId="0" applyFont="1" applyBorder="1" applyAlignment="1">
      <alignment horizontal="left" vertical="center" shrinkToFit="1" indent="1"/>
    </xf>
    <xf numFmtId="0" fontId="19" fillId="0" borderId="59" xfId="0" applyFont="1" applyBorder="1" applyAlignment="1">
      <alignment horizontal="left" vertical="center" shrinkToFit="1" indent="1"/>
    </xf>
    <xf numFmtId="0" fontId="19" fillId="0" borderId="131" xfId="0" applyFont="1" applyBorder="1" applyAlignment="1">
      <alignment horizontal="left" vertical="center" shrinkToFit="1" indent="1"/>
    </xf>
    <xf numFmtId="0" fontId="21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40" xfId="0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1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0" fontId="10" fillId="0" borderId="143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7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1" fontId="10" fillId="0" borderId="143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0" fontId="10" fillId="0" borderId="14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44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170" fontId="10" fillId="0" borderId="123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9" xfId="0" applyNumberFormat="1" applyFont="1" applyBorder="1" applyAlignment="1">
      <alignment horizontal="center" vertical="center"/>
    </xf>
    <xf numFmtId="171" fontId="10" fillId="0" borderId="123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9" xfId="0" applyFont="1" applyBorder="1" applyAlignment="1">
      <alignment horizontal="left" vertical="center" shrinkToFit="1" indent="1"/>
    </xf>
    <xf numFmtId="172" fontId="10" fillId="0" borderId="123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129" xfId="0" applyFont="1" applyBorder="1" applyAlignment="1">
      <alignment horizontal="left" vertical="center" indent="1"/>
    </xf>
    <xf numFmtId="172" fontId="10" fillId="0" borderId="112" xfId="0" applyNumberFormat="1" applyFont="1" applyBorder="1" applyAlignment="1">
      <alignment horizontal="center" vertical="center"/>
    </xf>
    <xf numFmtId="172" fontId="10" fillId="0" borderId="105" xfId="0" applyNumberFormat="1" applyFont="1" applyBorder="1" applyAlignment="1">
      <alignment horizontal="center" vertical="center"/>
    </xf>
    <xf numFmtId="172" fontId="10" fillId="0" borderId="13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20" fontId="10" fillId="0" borderId="123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9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22" fillId="0" borderId="96" xfId="0" applyNumberFormat="1" applyFont="1" applyBorder="1" applyAlignment="1">
      <alignment horizontal="center" vertical="center"/>
    </xf>
    <xf numFmtId="171" fontId="22" fillId="0" borderId="97" xfId="0" applyNumberFormat="1" applyFont="1" applyBorder="1" applyAlignment="1">
      <alignment horizontal="center" vertical="center"/>
    </xf>
    <xf numFmtId="171" fontId="2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170" fontId="10" fillId="0" borderId="112" xfId="0" applyNumberFormat="1" applyFont="1" applyBorder="1" applyAlignment="1">
      <alignment horizontal="center" vertical="center"/>
    </xf>
    <xf numFmtId="170" fontId="10" fillId="0" borderId="105" xfId="0" applyNumberFormat="1" applyFont="1" applyBorder="1" applyAlignment="1">
      <alignment horizontal="center" vertical="center"/>
    </xf>
    <xf numFmtId="170" fontId="10" fillId="0" borderId="139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9" xfId="0" applyFont="1" applyBorder="1" applyAlignment="1">
      <alignment horizontal="left" vertical="center"/>
    </xf>
    <xf numFmtId="172" fontId="10" fillId="0" borderId="1" xfId="0" applyNumberFormat="1" applyFont="1" applyBorder="1" applyAlignment="1">
      <alignment horizontal="center" vertical="center"/>
    </xf>
    <xf numFmtId="172" fontId="10" fillId="0" borderId="1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11" width="9" style="3" customWidth="1"/>
    <col min="12" max="12" width="12.25" style="3" customWidth="1"/>
    <col min="13" max="203" width="9" style="3" customWidth="1"/>
    <col min="204" max="204" width="6.5" style="3" customWidth="1"/>
    <col min="205" max="205" width="19.125" style="3" customWidth="1"/>
    <col min="206" max="208" width="10.75" style="3" customWidth="1"/>
    <col min="209" max="209" width="5.875" style="3" customWidth="1"/>
    <col min="210" max="210" width="8.5" style="3" customWidth="1"/>
    <col min="211" max="211" width="14" style="3" customWidth="1"/>
    <col min="212" max="212" width="2" style="3" customWidth="1"/>
    <col min="213" max="459" width="9" style="3" customWidth="1"/>
    <col min="460" max="460" width="6.5" style="3" customWidth="1"/>
    <col min="461" max="461" width="19.125" style="3" customWidth="1"/>
    <col min="462" max="464" width="10.75" style="3" customWidth="1"/>
    <col min="465" max="465" width="5.875" style="3" customWidth="1"/>
    <col min="466" max="466" width="8.5" style="3" customWidth="1"/>
    <col min="467" max="467" width="14" style="3" customWidth="1"/>
    <col min="468" max="468" width="2" style="3" customWidth="1"/>
    <col min="469" max="715" width="9" style="3" customWidth="1"/>
    <col min="716" max="716" width="6.5" style="3" customWidth="1"/>
    <col min="717" max="717" width="19.125" style="3" customWidth="1"/>
    <col min="718" max="720" width="10.75" style="3" customWidth="1"/>
    <col min="721" max="721" width="5.875" style="3" customWidth="1"/>
    <col min="722" max="722" width="8.5" style="3" customWidth="1"/>
    <col min="723" max="723" width="14" style="3" customWidth="1"/>
    <col min="724" max="724" width="2" style="3" customWidth="1"/>
    <col min="725" max="971" width="9" style="3" customWidth="1"/>
    <col min="972" max="972" width="6.5" style="3" customWidth="1"/>
    <col min="973" max="973" width="19.125" style="3" customWidth="1"/>
    <col min="974" max="976" width="10.75" style="3" customWidth="1"/>
    <col min="977" max="977" width="5.875" style="3" customWidth="1"/>
    <col min="978" max="978" width="8.5" style="3" customWidth="1"/>
    <col min="979" max="979" width="14" style="3" customWidth="1"/>
    <col min="980" max="980" width="2" style="3" customWidth="1"/>
    <col min="981" max="1227" width="9" style="3" customWidth="1"/>
    <col min="1228" max="1228" width="6.5" style="3" customWidth="1"/>
    <col min="1229" max="1229" width="19.125" style="3" customWidth="1"/>
    <col min="1230" max="1232" width="10.75" style="3" customWidth="1"/>
    <col min="1233" max="1233" width="5.875" style="3" customWidth="1"/>
    <col min="1234" max="1234" width="8.5" style="3" customWidth="1"/>
    <col min="1235" max="1235" width="14" style="3" customWidth="1"/>
    <col min="1236" max="1236" width="2" style="3" customWidth="1"/>
    <col min="1237" max="1483" width="9" style="3" customWidth="1"/>
    <col min="1484" max="1484" width="6.5" style="3" customWidth="1"/>
    <col min="1485" max="1485" width="19.125" style="3" customWidth="1"/>
    <col min="1486" max="1488" width="10.75" style="3" customWidth="1"/>
    <col min="1489" max="1489" width="5.875" style="3" customWidth="1"/>
    <col min="1490" max="1490" width="8.5" style="3" customWidth="1"/>
    <col min="1491" max="1491" width="14" style="3" customWidth="1"/>
    <col min="1492" max="1492" width="2" style="3" customWidth="1"/>
    <col min="1493" max="1739" width="9" style="3" customWidth="1"/>
    <col min="1740" max="1740" width="6.5" style="3" customWidth="1"/>
    <col min="1741" max="1741" width="19.125" style="3" customWidth="1"/>
    <col min="1742" max="1744" width="10.75" style="3" customWidth="1"/>
    <col min="1745" max="1745" width="5.875" style="3" customWidth="1"/>
    <col min="1746" max="1746" width="8.5" style="3" customWidth="1"/>
    <col min="1747" max="1747" width="14" style="3" customWidth="1"/>
    <col min="1748" max="1748" width="2" style="3" customWidth="1"/>
    <col min="1749" max="1995" width="9" style="3" customWidth="1"/>
    <col min="1996" max="1996" width="6.5" style="3" customWidth="1"/>
    <col min="1997" max="1997" width="19.125" style="3" customWidth="1"/>
    <col min="1998" max="2000" width="10.75" style="3" customWidth="1"/>
    <col min="2001" max="2001" width="5.875" style="3" customWidth="1"/>
    <col min="2002" max="2002" width="8.5" style="3" customWidth="1"/>
    <col min="2003" max="2003" width="14" style="3" customWidth="1"/>
    <col min="2004" max="2004" width="2" style="3" customWidth="1"/>
    <col min="2005" max="2251" width="9" style="3" customWidth="1"/>
    <col min="2252" max="2252" width="6.5" style="3" customWidth="1"/>
    <col min="2253" max="2253" width="19.125" style="3" customWidth="1"/>
    <col min="2254" max="2256" width="10.75" style="3" customWidth="1"/>
    <col min="2257" max="2257" width="5.875" style="3" customWidth="1"/>
    <col min="2258" max="2258" width="8.5" style="3" customWidth="1"/>
    <col min="2259" max="2259" width="14" style="3" customWidth="1"/>
    <col min="2260" max="2260" width="2" style="3" customWidth="1"/>
    <col min="2261" max="2507" width="9" style="3" customWidth="1"/>
    <col min="2508" max="2508" width="6.5" style="3" customWidth="1"/>
    <col min="2509" max="2509" width="19.125" style="3" customWidth="1"/>
    <col min="2510" max="2512" width="10.75" style="3" customWidth="1"/>
    <col min="2513" max="2513" width="5.875" style="3" customWidth="1"/>
    <col min="2514" max="2514" width="8.5" style="3" customWidth="1"/>
    <col min="2515" max="2515" width="14" style="3" customWidth="1"/>
    <col min="2516" max="2516" width="2" style="3" customWidth="1"/>
    <col min="2517" max="2763" width="9" style="3" customWidth="1"/>
    <col min="2764" max="2764" width="6.5" style="3" customWidth="1"/>
    <col min="2765" max="2765" width="19.125" style="3" customWidth="1"/>
    <col min="2766" max="2768" width="10.75" style="3" customWidth="1"/>
    <col min="2769" max="2769" width="5.875" style="3" customWidth="1"/>
    <col min="2770" max="2770" width="8.5" style="3" customWidth="1"/>
    <col min="2771" max="2771" width="14" style="3" customWidth="1"/>
    <col min="2772" max="2772" width="2" style="3" customWidth="1"/>
    <col min="2773" max="3019" width="9" style="3" customWidth="1"/>
    <col min="3020" max="3020" width="6.5" style="3" customWidth="1"/>
    <col min="3021" max="3021" width="19.125" style="3" customWidth="1"/>
    <col min="3022" max="3024" width="10.75" style="3" customWidth="1"/>
    <col min="3025" max="3025" width="5.875" style="3" customWidth="1"/>
    <col min="3026" max="3026" width="8.5" style="3" customWidth="1"/>
    <col min="3027" max="3027" width="14" style="3" customWidth="1"/>
    <col min="3028" max="3028" width="2" style="3" customWidth="1"/>
    <col min="3029" max="3275" width="9" style="3" customWidth="1"/>
    <col min="3276" max="3276" width="6.5" style="3" customWidth="1"/>
    <col min="3277" max="3277" width="19.125" style="3" customWidth="1"/>
    <col min="3278" max="3280" width="10.75" style="3" customWidth="1"/>
    <col min="3281" max="3281" width="5.875" style="3" customWidth="1"/>
    <col min="3282" max="3282" width="8.5" style="3" customWidth="1"/>
    <col min="3283" max="3283" width="14" style="3" customWidth="1"/>
    <col min="3284" max="3284" width="2" style="3" customWidth="1"/>
    <col min="3285" max="3531" width="9" style="3" customWidth="1"/>
    <col min="3532" max="3532" width="6.5" style="3" customWidth="1"/>
    <col min="3533" max="3533" width="19.125" style="3" customWidth="1"/>
    <col min="3534" max="3536" width="10.75" style="3" customWidth="1"/>
    <col min="3537" max="3537" width="5.875" style="3" customWidth="1"/>
    <col min="3538" max="3538" width="8.5" style="3" customWidth="1"/>
    <col min="3539" max="3539" width="14" style="3" customWidth="1"/>
    <col min="3540" max="3540" width="2" style="3" customWidth="1"/>
    <col min="3541" max="3787" width="9" style="3" customWidth="1"/>
    <col min="3788" max="3788" width="6.5" style="3" customWidth="1"/>
    <col min="3789" max="3789" width="19.125" style="3" customWidth="1"/>
    <col min="3790" max="3792" width="10.75" style="3" customWidth="1"/>
    <col min="3793" max="3793" width="5.875" style="3" customWidth="1"/>
    <col min="3794" max="3794" width="8.5" style="3" customWidth="1"/>
    <col min="3795" max="3795" width="14" style="3" customWidth="1"/>
    <col min="3796" max="3796" width="2" style="3" customWidth="1"/>
    <col min="3797" max="4043" width="9" style="3" customWidth="1"/>
    <col min="4044" max="4044" width="6.5" style="3" customWidth="1"/>
    <col min="4045" max="4045" width="19.125" style="3" customWidth="1"/>
    <col min="4046" max="4048" width="10.75" style="3" customWidth="1"/>
    <col min="4049" max="4049" width="5.875" style="3" customWidth="1"/>
    <col min="4050" max="4050" width="8.5" style="3" customWidth="1"/>
    <col min="4051" max="4051" width="14" style="3" customWidth="1"/>
    <col min="4052" max="4052" width="2" style="3" customWidth="1"/>
    <col min="4053" max="4299" width="9" style="3" customWidth="1"/>
    <col min="4300" max="4300" width="6.5" style="3" customWidth="1"/>
    <col min="4301" max="4301" width="19.125" style="3" customWidth="1"/>
    <col min="4302" max="4304" width="10.75" style="3" customWidth="1"/>
    <col min="4305" max="4305" width="5.875" style="3" customWidth="1"/>
    <col min="4306" max="4306" width="8.5" style="3" customWidth="1"/>
    <col min="4307" max="4307" width="14" style="3" customWidth="1"/>
    <col min="4308" max="4308" width="2" style="3" customWidth="1"/>
    <col min="4309" max="4555" width="9" style="3" customWidth="1"/>
    <col min="4556" max="4556" width="6.5" style="3" customWidth="1"/>
    <col min="4557" max="4557" width="19.125" style="3" customWidth="1"/>
    <col min="4558" max="4560" width="10.75" style="3" customWidth="1"/>
    <col min="4561" max="4561" width="5.875" style="3" customWidth="1"/>
    <col min="4562" max="4562" width="8.5" style="3" customWidth="1"/>
    <col min="4563" max="4563" width="14" style="3" customWidth="1"/>
    <col min="4564" max="4564" width="2" style="3" customWidth="1"/>
    <col min="4565" max="4811" width="9" style="3" customWidth="1"/>
    <col min="4812" max="4812" width="6.5" style="3" customWidth="1"/>
    <col min="4813" max="4813" width="19.125" style="3" customWidth="1"/>
    <col min="4814" max="4816" width="10.75" style="3" customWidth="1"/>
    <col min="4817" max="4817" width="5.875" style="3" customWidth="1"/>
    <col min="4818" max="4818" width="8.5" style="3" customWidth="1"/>
    <col min="4819" max="4819" width="14" style="3" customWidth="1"/>
    <col min="4820" max="4820" width="2" style="3" customWidth="1"/>
    <col min="4821" max="5067" width="9" style="3" customWidth="1"/>
    <col min="5068" max="5068" width="6.5" style="3" customWidth="1"/>
    <col min="5069" max="5069" width="19.125" style="3" customWidth="1"/>
    <col min="5070" max="5072" width="10.75" style="3" customWidth="1"/>
    <col min="5073" max="5073" width="5.875" style="3" customWidth="1"/>
    <col min="5074" max="5074" width="8.5" style="3" customWidth="1"/>
    <col min="5075" max="5075" width="14" style="3" customWidth="1"/>
    <col min="5076" max="5076" width="2" style="3" customWidth="1"/>
    <col min="5077" max="5323" width="9" style="3" customWidth="1"/>
    <col min="5324" max="5324" width="6.5" style="3" customWidth="1"/>
    <col min="5325" max="5325" width="19.125" style="3" customWidth="1"/>
    <col min="5326" max="5328" width="10.75" style="3" customWidth="1"/>
    <col min="5329" max="5329" width="5.875" style="3" customWidth="1"/>
    <col min="5330" max="5330" width="8.5" style="3" customWidth="1"/>
    <col min="5331" max="5331" width="14" style="3" customWidth="1"/>
    <col min="5332" max="5332" width="2" style="3" customWidth="1"/>
    <col min="5333" max="5579" width="9" style="3" customWidth="1"/>
    <col min="5580" max="5580" width="6.5" style="3" customWidth="1"/>
    <col min="5581" max="5581" width="19.125" style="3" customWidth="1"/>
    <col min="5582" max="5584" width="10.75" style="3" customWidth="1"/>
    <col min="5585" max="5585" width="5.875" style="3" customWidth="1"/>
    <col min="5586" max="5586" width="8.5" style="3" customWidth="1"/>
    <col min="5587" max="5587" width="14" style="3" customWidth="1"/>
    <col min="5588" max="5588" width="2" style="3" customWidth="1"/>
    <col min="5589" max="5835" width="9" style="3" customWidth="1"/>
    <col min="5836" max="5836" width="6.5" style="3" customWidth="1"/>
    <col min="5837" max="5837" width="19.125" style="3" customWidth="1"/>
    <col min="5838" max="5840" width="10.75" style="3" customWidth="1"/>
    <col min="5841" max="5841" width="5.875" style="3" customWidth="1"/>
    <col min="5842" max="5842" width="8.5" style="3" customWidth="1"/>
    <col min="5843" max="5843" width="14" style="3" customWidth="1"/>
    <col min="5844" max="5844" width="2" style="3" customWidth="1"/>
    <col min="5845" max="6091" width="9" style="3" customWidth="1"/>
    <col min="6092" max="6092" width="6.5" style="3" customWidth="1"/>
    <col min="6093" max="6093" width="19.125" style="3" customWidth="1"/>
    <col min="6094" max="6096" width="10.75" style="3" customWidth="1"/>
    <col min="6097" max="6097" width="5.875" style="3" customWidth="1"/>
    <col min="6098" max="6098" width="8.5" style="3" customWidth="1"/>
    <col min="6099" max="6099" width="14" style="3" customWidth="1"/>
    <col min="6100" max="6100" width="2" style="3" customWidth="1"/>
    <col min="6101" max="6347" width="9" style="3" customWidth="1"/>
    <col min="6348" max="6348" width="6.5" style="3" customWidth="1"/>
    <col min="6349" max="6349" width="19.125" style="3" customWidth="1"/>
    <col min="6350" max="6352" width="10.75" style="3" customWidth="1"/>
    <col min="6353" max="6353" width="5.875" style="3" customWidth="1"/>
    <col min="6354" max="6354" width="8.5" style="3" customWidth="1"/>
    <col min="6355" max="6355" width="14" style="3" customWidth="1"/>
    <col min="6356" max="6356" width="2" style="3" customWidth="1"/>
    <col min="6357" max="6603" width="9" style="3" customWidth="1"/>
    <col min="6604" max="6604" width="6.5" style="3" customWidth="1"/>
    <col min="6605" max="6605" width="19.125" style="3" customWidth="1"/>
    <col min="6606" max="6608" width="10.75" style="3" customWidth="1"/>
    <col min="6609" max="6609" width="5.875" style="3" customWidth="1"/>
    <col min="6610" max="6610" width="8.5" style="3" customWidth="1"/>
    <col min="6611" max="6611" width="14" style="3" customWidth="1"/>
    <col min="6612" max="6612" width="2" style="3" customWidth="1"/>
    <col min="6613" max="6859" width="9" style="3" customWidth="1"/>
    <col min="6860" max="6860" width="6.5" style="3" customWidth="1"/>
    <col min="6861" max="6861" width="19.125" style="3" customWidth="1"/>
    <col min="6862" max="6864" width="10.75" style="3" customWidth="1"/>
    <col min="6865" max="6865" width="5.875" style="3" customWidth="1"/>
    <col min="6866" max="6866" width="8.5" style="3" customWidth="1"/>
    <col min="6867" max="6867" width="14" style="3" customWidth="1"/>
    <col min="6868" max="6868" width="2" style="3" customWidth="1"/>
    <col min="6869" max="7115" width="9" style="3" customWidth="1"/>
    <col min="7116" max="7116" width="6.5" style="3" customWidth="1"/>
    <col min="7117" max="7117" width="19.125" style="3" customWidth="1"/>
    <col min="7118" max="7120" width="10.75" style="3" customWidth="1"/>
    <col min="7121" max="7121" width="5.875" style="3" customWidth="1"/>
    <col min="7122" max="7122" width="8.5" style="3" customWidth="1"/>
    <col min="7123" max="7123" width="14" style="3" customWidth="1"/>
    <col min="7124" max="7124" width="2" style="3" customWidth="1"/>
    <col min="7125" max="7371" width="9" style="3" customWidth="1"/>
    <col min="7372" max="7372" width="6.5" style="3" customWidth="1"/>
    <col min="7373" max="7373" width="19.125" style="3" customWidth="1"/>
    <col min="7374" max="7376" width="10.75" style="3" customWidth="1"/>
    <col min="7377" max="7377" width="5.875" style="3" customWidth="1"/>
    <col min="7378" max="7378" width="8.5" style="3" customWidth="1"/>
    <col min="7379" max="7379" width="14" style="3" customWidth="1"/>
    <col min="7380" max="7380" width="2" style="3" customWidth="1"/>
    <col min="7381" max="7627" width="9" style="3" customWidth="1"/>
    <col min="7628" max="7628" width="6.5" style="3" customWidth="1"/>
    <col min="7629" max="7629" width="19.125" style="3" customWidth="1"/>
    <col min="7630" max="7632" width="10.75" style="3" customWidth="1"/>
    <col min="7633" max="7633" width="5.875" style="3" customWidth="1"/>
    <col min="7634" max="7634" width="8.5" style="3" customWidth="1"/>
    <col min="7635" max="7635" width="14" style="3" customWidth="1"/>
    <col min="7636" max="7636" width="2" style="3" customWidth="1"/>
    <col min="7637" max="7883" width="9" style="3" customWidth="1"/>
    <col min="7884" max="7884" width="6.5" style="3" customWidth="1"/>
    <col min="7885" max="7885" width="19.125" style="3" customWidth="1"/>
    <col min="7886" max="7888" width="10.75" style="3" customWidth="1"/>
    <col min="7889" max="7889" width="5.875" style="3" customWidth="1"/>
    <col min="7890" max="7890" width="8.5" style="3" customWidth="1"/>
    <col min="7891" max="7891" width="14" style="3" customWidth="1"/>
    <col min="7892" max="7892" width="2" style="3" customWidth="1"/>
    <col min="7893" max="8139" width="9" style="3" customWidth="1"/>
    <col min="8140" max="8140" width="6.5" style="3" customWidth="1"/>
    <col min="8141" max="8141" width="19.125" style="3" customWidth="1"/>
    <col min="8142" max="8144" width="10.75" style="3" customWidth="1"/>
    <col min="8145" max="8145" width="5.875" style="3" customWidth="1"/>
    <col min="8146" max="8146" width="8.5" style="3" customWidth="1"/>
    <col min="8147" max="8147" width="14" style="3" customWidth="1"/>
    <col min="8148" max="8148" width="2" style="3" customWidth="1"/>
    <col min="8149" max="8395" width="9" style="3" customWidth="1"/>
    <col min="8396" max="8396" width="6.5" style="3" customWidth="1"/>
    <col min="8397" max="8397" width="19.125" style="3" customWidth="1"/>
    <col min="8398" max="8400" width="10.75" style="3" customWidth="1"/>
    <col min="8401" max="8401" width="5.875" style="3" customWidth="1"/>
    <col min="8402" max="8402" width="8.5" style="3" customWidth="1"/>
    <col min="8403" max="8403" width="14" style="3" customWidth="1"/>
    <col min="8404" max="8404" width="2" style="3" customWidth="1"/>
    <col min="8405" max="8651" width="9" style="3" customWidth="1"/>
    <col min="8652" max="8652" width="6.5" style="3" customWidth="1"/>
    <col min="8653" max="8653" width="19.125" style="3" customWidth="1"/>
    <col min="8654" max="8656" width="10.75" style="3" customWidth="1"/>
    <col min="8657" max="8657" width="5.875" style="3" customWidth="1"/>
    <col min="8658" max="8658" width="8.5" style="3" customWidth="1"/>
    <col min="8659" max="8659" width="14" style="3" customWidth="1"/>
    <col min="8660" max="8660" width="2" style="3" customWidth="1"/>
    <col min="8661" max="8907" width="9" style="3" customWidth="1"/>
    <col min="8908" max="8908" width="6.5" style="3" customWidth="1"/>
    <col min="8909" max="8909" width="19.125" style="3" customWidth="1"/>
    <col min="8910" max="8912" width="10.75" style="3" customWidth="1"/>
    <col min="8913" max="8913" width="5.875" style="3" customWidth="1"/>
    <col min="8914" max="8914" width="8.5" style="3" customWidth="1"/>
    <col min="8915" max="8915" width="14" style="3" customWidth="1"/>
    <col min="8916" max="8916" width="2" style="3" customWidth="1"/>
    <col min="8917" max="9163" width="9" style="3" customWidth="1"/>
    <col min="9164" max="9164" width="6.5" style="3" customWidth="1"/>
    <col min="9165" max="9165" width="19.125" style="3" customWidth="1"/>
    <col min="9166" max="9168" width="10.75" style="3" customWidth="1"/>
    <col min="9169" max="9169" width="5.875" style="3" customWidth="1"/>
    <col min="9170" max="9170" width="8.5" style="3" customWidth="1"/>
    <col min="9171" max="9171" width="14" style="3" customWidth="1"/>
    <col min="9172" max="9172" width="2" style="3" customWidth="1"/>
    <col min="9173" max="9419" width="9" style="3" customWidth="1"/>
    <col min="9420" max="9420" width="6.5" style="3" customWidth="1"/>
    <col min="9421" max="9421" width="19.125" style="3" customWidth="1"/>
    <col min="9422" max="9424" width="10.75" style="3" customWidth="1"/>
    <col min="9425" max="9425" width="5.875" style="3" customWidth="1"/>
    <col min="9426" max="9426" width="8.5" style="3" customWidth="1"/>
    <col min="9427" max="9427" width="14" style="3" customWidth="1"/>
    <col min="9428" max="9428" width="2" style="3" customWidth="1"/>
    <col min="9429" max="9675" width="9" style="3" customWidth="1"/>
    <col min="9676" max="9676" width="6.5" style="3" customWidth="1"/>
    <col min="9677" max="9677" width="19.125" style="3" customWidth="1"/>
    <col min="9678" max="9680" width="10.75" style="3" customWidth="1"/>
    <col min="9681" max="9681" width="5.875" style="3" customWidth="1"/>
    <col min="9682" max="9682" width="8.5" style="3" customWidth="1"/>
    <col min="9683" max="9683" width="14" style="3" customWidth="1"/>
    <col min="9684" max="9684" width="2" style="3" customWidth="1"/>
    <col min="9685" max="9931" width="9" style="3" customWidth="1"/>
    <col min="9932" max="9932" width="6.5" style="3" customWidth="1"/>
    <col min="9933" max="9933" width="19.125" style="3" customWidth="1"/>
    <col min="9934" max="9936" width="10.75" style="3" customWidth="1"/>
    <col min="9937" max="9937" width="5.875" style="3" customWidth="1"/>
    <col min="9938" max="9938" width="8.5" style="3" customWidth="1"/>
    <col min="9939" max="9939" width="14" style="3" customWidth="1"/>
    <col min="9940" max="9940" width="2" style="3" customWidth="1"/>
    <col min="9941" max="10187" width="9" style="3" customWidth="1"/>
    <col min="10188" max="10188" width="6.5" style="3" customWidth="1"/>
    <col min="10189" max="10189" width="19.125" style="3" customWidth="1"/>
    <col min="10190" max="10192" width="10.75" style="3" customWidth="1"/>
    <col min="10193" max="10193" width="5.875" style="3" customWidth="1"/>
    <col min="10194" max="10194" width="8.5" style="3" customWidth="1"/>
    <col min="10195" max="10195" width="14" style="3" customWidth="1"/>
    <col min="10196" max="10196" width="2" style="3" customWidth="1"/>
    <col min="10197" max="10443" width="9" style="3" customWidth="1"/>
    <col min="10444" max="10444" width="6.5" style="3" customWidth="1"/>
    <col min="10445" max="10445" width="19.125" style="3" customWidth="1"/>
    <col min="10446" max="10448" width="10.75" style="3" customWidth="1"/>
    <col min="10449" max="10449" width="5.875" style="3" customWidth="1"/>
    <col min="10450" max="10450" width="8.5" style="3" customWidth="1"/>
    <col min="10451" max="10451" width="14" style="3" customWidth="1"/>
    <col min="10452" max="10452" width="2" style="3" customWidth="1"/>
    <col min="10453" max="10699" width="9" style="3" customWidth="1"/>
    <col min="10700" max="10700" width="6.5" style="3" customWidth="1"/>
    <col min="10701" max="10701" width="19.125" style="3" customWidth="1"/>
    <col min="10702" max="10704" width="10.75" style="3" customWidth="1"/>
    <col min="10705" max="10705" width="5.875" style="3" customWidth="1"/>
    <col min="10706" max="10706" width="8.5" style="3" customWidth="1"/>
    <col min="10707" max="10707" width="14" style="3" customWidth="1"/>
    <col min="10708" max="10708" width="2" style="3" customWidth="1"/>
    <col min="10709" max="10955" width="9" style="3" customWidth="1"/>
    <col min="10956" max="10956" width="6.5" style="3" customWidth="1"/>
    <col min="10957" max="10957" width="19.125" style="3" customWidth="1"/>
    <col min="10958" max="10960" width="10.75" style="3" customWidth="1"/>
    <col min="10961" max="10961" width="5.875" style="3" customWidth="1"/>
    <col min="10962" max="10962" width="8.5" style="3" customWidth="1"/>
    <col min="10963" max="10963" width="14" style="3" customWidth="1"/>
    <col min="10964" max="10964" width="2" style="3" customWidth="1"/>
    <col min="10965" max="11211" width="9" style="3" customWidth="1"/>
    <col min="11212" max="11212" width="6.5" style="3" customWidth="1"/>
    <col min="11213" max="11213" width="19.125" style="3" customWidth="1"/>
    <col min="11214" max="11216" width="10.75" style="3" customWidth="1"/>
    <col min="11217" max="11217" width="5.875" style="3" customWidth="1"/>
    <col min="11218" max="11218" width="8.5" style="3" customWidth="1"/>
    <col min="11219" max="11219" width="14" style="3" customWidth="1"/>
    <col min="11220" max="11220" width="2" style="3" customWidth="1"/>
    <col min="11221" max="11467" width="9" style="3" customWidth="1"/>
    <col min="11468" max="11468" width="6.5" style="3" customWidth="1"/>
    <col min="11469" max="11469" width="19.125" style="3" customWidth="1"/>
    <col min="11470" max="11472" width="10.75" style="3" customWidth="1"/>
    <col min="11473" max="11473" width="5.875" style="3" customWidth="1"/>
    <col min="11474" max="11474" width="8.5" style="3" customWidth="1"/>
    <col min="11475" max="11475" width="14" style="3" customWidth="1"/>
    <col min="11476" max="11476" width="2" style="3" customWidth="1"/>
    <col min="11477" max="11723" width="9" style="3" customWidth="1"/>
    <col min="11724" max="11724" width="6.5" style="3" customWidth="1"/>
    <col min="11725" max="11725" width="19.125" style="3" customWidth="1"/>
    <col min="11726" max="11728" width="10.75" style="3" customWidth="1"/>
    <col min="11729" max="11729" width="5.875" style="3" customWidth="1"/>
    <col min="11730" max="11730" width="8.5" style="3" customWidth="1"/>
    <col min="11731" max="11731" width="14" style="3" customWidth="1"/>
    <col min="11732" max="11732" width="2" style="3" customWidth="1"/>
    <col min="11733" max="11979" width="9" style="3" customWidth="1"/>
    <col min="11980" max="11980" width="6.5" style="3" customWidth="1"/>
    <col min="11981" max="11981" width="19.125" style="3" customWidth="1"/>
    <col min="11982" max="11984" width="10.75" style="3" customWidth="1"/>
    <col min="11985" max="11985" width="5.875" style="3" customWidth="1"/>
    <col min="11986" max="11986" width="8.5" style="3" customWidth="1"/>
    <col min="11987" max="11987" width="14" style="3" customWidth="1"/>
    <col min="11988" max="11988" width="2" style="3" customWidth="1"/>
    <col min="11989" max="12235" width="9" style="3" customWidth="1"/>
    <col min="12236" max="12236" width="6.5" style="3" customWidth="1"/>
    <col min="12237" max="12237" width="19.125" style="3" customWidth="1"/>
    <col min="12238" max="12240" width="10.75" style="3" customWidth="1"/>
    <col min="12241" max="12241" width="5.875" style="3" customWidth="1"/>
    <col min="12242" max="12242" width="8.5" style="3" customWidth="1"/>
    <col min="12243" max="12243" width="14" style="3" customWidth="1"/>
    <col min="12244" max="12244" width="2" style="3" customWidth="1"/>
    <col min="12245" max="12491" width="9" style="3" customWidth="1"/>
    <col min="12492" max="12492" width="6.5" style="3" customWidth="1"/>
    <col min="12493" max="12493" width="19.125" style="3" customWidth="1"/>
    <col min="12494" max="12496" width="10.75" style="3" customWidth="1"/>
    <col min="12497" max="12497" width="5.875" style="3" customWidth="1"/>
    <col min="12498" max="12498" width="8.5" style="3" customWidth="1"/>
    <col min="12499" max="12499" width="14" style="3" customWidth="1"/>
    <col min="12500" max="12500" width="2" style="3" customWidth="1"/>
    <col min="12501" max="12747" width="9" style="3" customWidth="1"/>
    <col min="12748" max="12748" width="6.5" style="3" customWidth="1"/>
    <col min="12749" max="12749" width="19.125" style="3" customWidth="1"/>
    <col min="12750" max="12752" width="10.75" style="3" customWidth="1"/>
    <col min="12753" max="12753" width="5.875" style="3" customWidth="1"/>
    <col min="12754" max="12754" width="8.5" style="3" customWidth="1"/>
    <col min="12755" max="12755" width="14" style="3" customWidth="1"/>
    <col min="12756" max="12756" width="2" style="3" customWidth="1"/>
    <col min="12757" max="13003" width="9" style="3" customWidth="1"/>
    <col min="13004" max="13004" width="6.5" style="3" customWidth="1"/>
    <col min="13005" max="13005" width="19.125" style="3" customWidth="1"/>
    <col min="13006" max="13008" width="10.75" style="3" customWidth="1"/>
    <col min="13009" max="13009" width="5.875" style="3" customWidth="1"/>
    <col min="13010" max="13010" width="8.5" style="3" customWidth="1"/>
    <col min="13011" max="13011" width="14" style="3" customWidth="1"/>
    <col min="13012" max="13012" width="2" style="3" customWidth="1"/>
    <col min="13013" max="13259" width="9" style="3" customWidth="1"/>
    <col min="13260" max="13260" width="6.5" style="3" customWidth="1"/>
    <col min="13261" max="13261" width="19.125" style="3" customWidth="1"/>
    <col min="13262" max="13264" width="10.75" style="3" customWidth="1"/>
    <col min="13265" max="13265" width="5.875" style="3" customWidth="1"/>
    <col min="13266" max="13266" width="8.5" style="3" customWidth="1"/>
    <col min="13267" max="13267" width="14" style="3" customWidth="1"/>
    <col min="13268" max="13268" width="2" style="3" customWidth="1"/>
    <col min="13269" max="13515" width="9" style="3" customWidth="1"/>
    <col min="13516" max="13516" width="6.5" style="3" customWidth="1"/>
    <col min="13517" max="13517" width="19.125" style="3" customWidth="1"/>
    <col min="13518" max="13520" width="10.75" style="3" customWidth="1"/>
    <col min="13521" max="13521" width="5.875" style="3" customWidth="1"/>
    <col min="13522" max="13522" width="8.5" style="3" customWidth="1"/>
    <col min="13523" max="13523" width="14" style="3" customWidth="1"/>
    <col min="13524" max="13524" width="2" style="3" customWidth="1"/>
    <col min="13525" max="13771" width="9" style="3" customWidth="1"/>
    <col min="13772" max="13772" width="6.5" style="3" customWidth="1"/>
    <col min="13773" max="13773" width="19.125" style="3" customWidth="1"/>
    <col min="13774" max="13776" width="10.75" style="3" customWidth="1"/>
    <col min="13777" max="13777" width="5.875" style="3" customWidth="1"/>
    <col min="13778" max="13778" width="8.5" style="3" customWidth="1"/>
    <col min="13779" max="13779" width="14" style="3" customWidth="1"/>
    <col min="13780" max="13780" width="2" style="3" customWidth="1"/>
    <col min="13781" max="14027" width="9" style="3" customWidth="1"/>
    <col min="14028" max="14028" width="6.5" style="3" customWidth="1"/>
    <col min="14029" max="14029" width="19.125" style="3" customWidth="1"/>
    <col min="14030" max="14032" width="10.75" style="3" customWidth="1"/>
    <col min="14033" max="14033" width="5.875" style="3" customWidth="1"/>
    <col min="14034" max="14034" width="8.5" style="3" customWidth="1"/>
    <col min="14035" max="14035" width="14" style="3" customWidth="1"/>
    <col min="14036" max="14036" width="2" style="3" customWidth="1"/>
    <col min="14037" max="14283" width="9" style="3" customWidth="1"/>
    <col min="14284" max="14284" width="6.5" style="3" customWidth="1"/>
    <col min="14285" max="14285" width="19.125" style="3" customWidth="1"/>
    <col min="14286" max="14288" width="10.75" style="3" customWidth="1"/>
    <col min="14289" max="14289" width="5.875" style="3" customWidth="1"/>
    <col min="14290" max="14290" width="8.5" style="3" customWidth="1"/>
    <col min="14291" max="14291" width="14" style="3" customWidth="1"/>
    <col min="14292" max="14292" width="2" style="3" customWidth="1"/>
    <col min="14293" max="14539" width="9" style="3" customWidth="1"/>
    <col min="14540" max="14540" width="6.5" style="3" customWidth="1"/>
    <col min="14541" max="14541" width="19.125" style="3" customWidth="1"/>
    <col min="14542" max="14544" width="10.75" style="3" customWidth="1"/>
    <col min="14545" max="14545" width="5.875" style="3" customWidth="1"/>
    <col min="14546" max="14546" width="8.5" style="3" customWidth="1"/>
    <col min="14547" max="14547" width="14" style="3" customWidth="1"/>
    <col min="14548" max="14548" width="2" style="3" customWidth="1"/>
    <col min="14549" max="14795" width="9" style="3" customWidth="1"/>
    <col min="14796" max="14796" width="6.5" style="3" customWidth="1"/>
    <col min="14797" max="14797" width="19.125" style="3" customWidth="1"/>
    <col min="14798" max="14800" width="10.75" style="3" customWidth="1"/>
    <col min="14801" max="14801" width="5.875" style="3" customWidth="1"/>
    <col min="14802" max="14802" width="8.5" style="3" customWidth="1"/>
    <col min="14803" max="14803" width="14" style="3" customWidth="1"/>
    <col min="14804" max="14804" width="2" style="3" customWidth="1"/>
    <col min="14805" max="15051" width="9" style="3" customWidth="1"/>
    <col min="15052" max="15052" width="6.5" style="3" customWidth="1"/>
    <col min="15053" max="15053" width="19.125" style="3" customWidth="1"/>
    <col min="15054" max="15056" width="10.75" style="3" customWidth="1"/>
    <col min="15057" max="15057" width="5.875" style="3" customWidth="1"/>
    <col min="15058" max="15058" width="8.5" style="3" customWidth="1"/>
    <col min="15059" max="15059" width="14" style="3" customWidth="1"/>
    <col min="15060" max="15060" width="2" style="3" customWidth="1"/>
    <col min="15061" max="15307" width="9" style="3" customWidth="1"/>
    <col min="15308" max="15308" width="6.5" style="3" customWidth="1"/>
    <col min="15309" max="15309" width="19.125" style="3" customWidth="1"/>
    <col min="15310" max="15312" width="10.75" style="3" customWidth="1"/>
    <col min="15313" max="15313" width="5.875" style="3" customWidth="1"/>
    <col min="15314" max="15314" width="8.5" style="3" customWidth="1"/>
    <col min="15315" max="15315" width="14" style="3" customWidth="1"/>
    <col min="15316" max="15316" width="2" style="3" customWidth="1"/>
    <col min="15317" max="15563" width="9" style="3" customWidth="1"/>
    <col min="15564" max="15564" width="6.5" style="3" customWidth="1"/>
    <col min="15565" max="15565" width="19.125" style="3" customWidth="1"/>
    <col min="15566" max="15568" width="10.75" style="3" customWidth="1"/>
    <col min="15569" max="15569" width="5.875" style="3" customWidth="1"/>
    <col min="15570" max="15570" width="8.5" style="3" customWidth="1"/>
    <col min="15571" max="15571" width="14" style="3" customWidth="1"/>
    <col min="15572" max="15572" width="2" style="3" customWidth="1"/>
    <col min="15573" max="15819" width="9" style="3" customWidth="1"/>
    <col min="15820" max="15820" width="6.5" style="3" customWidth="1"/>
    <col min="15821" max="15821" width="19.125" style="3" customWidth="1"/>
    <col min="15822" max="15824" width="10.75" style="3" customWidth="1"/>
    <col min="15825" max="15825" width="5.875" style="3" customWidth="1"/>
    <col min="15826" max="15826" width="8.5" style="3" customWidth="1"/>
    <col min="15827" max="15827" width="14" style="3" customWidth="1"/>
    <col min="15828" max="15828" width="2" style="3" customWidth="1"/>
    <col min="15829" max="16075" width="9" style="3" customWidth="1"/>
    <col min="16076" max="16076" width="6.5" style="3" customWidth="1"/>
    <col min="16077" max="16077" width="19.125" style="3" customWidth="1"/>
    <col min="16078" max="16080" width="10.75" style="3" customWidth="1"/>
    <col min="16081" max="16081" width="5.875" style="3" customWidth="1"/>
    <col min="16082" max="16082" width="8.5" style="3" customWidth="1"/>
    <col min="16083" max="16083" width="14" style="3" customWidth="1"/>
    <col min="16084" max="16084" width="2" style="3" customWidth="1"/>
    <col min="16085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2" t="s">
        <v>25</v>
      </c>
      <c r="B2" s="152"/>
      <c r="C2" s="152"/>
      <c r="D2" s="152"/>
      <c r="E2" s="152"/>
      <c r="F2" s="152"/>
      <c r="G2" s="152"/>
      <c r="H2" s="15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3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15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5"/>
      <c r="B5" s="155"/>
      <c r="C5" s="155"/>
      <c r="D5" s="155"/>
      <c r="E5" s="155"/>
      <c r="F5" s="155"/>
      <c r="G5" s="155"/>
      <c r="H5" s="15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6.5" customHeight="1" spans="1:25" s="9" customFormat="1" x14ac:dyDescent="0.25">
      <c r="A6" s="156" t="s">
        <v>27</v>
      </c>
      <c r="B6" s="157"/>
      <c r="C6" s="156" t="s">
        <v>4</v>
      </c>
      <c r="D6" s="15"/>
      <c r="E6" s="15"/>
      <c r="F6" s="9"/>
      <c r="G6" s="158" t="s">
        <v>5</v>
      </c>
      <c r="H6" s="159">
        <v>46229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6.5" customHeight="1" spans="1:25" s="9" customFormat="1" x14ac:dyDescent="0.25">
      <c r="A8" s="156" t="s">
        <v>28</v>
      </c>
      <c r="B8" s="160"/>
      <c r="C8" s="156" t="s">
        <v>29</v>
      </c>
      <c r="D8" s="15"/>
      <c r="E8" s="15"/>
      <c r="F8" s="156"/>
      <c r="G8" s="161" t="s">
        <v>30</v>
      </c>
      <c r="H8" s="1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6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2" t="s">
        <v>32</v>
      </c>
      <c r="B12" s="163"/>
      <c r="C12" s="164" t="s">
        <v>33</v>
      </c>
      <c r="D12" s="164"/>
      <c r="E12" s="164"/>
      <c r="F12" s="164"/>
      <c r="G12" s="164"/>
      <c r="H12" s="16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9.9" customHeight="1" spans="1:25" s="9" customFormat="1" x14ac:dyDescent="0.25">
      <c r="A13" s="165" t="s">
        <v>34</v>
      </c>
      <c r="B13" s="166"/>
      <c r="C13" s="167"/>
      <c r="D13" s="167"/>
      <c r="E13" s="167"/>
      <c r="F13" s="167"/>
      <c r="G13" s="167"/>
      <c r="H13" s="16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9.9" customHeight="1" spans="1:25" x14ac:dyDescent="0.25">
      <c r="A14" s="168"/>
      <c r="B14" s="169"/>
      <c r="C14" s="170"/>
      <c r="D14" s="170"/>
      <c r="E14" s="170"/>
      <c r="F14" s="170"/>
      <c r="G14" s="170"/>
      <c r="H14" s="17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" customHeight="1" spans="1:25" x14ac:dyDescent="0.25">
      <c r="A15" s="168"/>
      <c r="B15" s="57"/>
      <c r="C15" s="171"/>
      <c r="D15" s="171"/>
      <c r="E15" s="171"/>
      <c r="F15" s="171"/>
      <c r="G15" s="171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" customHeight="1" spans="1:25" x14ac:dyDescent="0.25">
      <c r="A16" s="168"/>
      <c r="B16" s="57"/>
      <c r="C16" s="171"/>
      <c r="D16" s="171"/>
      <c r="E16" s="171"/>
      <c r="F16" s="171"/>
      <c r="G16" s="171"/>
      <c r="H16" s="17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" customHeight="1" spans="1:25" x14ac:dyDescent="0.25">
      <c r="A17" s="172"/>
      <c r="B17" s="173"/>
      <c r="C17" s="174"/>
      <c r="D17" s="174"/>
      <c r="E17" s="174"/>
      <c r="F17" s="174"/>
      <c r="G17" s="174"/>
      <c r="H17" s="174"/>
      <c r="I17" s="3"/>
      <c r="J17" s="3"/>
      <c r="K17" s="3"/>
      <c r="L17" s="3" t="s">
        <v>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" customHeight="1" spans="1:25" x14ac:dyDescent="0.25">
      <c r="A18" s="175"/>
      <c r="B18" s="57"/>
      <c r="C18" s="171"/>
      <c r="D18" s="171"/>
      <c r="E18" s="171"/>
      <c r="F18" s="171"/>
      <c r="G18" s="171"/>
      <c r="H18" s="17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" customHeight="1" spans="1:25" x14ac:dyDescent="0.25">
      <c r="A19" s="176"/>
      <c r="B19" s="57"/>
      <c r="C19" s="171"/>
      <c r="D19" s="171"/>
      <c r="E19" s="171"/>
      <c r="F19" s="171"/>
      <c r="G19" s="171"/>
      <c r="H19" s="17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" customHeight="1" spans="1:25" x14ac:dyDescent="0.25">
      <c r="A20" s="168"/>
      <c r="B20" s="177"/>
      <c r="C20" s="170"/>
      <c r="D20" s="170"/>
      <c r="E20" s="170"/>
      <c r="F20" s="170"/>
      <c r="G20" s="170"/>
      <c r="H20" s="17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" customHeight="1" spans="1:25" x14ac:dyDescent="0.25">
      <c r="A21" s="168"/>
      <c r="B21" s="178"/>
      <c r="C21" s="179"/>
      <c r="D21" s="179"/>
      <c r="E21" s="179"/>
      <c r="F21" s="179"/>
      <c r="G21" s="179"/>
      <c r="H21" s="179"/>
      <c r="I21" s="3"/>
      <c r="J21" s="3"/>
      <c r="K21" s="3" t="s">
        <v>35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" customHeight="1" spans="1:25" x14ac:dyDescent="0.25">
      <c r="A22" s="180"/>
      <c r="B22" s="177"/>
      <c r="C22" s="181"/>
      <c r="D22" s="181"/>
      <c r="E22" s="181"/>
      <c r="F22" s="181"/>
      <c r="G22" s="181"/>
      <c r="H22" s="18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" customHeight="1" spans="1:25" x14ac:dyDescent="0.25">
      <c r="A23" s="182"/>
      <c r="B23" s="102"/>
      <c r="C23" s="183"/>
      <c r="D23" s="183"/>
      <c r="E23" s="183"/>
      <c r="F23" s="183"/>
      <c r="G23" s="183"/>
      <c r="H23" s="18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" customHeight="1" spans="1:25" x14ac:dyDescent="0.25">
      <c r="A24" s="175"/>
      <c r="B24" s="57"/>
      <c r="C24" s="184"/>
      <c r="D24" s="184"/>
      <c r="E24" s="184"/>
      <c r="F24" s="184"/>
      <c r="G24" s="184"/>
      <c r="H24" s="18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9" customHeight="1" spans="1:25" x14ac:dyDescent="0.25">
      <c r="A25" s="185"/>
      <c r="B25" s="177"/>
      <c r="C25" s="181"/>
      <c r="D25" s="181"/>
      <c r="E25" s="181"/>
      <c r="F25" s="181"/>
      <c r="G25" s="181"/>
      <c r="H25" s="18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9" customHeight="1" spans="1:25" x14ac:dyDescent="0.25">
      <c r="A26" s="186"/>
      <c r="B26" s="169"/>
      <c r="C26" s="184"/>
      <c r="D26" s="184"/>
      <c r="E26" s="184"/>
      <c r="F26" s="184"/>
      <c r="G26" s="184"/>
      <c r="H26" s="18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9" customHeight="1" spans="1:25" x14ac:dyDescent="0.25">
      <c r="A27" s="168"/>
      <c r="B27" s="57"/>
      <c r="C27" s="184"/>
      <c r="D27" s="184"/>
      <c r="E27" s="184"/>
      <c r="F27" s="184"/>
      <c r="G27" s="184"/>
      <c r="H27" s="18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9" customHeight="1" spans="1:25" x14ac:dyDescent="0.25">
      <c r="A28" s="187"/>
      <c r="B28" s="173"/>
      <c r="C28" s="188"/>
      <c r="D28" s="189"/>
      <c r="E28" s="189"/>
      <c r="F28" s="189"/>
      <c r="G28" s="189"/>
      <c r="H28" s="19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9" customHeight="1" spans="1:25" x14ac:dyDescent="0.25">
      <c r="A29" s="191"/>
      <c r="B29" s="28"/>
      <c r="C29" s="192"/>
      <c r="D29" s="192"/>
      <c r="E29" s="192"/>
      <c r="F29" s="192"/>
      <c r="G29" s="192"/>
      <c r="H29" s="19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9" customHeight="1" spans="1:25" x14ac:dyDescent="0.25">
      <c r="A30" s="176"/>
      <c r="B30" s="57"/>
      <c r="C30" s="193"/>
      <c r="D30" s="194"/>
      <c r="E30" s="194"/>
      <c r="F30" s="194"/>
      <c r="G30" s="194"/>
      <c r="H30" s="19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9" customHeight="1" spans="1:25" x14ac:dyDescent="0.25">
      <c r="A31" s="185"/>
      <c r="B31" s="177"/>
      <c r="C31" s="196"/>
      <c r="D31" s="197"/>
      <c r="E31" s="197"/>
      <c r="F31" s="197"/>
      <c r="G31" s="197"/>
      <c r="H31" s="19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9" customHeight="1" spans="1:25" x14ac:dyDescent="0.25">
      <c r="A32" s="186"/>
      <c r="B32" s="57"/>
      <c r="C32" s="184"/>
      <c r="D32" s="184"/>
      <c r="E32" s="184"/>
      <c r="F32" s="184"/>
      <c r="G32" s="184"/>
      <c r="H32" s="18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9" customHeight="1" spans="1:25" x14ac:dyDescent="0.25">
      <c r="A33" s="172"/>
      <c r="B33" s="173"/>
      <c r="C33" s="199"/>
      <c r="D33" s="199"/>
      <c r="E33" s="199"/>
      <c r="F33" s="199"/>
      <c r="G33" s="199"/>
      <c r="H33" s="19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9.9" customHeight="1" spans="1:25" x14ac:dyDescent="0.25">
      <c r="A34" s="200"/>
      <c r="B34" s="57"/>
      <c r="C34" s="184"/>
      <c r="D34" s="184"/>
      <c r="E34" s="184"/>
      <c r="F34" s="184"/>
      <c r="G34" s="184"/>
      <c r="H34" s="18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9.9" customHeight="1" spans="1:25" x14ac:dyDescent="0.25">
      <c r="A35" s="201"/>
      <c r="B35" s="57"/>
      <c r="C35" s="184"/>
      <c r="D35" s="184"/>
      <c r="E35" s="184"/>
      <c r="F35" s="184"/>
      <c r="G35" s="184"/>
      <c r="H35" s="18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9" customHeight="1" spans="1:25" x14ac:dyDescent="0.25">
      <c r="A36" s="201"/>
      <c r="B36" s="57"/>
      <c r="C36" s="184"/>
      <c r="D36" s="184"/>
      <c r="E36" s="184"/>
      <c r="F36" s="184"/>
      <c r="G36" s="184"/>
      <c r="H36" s="18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9.9" customHeight="1" spans="1:25" x14ac:dyDescent="0.25">
      <c r="A37" s="168"/>
      <c r="B37" s="57"/>
      <c r="C37" s="184"/>
      <c r="D37" s="184"/>
      <c r="E37" s="184"/>
      <c r="F37" s="184"/>
      <c r="G37" s="184"/>
      <c r="H37" s="18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9.9" customHeight="1" spans="1:25" x14ac:dyDescent="0.25">
      <c r="A38" s="168"/>
      <c r="B38" s="57"/>
      <c r="C38" s="184"/>
      <c r="D38" s="184"/>
      <c r="E38" s="184"/>
      <c r="F38" s="184"/>
      <c r="G38" s="184"/>
      <c r="H38" s="18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spans="1:25" x14ac:dyDescent="0.25">
      <c r="A39" s="3"/>
      <c r="B39" s="105"/>
      <c r="C39" s="41"/>
      <c r="D39" s="41"/>
      <c r="E39" s="41"/>
      <c r="F39" s="41"/>
      <c r="G39" s="41"/>
      <c r="H39" s="4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spans="1:25" x14ac:dyDescent="0.25">
      <c r="A40" s="3"/>
      <c r="B40" s="105"/>
      <c r="C40" s="41"/>
      <c r="D40" s="41"/>
      <c r="E40" s="41"/>
      <c r="F40" s="41"/>
      <c r="G40" s="41"/>
      <c r="H40" s="4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9.9" customHeight="1" spans="1:25" x14ac:dyDescent="0.25">
      <c r="A41" s="202"/>
      <c r="B41" s="20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203" t="s">
        <v>22</v>
      </c>
      <c r="B42" s="151"/>
      <c r="C42" s="9"/>
      <c r="D42" s="9"/>
      <c r="E42" s="9"/>
      <c r="F42" s="3"/>
      <c r="G42" s="3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</sheetData>
  <mergeCells count="34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A42:B42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74" t="s">
        <v>25</v>
      </c>
      <c r="B2" s="274"/>
      <c r="C2" s="274"/>
      <c r="D2" s="274"/>
      <c r="E2" s="274"/>
      <c r="F2" s="274"/>
      <c r="G2" s="274"/>
      <c r="H2" s="27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8"/>
      <c r="B3" s="8"/>
      <c r="C3" s="8"/>
      <c r="D3" s="8"/>
      <c r="E3" s="8"/>
      <c r="F3" s="152"/>
      <c r="G3" s="152"/>
      <c r="H3" s="15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72</v>
      </c>
      <c r="B4" s="206" t="s">
        <v>38</v>
      </c>
      <c r="C4" s="206"/>
      <c r="D4" s="3"/>
      <c r="E4" s="275"/>
      <c r="F4" s="11" t="s">
        <v>73</v>
      </c>
      <c r="G4" s="207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9.95" customHeight="1" spans="1:25" x14ac:dyDescent="0.25">
      <c r="A5" s="276"/>
      <c r="B5" s="275"/>
      <c r="C5" s="3"/>
      <c r="D5" s="3"/>
      <c r="E5" s="27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74</v>
      </c>
      <c r="B6" s="206" t="s">
        <v>61</v>
      </c>
      <c r="C6" s="206"/>
      <c r="D6" s="3"/>
      <c r="E6" s="3" t="s">
        <v>35</v>
      </c>
      <c r="F6" s="11" t="s">
        <v>75</v>
      </c>
      <c r="G6" s="275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" customHeight="1" spans="1:25" x14ac:dyDescent="0.25">
      <c r="A7" s="275" t="s">
        <v>35</v>
      </c>
      <c r="B7" s="275"/>
      <c r="C7" s="3"/>
      <c r="D7" s="3"/>
      <c r="E7" s="3"/>
      <c r="F7" s="152"/>
      <c r="G7" s="3"/>
      <c r="H7" s="27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277" t="s">
        <v>76</v>
      </c>
      <c r="C8" s="278"/>
      <c r="D8" s="278"/>
      <c r="E8" s="278"/>
      <c r="F8" s="278"/>
      <c r="G8" s="279"/>
      <c r="H8" s="15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8" t="s">
        <v>77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80" t="s">
        <v>78</v>
      </c>
      <c r="B10" s="281"/>
      <c r="C10" s="282"/>
      <c r="D10" s="283" t="s">
        <v>79</v>
      </c>
      <c r="E10" s="284" t="s">
        <v>80</v>
      </c>
      <c r="F10" s="282"/>
      <c r="G10" s="285" t="s">
        <v>81</v>
      </c>
      <c r="H10" s="286" t="s">
        <v>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87" t="s">
        <v>82</v>
      </c>
      <c r="B11" s="163"/>
      <c r="C11" s="288" t="s">
        <v>83</v>
      </c>
      <c r="D11" s="289"/>
      <c r="E11" s="288" t="s">
        <v>82</v>
      </c>
      <c r="F11" s="288" t="s">
        <v>83</v>
      </c>
      <c r="G11" s="290"/>
      <c r="H11" s="29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53"/>
      <c r="B12" s="54"/>
      <c r="C12" s="292"/>
      <c r="D12" s="217"/>
      <c r="E12" s="217"/>
      <c r="F12" s="217"/>
      <c r="G12" s="217"/>
      <c r="H12" s="29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294"/>
      <c r="B13" s="233"/>
      <c r="C13" s="295"/>
      <c r="D13" s="233"/>
      <c r="E13" s="233"/>
      <c r="F13" s="233"/>
      <c r="G13" s="233"/>
      <c r="H13" s="29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294"/>
      <c r="B14" s="233"/>
      <c r="C14" s="295"/>
      <c r="D14" s="233"/>
      <c r="E14" s="233"/>
      <c r="F14" s="233"/>
      <c r="G14" s="233"/>
      <c r="H14" s="2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294"/>
      <c r="B15" s="233"/>
      <c r="C15" s="295"/>
      <c r="D15" s="233"/>
      <c r="E15" s="233"/>
      <c r="F15" s="297"/>
      <c r="G15" s="233"/>
      <c r="H15" s="296"/>
      <c r="I15" s="3"/>
      <c r="J15" s="3"/>
      <c r="K15" s="3" t="s">
        <v>84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298"/>
      <c r="B16" s="299"/>
      <c r="C16" s="300"/>
      <c r="D16" s="299"/>
      <c r="E16" s="299"/>
      <c r="F16" s="301"/>
      <c r="G16" s="233"/>
      <c r="H16" s="29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302"/>
      <c r="B17" s="29"/>
      <c r="C17" s="303"/>
      <c r="D17" s="29"/>
      <c r="E17" s="29"/>
      <c r="F17" s="304"/>
      <c r="G17" s="29"/>
      <c r="H17" s="3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53"/>
      <c r="B18" s="54"/>
      <c r="C18" s="305"/>
      <c r="D18" s="54"/>
      <c r="E18" s="54"/>
      <c r="F18" s="306"/>
      <c r="G18" s="233"/>
      <c r="H18" s="29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53"/>
      <c r="B19" s="54"/>
      <c r="C19" s="305"/>
      <c r="D19" s="54"/>
      <c r="E19" s="54"/>
      <c r="F19" s="306"/>
      <c r="G19" s="233"/>
      <c r="H19" s="29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07"/>
      <c r="B20" s="308"/>
      <c r="C20" s="295"/>
      <c r="D20" s="233"/>
      <c r="E20" s="233"/>
      <c r="F20" s="309"/>
      <c r="G20" s="233"/>
      <c r="H20" s="29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10"/>
      <c r="B21" s="311"/>
      <c r="C21" s="300"/>
      <c r="D21" s="299"/>
      <c r="E21" s="299"/>
      <c r="F21" s="312"/>
      <c r="G21" s="299"/>
      <c r="H21" s="3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314"/>
      <c r="B22" s="315"/>
      <c r="C22" s="305"/>
      <c r="D22" s="54"/>
      <c r="E22" s="54"/>
      <c r="F22" s="51"/>
      <c r="G22" s="54"/>
      <c r="H22" s="31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307"/>
      <c r="B23" s="308"/>
      <c r="C23" s="295"/>
      <c r="D23" s="233"/>
      <c r="E23" s="233"/>
      <c r="F23" s="297"/>
      <c r="G23" s="233"/>
      <c r="H23" s="29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17"/>
      <c r="B24" s="295"/>
      <c r="C24" s="295"/>
      <c r="D24" s="233"/>
      <c r="E24" s="233"/>
      <c r="F24" s="297"/>
      <c r="G24" s="233"/>
      <c r="H24" s="29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17"/>
      <c r="B25" s="295"/>
      <c r="C25" s="295"/>
      <c r="D25" s="233"/>
      <c r="E25" s="233"/>
      <c r="F25" s="297"/>
      <c r="G25" s="233"/>
      <c r="H25" s="29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18"/>
      <c r="B26" s="300"/>
      <c r="C26" s="300"/>
      <c r="D26" s="299"/>
      <c r="E26" s="299"/>
      <c r="F26" s="312"/>
      <c r="G26" s="299"/>
      <c r="H26" s="3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19"/>
      <c r="B27" s="320"/>
      <c r="C27" s="303"/>
      <c r="D27" s="303"/>
      <c r="E27" s="303"/>
      <c r="F27" s="303"/>
      <c r="G27" s="303"/>
      <c r="H27" s="32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22"/>
      <c r="B28" s="323"/>
      <c r="C28" s="295"/>
      <c r="D28" s="295"/>
      <c r="E28" s="295"/>
      <c r="F28" s="295"/>
      <c r="G28" s="295"/>
      <c r="H28" s="29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22"/>
      <c r="B29" s="323"/>
      <c r="C29" s="324"/>
      <c r="D29" s="324"/>
      <c r="E29" s="324"/>
      <c r="F29" s="324"/>
      <c r="G29" s="324"/>
      <c r="H29" s="32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22"/>
      <c r="B30" s="323"/>
      <c r="C30" s="324"/>
      <c r="D30" s="324"/>
      <c r="E30" s="324"/>
      <c r="F30" s="324"/>
      <c r="G30" s="324"/>
      <c r="H30" s="32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26"/>
      <c r="B31" s="327"/>
      <c r="C31" s="328"/>
      <c r="D31" s="328"/>
      <c r="E31" s="328"/>
      <c r="F31" s="328"/>
      <c r="G31" s="328"/>
      <c r="H31" s="3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2" t="s">
        <v>85</v>
      </c>
      <c r="B33" s="209" t="s">
        <v>86</v>
      </c>
      <c r="C33" s="23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30"/>
      <c r="B34" s="209" t="s">
        <v>87</v>
      </c>
      <c r="C34" s="233">
        <v>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2" t="s">
        <v>88</v>
      </c>
      <c r="B35" s="209" t="s">
        <v>86</v>
      </c>
      <c r="C35" s="23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16"/>
      <c r="B36" s="213" t="s">
        <v>87</v>
      </c>
      <c r="C36" s="36"/>
      <c r="D36" s="3"/>
      <c r="E36" s="3"/>
      <c r="F36" s="3"/>
      <c r="G36" s="202"/>
      <c r="H36" s="20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31" t="s">
        <v>89</v>
      </c>
      <c r="B37" s="332"/>
      <c r="C37" s="233">
        <f>SUM(C33:C36)</f>
        <v>1</v>
      </c>
      <c r="D37" s="3"/>
      <c r="E37" s="3"/>
      <c r="F37" s="3"/>
      <c r="G37" s="203" t="s">
        <v>22</v>
      </c>
      <c r="H37" s="20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16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33" width="9" style="1" customWidth="1"/>
    <col min="234" max="234" width="13.875" style="1" customWidth="1"/>
    <col min="235" max="235" width="9.875" style="1" customWidth="1"/>
    <col min="236" max="236" width="8.375" style="1" customWidth="1"/>
    <col min="237" max="237" width="8.25" style="1" customWidth="1"/>
    <col min="238" max="238" width="5.625" style="1" customWidth="1"/>
    <col min="239" max="240" width="8.375" style="1" customWidth="1"/>
    <col min="241" max="241" width="11.125" style="1" customWidth="1"/>
    <col min="242" max="242" width="11.625" style="1" customWidth="1"/>
    <col min="243" max="489" width="9" style="1" customWidth="1"/>
    <col min="490" max="490" width="13.875" style="1" customWidth="1"/>
    <col min="491" max="491" width="9.875" style="1" customWidth="1"/>
    <col min="492" max="492" width="8.375" style="1" customWidth="1"/>
    <col min="493" max="493" width="8.25" style="1" customWidth="1"/>
    <col min="494" max="494" width="5.625" style="1" customWidth="1"/>
    <col min="495" max="496" width="8.375" style="1" customWidth="1"/>
    <col min="497" max="497" width="11.125" style="1" customWidth="1"/>
    <col min="498" max="498" width="11.625" style="1" customWidth="1"/>
    <col min="499" max="745" width="9" style="1" customWidth="1"/>
    <col min="746" max="746" width="13.875" style="1" customWidth="1"/>
    <col min="747" max="747" width="9.875" style="1" customWidth="1"/>
    <col min="748" max="748" width="8.375" style="1" customWidth="1"/>
    <col min="749" max="749" width="8.25" style="1" customWidth="1"/>
    <col min="750" max="750" width="5.625" style="1" customWidth="1"/>
    <col min="751" max="752" width="8.375" style="1" customWidth="1"/>
    <col min="753" max="753" width="11.125" style="1" customWidth="1"/>
    <col min="754" max="754" width="11.625" style="1" customWidth="1"/>
    <col min="755" max="1001" width="9" style="1" customWidth="1"/>
    <col min="1002" max="1002" width="13.875" style="1" customWidth="1"/>
    <col min="1003" max="1003" width="9.875" style="1" customWidth="1"/>
    <col min="1004" max="1004" width="8.375" style="1" customWidth="1"/>
    <col min="1005" max="1005" width="8.25" style="1" customWidth="1"/>
    <col min="1006" max="1006" width="5.625" style="1" customWidth="1"/>
    <col min="1007" max="1008" width="8.375" style="1" customWidth="1"/>
    <col min="1009" max="1009" width="11.125" style="1" customWidth="1"/>
    <col min="1010" max="1010" width="11.625" style="1" customWidth="1"/>
    <col min="1011" max="1257" width="9" style="1" customWidth="1"/>
    <col min="1258" max="1258" width="13.875" style="1" customWidth="1"/>
    <col min="1259" max="1259" width="9.875" style="1" customWidth="1"/>
    <col min="1260" max="1260" width="8.375" style="1" customWidth="1"/>
    <col min="1261" max="1261" width="8.25" style="1" customWidth="1"/>
    <col min="1262" max="1262" width="5.625" style="1" customWidth="1"/>
    <col min="1263" max="1264" width="8.375" style="1" customWidth="1"/>
    <col min="1265" max="1265" width="11.125" style="1" customWidth="1"/>
    <col min="1266" max="1266" width="11.625" style="1" customWidth="1"/>
    <col min="1267" max="1513" width="9" style="1" customWidth="1"/>
    <col min="1514" max="1514" width="13.875" style="1" customWidth="1"/>
    <col min="1515" max="1515" width="9.875" style="1" customWidth="1"/>
    <col min="1516" max="1516" width="8.375" style="1" customWidth="1"/>
    <col min="1517" max="1517" width="8.25" style="1" customWidth="1"/>
    <col min="1518" max="1518" width="5.625" style="1" customWidth="1"/>
    <col min="1519" max="1520" width="8.375" style="1" customWidth="1"/>
    <col min="1521" max="1521" width="11.125" style="1" customWidth="1"/>
    <col min="1522" max="1522" width="11.625" style="1" customWidth="1"/>
    <col min="1523" max="1769" width="9" style="1" customWidth="1"/>
    <col min="1770" max="1770" width="13.875" style="1" customWidth="1"/>
    <col min="1771" max="1771" width="9.875" style="1" customWidth="1"/>
    <col min="1772" max="1772" width="8.375" style="1" customWidth="1"/>
    <col min="1773" max="1773" width="8.25" style="1" customWidth="1"/>
    <col min="1774" max="1774" width="5.625" style="1" customWidth="1"/>
    <col min="1775" max="1776" width="8.375" style="1" customWidth="1"/>
    <col min="1777" max="1777" width="11.125" style="1" customWidth="1"/>
    <col min="1778" max="1778" width="11.625" style="1" customWidth="1"/>
    <col min="1779" max="2025" width="9" style="1" customWidth="1"/>
    <col min="2026" max="2026" width="13.875" style="1" customWidth="1"/>
    <col min="2027" max="2027" width="9.875" style="1" customWidth="1"/>
    <col min="2028" max="2028" width="8.375" style="1" customWidth="1"/>
    <col min="2029" max="2029" width="8.25" style="1" customWidth="1"/>
    <col min="2030" max="2030" width="5.625" style="1" customWidth="1"/>
    <col min="2031" max="2032" width="8.375" style="1" customWidth="1"/>
    <col min="2033" max="2033" width="11.125" style="1" customWidth="1"/>
    <col min="2034" max="2034" width="11.625" style="1" customWidth="1"/>
    <col min="2035" max="2281" width="9" style="1" customWidth="1"/>
    <col min="2282" max="2282" width="13.875" style="1" customWidth="1"/>
    <col min="2283" max="2283" width="9.875" style="1" customWidth="1"/>
    <col min="2284" max="2284" width="8.375" style="1" customWidth="1"/>
    <col min="2285" max="2285" width="8.25" style="1" customWidth="1"/>
    <col min="2286" max="2286" width="5.625" style="1" customWidth="1"/>
    <col min="2287" max="2288" width="8.375" style="1" customWidth="1"/>
    <col min="2289" max="2289" width="11.125" style="1" customWidth="1"/>
    <col min="2290" max="2290" width="11.625" style="1" customWidth="1"/>
    <col min="2291" max="2537" width="9" style="1" customWidth="1"/>
    <col min="2538" max="2538" width="13.875" style="1" customWidth="1"/>
    <col min="2539" max="2539" width="9.875" style="1" customWidth="1"/>
    <col min="2540" max="2540" width="8.375" style="1" customWidth="1"/>
    <col min="2541" max="2541" width="8.25" style="1" customWidth="1"/>
    <col min="2542" max="2542" width="5.625" style="1" customWidth="1"/>
    <col min="2543" max="2544" width="8.375" style="1" customWidth="1"/>
    <col min="2545" max="2545" width="11.125" style="1" customWidth="1"/>
    <col min="2546" max="2546" width="11.625" style="1" customWidth="1"/>
    <col min="2547" max="2793" width="9" style="1" customWidth="1"/>
    <col min="2794" max="2794" width="13.875" style="1" customWidth="1"/>
    <col min="2795" max="2795" width="9.875" style="1" customWidth="1"/>
    <col min="2796" max="2796" width="8.375" style="1" customWidth="1"/>
    <col min="2797" max="2797" width="8.25" style="1" customWidth="1"/>
    <col min="2798" max="2798" width="5.625" style="1" customWidth="1"/>
    <col min="2799" max="2800" width="8.375" style="1" customWidth="1"/>
    <col min="2801" max="2801" width="11.125" style="1" customWidth="1"/>
    <col min="2802" max="2802" width="11.625" style="1" customWidth="1"/>
    <col min="2803" max="3049" width="9" style="1" customWidth="1"/>
    <col min="3050" max="3050" width="13.875" style="1" customWidth="1"/>
    <col min="3051" max="3051" width="9.875" style="1" customWidth="1"/>
    <col min="3052" max="3052" width="8.375" style="1" customWidth="1"/>
    <col min="3053" max="3053" width="8.25" style="1" customWidth="1"/>
    <col min="3054" max="3054" width="5.625" style="1" customWidth="1"/>
    <col min="3055" max="3056" width="8.375" style="1" customWidth="1"/>
    <col min="3057" max="3057" width="11.125" style="1" customWidth="1"/>
    <col min="3058" max="3058" width="11.625" style="1" customWidth="1"/>
    <col min="3059" max="3305" width="9" style="1" customWidth="1"/>
    <col min="3306" max="3306" width="13.875" style="1" customWidth="1"/>
    <col min="3307" max="3307" width="9.875" style="1" customWidth="1"/>
    <col min="3308" max="3308" width="8.375" style="1" customWidth="1"/>
    <col min="3309" max="3309" width="8.25" style="1" customWidth="1"/>
    <col min="3310" max="3310" width="5.625" style="1" customWidth="1"/>
    <col min="3311" max="3312" width="8.375" style="1" customWidth="1"/>
    <col min="3313" max="3313" width="11.125" style="1" customWidth="1"/>
    <col min="3314" max="3314" width="11.625" style="1" customWidth="1"/>
    <col min="3315" max="3561" width="9" style="1" customWidth="1"/>
    <col min="3562" max="3562" width="13.875" style="1" customWidth="1"/>
    <col min="3563" max="3563" width="9.875" style="1" customWidth="1"/>
    <col min="3564" max="3564" width="8.375" style="1" customWidth="1"/>
    <col min="3565" max="3565" width="8.25" style="1" customWidth="1"/>
    <col min="3566" max="3566" width="5.625" style="1" customWidth="1"/>
    <col min="3567" max="3568" width="8.375" style="1" customWidth="1"/>
    <col min="3569" max="3569" width="11.125" style="1" customWidth="1"/>
    <col min="3570" max="3570" width="11.625" style="1" customWidth="1"/>
    <col min="3571" max="3817" width="9" style="1" customWidth="1"/>
    <col min="3818" max="3818" width="13.875" style="1" customWidth="1"/>
    <col min="3819" max="3819" width="9.875" style="1" customWidth="1"/>
    <col min="3820" max="3820" width="8.375" style="1" customWidth="1"/>
    <col min="3821" max="3821" width="8.25" style="1" customWidth="1"/>
    <col min="3822" max="3822" width="5.625" style="1" customWidth="1"/>
    <col min="3823" max="3824" width="8.375" style="1" customWidth="1"/>
    <col min="3825" max="3825" width="11.125" style="1" customWidth="1"/>
    <col min="3826" max="3826" width="11.625" style="1" customWidth="1"/>
    <col min="3827" max="4073" width="9" style="1" customWidth="1"/>
    <col min="4074" max="4074" width="13.875" style="1" customWidth="1"/>
    <col min="4075" max="4075" width="9.875" style="1" customWidth="1"/>
    <col min="4076" max="4076" width="8.375" style="1" customWidth="1"/>
    <col min="4077" max="4077" width="8.25" style="1" customWidth="1"/>
    <col min="4078" max="4078" width="5.625" style="1" customWidth="1"/>
    <col min="4079" max="4080" width="8.375" style="1" customWidth="1"/>
    <col min="4081" max="4081" width="11.125" style="1" customWidth="1"/>
    <col min="4082" max="4082" width="11.625" style="1" customWidth="1"/>
    <col min="4083" max="4329" width="9" style="1" customWidth="1"/>
    <col min="4330" max="4330" width="13.875" style="1" customWidth="1"/>
    <col min="4331" max="4331" width="9.875" style="1" customWidth="1"/>
    <col min="4332" max="4332" width="8.375" style="1" customWidth="1"/>
    <col min="4333" max="4333" width="8.25" style="1" customWidth="1"/>
    <col min="4334" max="4334" width="5.625" style="1" customWidth="1"/>
    <col min="4335" max="4336" width="8.375" style="1" customWidth="1"/>
    <col min="4337" max="4337" width="11.125" style="1" customWidth="1"/>
    <col min="4338" max="4338" width="11.625" style="1" customWidth="1"/>
    <col min="4339" max="4585" width="9" style="1" customWidth="1"/>
    <col min="4586" max="4586" width="13.875" style="1" customWidth="1"/>
    <col min="4587" max="4587" width="9.875" style="1" customWidth="1"/>
    <col min="4588" max="4588" width="8.375" style="1" customWidth="1"/>
    <col min="4589" max="4589" width="8.25" style="1" customWidth="1"/>
    <col min="4590" max="4590" width="5.625" style="1" customWidth="1"/>
    <col min="4591" max="4592" width="8.375" style="1" customWidth="1"/>
    <col min="4593" max="4593" width="11.125" style="1" customWidth="1"/>
    <col min="4594" max="4594" width="11.625" style="1" customWidth="1"/>
    <col min="4595" max="4841" width="9" style="1" customWidth="1"/>
    <col min="4842" max="4842" width="13.875" style="1" customWidth="1"/>
    <col min="4843" max="4843" width="9.875" style="1" customWidth="1"/>
    <col min="4844" max="4844" width="8.375" style="1" customWidth="1"/>
    <col min="4845" max="4845" width="8.25" style="1" customWidth="1"/>
    <col min="4846" max="4846" width="5.625" style="1" customWidth="1"/>
    <col min="4847" max="4848" width="8.375" style="1" customWidth="1"/>
    <col min="4849" max="4849" width="11.125" style="1" customWidth="1"/>
    <col min="4850" max="4850" width="11.625" style="1" customWidth="1"/>
    <col min="4851" max="5097" width="9" style="1" customWidth="1"/>
    <col min="5098" max="5098" width="13.875" style="1" customWidth="1"/>
    <col min="5099" max="5099" width="9.875" style="1" customWidth="1"/>
    <col min="5100" max="5100" width="8.375" style="1" customWidth="1"/>
    <col min="5101" max="5101" width="8.25" style="1" customWidth="1"/>
    <col min="5102" max="5102" width="5.625" style="1" customWidth="1"/>
    <col min="5103" max="5104" width="8.375" style="1" customWidth="1"/>
    <col min="5105" max="5105" width="11.125" style="1" customWidth="1"/>
    <col min="5106" max="5106" width="11.625" style="1" customWidth="1"/>
    <col min="5107" max="5353" width="9" style="1" customWidth="1"/>
    <col min="5354" max="5354" width="13.875" style="1" customWidth="1"/>
    <col min="5355" max="5355" width="9.875" style="1" customWidth="1"/>
    <col min="5356" max="5356" width="8.375" style="1" customWidth="1"/>
    <col min="5357" max="5357" width="8.25" style="1" customWidth="1"/>
    <col min="5358" max="5358" width="5.625" style="1" customWidth="1"/>
    <col min="5359" max="5360" width="8.375" style="1" customWidth="1"/>
    <col min="5361" max="5361" width="11.125" style="1" customWidth="1"/>
    <col min="5362" max="5362" width="11.625" style="1" customWidth="1"/>
    <col min="5363" max="5609" width="9" style="1" customWidth="1"/>
    <col min="5610" max="5610" width="13.875" style="1" customWidth="1"/>
    <col min="5611" max="5611" width="9.875" style="1" customWidth="1"/>
    <col min="5612" max="5612" width="8.375" style="1" customWidth="1"/>
    <col min="5613" max="5613" width="8.25" style="1" customWidth="1"/>
    <col min="5614" max="5614" width="5.625" style="1" customWidth="1"/>
    <col min="5615" max="5616" width="8.375" style="1" customWidth="1"/>
    <col min="5617" max="5617" width="11.125" style="1" customWidth="1"/>
    <col min="5618" max="5618" width="11.625" style="1" customWidth="1"/>
    <col min="5619" max="5865" width="9" style="1" customWidth="1"/>
    <col min="5866" max="5866" width="13.875" style="1" customWidth="1"/>
    <col min="5867" max="5867" width="9.875" style="1" customWidth="1"/>
    <col min="5868" max="5868" width="8.375" style="1" customWidth="1"/>
    <col min="5869" max="5869" width="8.25" style="1" customWidth="1"/>
    <col min="5870" max="5870" width="5.625" style="1" customWidth="1"/>
    <col min="5871" max="5872" width="8.375" style="1" customWidth="1"/>
    <col min="5873" max="5873" width="11.125" style="1" customWidth="1"/>
    <col min="5874" max="5874" width="11.625" style="1" customWidth="1"/>
    <col min="5875" max="6121" width="9" style="1" customWidth="1"/>
    <col min="6122" max="6122" width="13.875" style="1" customWidth="1"/>
    <col min="6123" max="6123" width="9.875" style="1" customWidth="1"/>
    <col min="6124" max="6124" width="8.375" style="1" customWidth="1"/>
    <col min="6125" max="6125" width="8.25" style="1" customWidth="1"/>
    <col min="6126" max="6126" width="5.625" style="1" customWidth="1"/>
    <col min="6127" max="6128" width="8.375" style="1" customWidth="1"/>
    <col min="6129" max="6129" width="11.125" style="1" customWidth="1"/>
    <col min="6130" max="6130" width="11.625" style="1" customWidth="1"/>
    <col min="6131" max="6377" width="9" style="1" customWidth="1"/>
    <col min="6378" max="6378" width="13.875" style="1" customWidth="1"/>
    <col min="6379" max="6379" width="9.875" style="1" customWidth="1"/>
    <col min="6380" max="6380" width="8.375" style="1" customWidth="1"/>
    <col min="6381" max="6381" width="8.25" style="1" customWidth="1"/>
    <col min="6382" max="6382" width="5.625" style="1" customWidth="1"/>
    <col min="6383" max="6384" width="8.375" style="1" customWidth="1"/>
    <col min="6385" max="6385" width="11.125" style="1" customWidth="1"/>
    <col min="6386" max="6386" width="11.625" style="1" customWidth="1"/>
    <col min="6387" max="6633" width="9" style="1" customWidth="1"/>
    <col min="6634" max="6634" width="13.875" style="1" customWidth="1"/>
    <col min="6635" max="6635" width="9.875" style="1" customWidth="1"/>
    <col min="6636" max="6636" width="8.375" style="1" customWidth="1"/>
    <col min="6637" max="6637" width="8.25" style="1" customWidth="1"/>
    <col min="6638" max="6638" width="5.625" style="1" customWidth="1"/>
    <col min="6639" max="6640" width="8.375" style="1" customWidth="1"/>
    <col min="6641" max="6641" width="11.125" style="1" customWidth="1"/>
    <col min="6642" max="6642" width="11.625" style="1" customWidth="1"/>
    <col min="6643" max="6889" width="9" style="1" customWidth="1"/>
    <col min="6890" max="6890" width="13.875" style="1" customWidth="1"/>
    <col min="6891" max="6891" width="9.875" style="1" customWidth="1"/>
    <col min="6892" max="6892" width="8.375" style="1" customWidth="1"/>
    <col min="6893" max="6893" width="8.25" style="1" customWidth="1"/>
    <col min="6894" max="6894" width="5.625" style="1" customWidth="1"/>
    <col min="6895" max="6896" width="8.375" style="1" customWidth="1"/>
    <col min="6897" max="6897" width="11.125" style="1" customWidth="1"/>
    <col min="6898" max="6898" width="11.625" style="1" customWidth="1"/>
    <col min="6899" max="7145" width="9" style="1" customWidth="1"/>
    <col min="7146" max="7146" width="13.875" style="1" customWidth="1"/>
    <col min="7147" max="7147" width="9.875" style="1" customWidth="1"/>
    <col min="7148" max="7148" width="8.375" style="1" customWidth="1"/>
    <col min="7149" max="7149" width="8.25" style="1" customWidth="1"/>
    <col min="7150" max="7150" width="5.625" style="1" customWidth="1"/>
    <col min="7151" max="7152" width="8.375" style="1" customWidth="1"/>
    <col min="7153" max="7153" width="11.125" style="1" customWidth="1"/>
    <col min="7154" max="7154" width="11.625" style="1" customWidth="1"/>
    <col min="7155" max="7401" width="9" style="1" customWidth="1"/>
    <col min="7402" max="7402" width="13.875" style="1" customWidth="1"/>
    <col min="7403" max="7403" width="9.875" style="1" customWidth="1"/>
    <col min="7404" max="7404" width="8.375" style="1" customWidth="1"/>
    <col min="7405" max="7405" width="8.25" style="1" customWidth="1"/>
    <col min="7406" max="7406" width="5.625" style="1" customWidth="1"/>
    <col min="7407" max="7408" width="8.375" style="1" customWidth="1"/>
    <col min="7409" max="7409" width="11.125" style="1" customWidth="1"/>
    <col min="7410" max="7410" width="11.625" style="1" customWidth="1"/>
    <col min="7411" max="7657" width="9" style="1" customWidth="1"/>
    <col min="7658" max="7658" width="13.875" style="1" customWidth="1"/>
    <col min="7659" max="7659" width="9.875" style="1" customWidth="1"/>
    <col min="7660" max="7660" width="8.375" style="1" customWidth="1"/>
    <col min="7661" max="7661" width="8.25" style="1" customWidth="1"/>
    <col min="7662" max="7662" width="5.625" style="1" customWidth="1"/>
    <col min="7663" max="7664" width="8.375" style="1" customWidth="1"/>
    <col min="7665" max="7665" width="11.125" style="1" customWidth="1"/>
    <col min="7666" max="7666" width="11.625" style="1" customWidth="1"/>
    <col min="7667" max="7913" width="9" style="1" customWidth="1"/>
    <col min="7914" max="7914" width="13.875" style="1" customWidth="1"/>
    <col min="7915" max="7915" width="9.875" style="1" customWidth="1"/>
    <col min="7916" max="7916" width="8.375" style="1" customWidth="1"/>
    <col min="7917" max="7917" width="8.25" style="1" customWidth="1"/>
    <col min="7918" max="7918" width="5.625" style="1" customWidth="1"/>
    <col min="7919" max="7920" width="8.375" style="1" customWidth="1"/>
    <col min="7921" max="7921" width="11.125" style="1" customWidth="1"/>
    <col min="7922" max="7922" width="11.625" style="1" customWidth="1"/>
    <col min="7923" max="8169" width="9" style="1" customWidth="1"/>
    <col min="8170" max="8170" width="13.875" style="1" customWidth="1"/>
    <col min="8171" max="8171" width="9.875" style="1" customWidth="1"/>
    <col min="8172" max="8172" width="8.375" style="1" customWidth="1"/>
    <col min="8173" max="8173" width="8.25" style="1" customWidth="1"/>
    <col min="8174" max="8174" width="5.625" style="1" customWidth="1"/>
    <col min="8175" max="8176" width="8.375" style="1" customWidth="1"/>
    <col min="8177" max="8177" width="11.125" style="1" customWidth="1"/>
    <col min="8178" max="8178" width="11.625" style="1" customWidth="1"/>
    <col min="8179" max="8425" width="9" style="1" customWidth="1"/>
    <col min="8426" max="8426" width="13.875" style="1" customWidth="1"/>
    <col min="8427" max="8427" width="9.875" style="1" customWidth="1"/>
    <col min="8428" max="8428" width="8.375" style="1" customWidth="1"/>
    <col min="8429" max="8429" width="8.25" style="1" customWidth="1"/>
    <col min="8430" max="8430" width="5.625" style="1" customWidth="1"/>
    <col min="8431" max="8432" width="8.375" style="1" customWidth="1"/>
    <col min="8433" max="8433" width="11.125" style="1" customWidth="1"/>
    <col min="8434" max="8434" width="11.625" style="1" customWidth="1"/>
    <col min="8435" max="8681" width="9" style="1" customWidth="1"/>
    <col min="8682" max="8682" width="13.875" style="1" customWidth="1"/>
    <col min="8683" max="8683" width="9.875" style="1" customWidth="1"/>
    <col min="8684" max="8684" width="8.375" style="1" customWidth="1"/>
    <col min="8685" max="8685" width="8.25" style="1" customWidth="1"/>
    <col min="8686" max="8686" width="5.625" style="1" customWidth="1"/>
    <col min="8687" max="8688" width="8.375" style="1" customWidth="1"/>
    <col min="8689" max="8689" width="11.125" style="1" customWidth="1"/>
    <col min="8690" max="8690" width="11.625" style="1" customWidth="1"/>
    <col min="8691" max="8937" width="9" style="1" customWidth="1"/>
    <col min="8938" max="8938" width="13.875" style="1" customWidth="1"/>
    <col min="8939" max="8939" width="9.875" style="1" customWidth="1"/>
    <col min="8940" max="8940" width="8.375" style="1" customWidth="1"/>
    <col min="8941" max="8941" width="8.25" style="1" customWidth="1"/>
    <col min="8942" max="8942" width="5.625" style="1" customWidth="1"/>
    <col min="8943" max="8944" width="8.375" style="1" customWidth="1"/>
    <col min="8945" max="8945" width="11.125" style="1" customWidth="1"/>
    <col min="8946" max="8946" width="11.625" style="1" customWidth="1"/>
    <col min="8947" max="9193" width="9" style="1" customWidth="1"/>
    <col min="9194" max="9194" width="13.875" style="1" customWidth="1"/>
    <col min="9195" max="9195" width="9.875" style="1" customWidth="1"/>
    <col min="9196" max="9196" width="8.375" style="1" customWidth="1"/>
    <col min="9197" max="9197" width="8.25" style="1" customWidth="1"/>
    <col min="9198" max="9198" width="5.625" style="1" customWidth="1"/>
    <col min="9199" max="9200" width="8.375" style="1" customWidth="1"/>
    <col min="9201" max="9201" width="11.125" style="1" customWidth="1"/>
    <col min="9202" max="9202" width="11.625" style="1" customWidth="1"/>
    <col min="9203" max="9449" width="9" style="1" customWidth="1"/>
    <col min="9450" max="9450" width="13.875" style="1" customWidth="1"/>
    <col min="9451" max="9451" width="9.875" style="1" customWidth="1"/>
    <col min="9452" max="9452" width="8.375" style="1" customWidth="1"/>
    <col min="9453" max="9453" width="8.25" style="1" customWidth="1"/>
    <col min="9454" max="9454" width="5.625" style="1" customWidth="1"/>
    <col min="9455" max="9456" width="8.375" style="1" customWidth="1"/>
    <col min="9457" max="9457" width="11.125" style="1" customWidth="1"/>
    <col min="9458" max="9458" width="11.625" style="1" customWidth="1"/>
    <col min="9459" max="9705" width="9" style="1" customWidth="1"/>
    <col min="9706" max="9706" width="13.875" style="1" customWidth="1"/>
    <col min="9707" max="9707" width="9.875" style="1" customWidth="1"/>
    <col min="9708" max="9708" width="8.375" style="1" customWidth="1"/>
    <col min="9709" max="9709" width="8.25" style="1" customWidth="1"/>
    <col min="9710" max="9710" width="5.625" style="1" customWidth="1"/>
    <col min="9711" max="9712" width="8.375" style="1" customWidth="1"/>
    <col min="9713" max="9713" width="11.125" style="1" customWidth="1"/>
    <col min="9714" max="9714" width="11.625" style="1" customWidth="1"/>
    <col min="9715" max="9961" width="9" style="1" customWidth="1"/>
    <col min="9962" max="9962" width="13.875" style="1" customWidth="1"/>
    <col min="9963" max="9963" width="9.875" style="1" customWidth="1"/>
    <col min="9964" max="9964" width="8.375" style="1" customWidth="1"/>
    <col min="9965" max="9965" width="8.25" style="1" customWidth="1"/>
    <col min="9966" max="9966" width="5.625" style="1" customWidth="1"/>
    <col min="9967" max="9968" width="8.375" style="1" customWidth="1"/>
    <col min="9969" max="9969" width="11.125" style="1" customWidth="1"/>
    <col min="9970" max="9970" width="11.625" style="1" customWidth="1"/>
    <col min="9971" max="10217" width="9" style="1" customWidth="1"/>
    <col min="10218" max="10218" width="13.875" style="1" customWidth="1"/>
    <col min="10219" max="10219" width="9.875" style="1" customWidth="1"/>
    <col min="10220" max="10220" width="8.375" style="1" customWidth="1"/>
    <col min="10221" max="10221" width="8.25" style="1" customWidth="1"/>
    <col min="10222" max="10222" width="5.625" style="1" customWidth="1"/>
    <col min="10223" max="10224" width="8.375" style="1" customWidth="1"/>
    <col min="10225" max="10225" width="11.125" style="1" customWidth="1"/>
    <col min="10226" max="10226" width="11.625" style="1" customWidth="1"/>
    <col min="10227" max="10473" width="9" style="1" customWidth="1"/>
    <col min="10474" max="10474" width="13.875" style="1" customWidth="1"/>
    <col min="10475" max="10475" width="9.875" style="1" customWidth="1"/>
    <col min="10476" max="10476" width="8.375" style="1" customWidth="1"/>
    <col min="10477" max="10477" width="8.25" style="1" customWidth="1"/>
    <col min="10478" max="10478" width="5.625" style="1" customWidth="1"/>
    <col min="10479" max="10480" width="8.375" style="1" customWidth="1"/>
    <col min="10481" max="10481" width="11.125" style="1" customWidth="1"/>
    <col min="10482" max="10482" width="11.625" style="1" customWidth="1"/>
    <col min="10483" max="10729" width="9" style="1" customWidth="1"/>
    <col min="10730" max="10730" width="13.875" style="1" customWidth="1"/>
    <col min="10731" max="10731" width="9.875" style="1" customWidth="1"/>
    <col min="10732" max="10732" width="8.375" style="1" customWidth="1"/>
    <col min="10733" max="10733" width="8.25" style="1" customWidth="1"/>
    <col min="10734" max="10734" width="5.625" style="1" customWidth="1"/>
    <col min="10735" max="10736" width="8.375" style="1" customWidth="1"/>
    <col min="10737" max="10737" width="11.125" style="1" customWidth="1"/>
    <col min="10738" max="10738" width="11.625" style="1" customWidth="1"/>
    <col min="10739" max="10985" width="9" style="1" customWidth="1"/>
    <col min="10986" max="10986" width="13.875" style="1" customWidth="1"/>
    <col min="10987" max="10987" width="9.875" style="1" customWidth="1"/>
    <col min="10988" max="10988" width="8.375" style="1" customWidth="1"/>
    <col min="10989" max="10989" width="8.25" style="1" customWidth="1"/>
    <col min="10990" max="10990" width="5.625" style="1" customWidth="1"/>
    <col min="10991" max="10992" width="8.375" style="1" customWidth="1"/>
    <col min="10993" max="10993" width="11.125" style="1" customWidth="1"/>
    <col min="10994" max="10994" width="11.625" style="1" customWidth="1"/>
    <col min="10995" max="11241" width="9" style="1" customWidth="1"/>
    <col min="11242" max="11242" width="13.875" style="1" customWidth="1"/>
    <col min="11243" max="11243" width="9.875" style="1" customWidth="1"/>
    <col min="11244" max="11244" width="8.375" style="1" customWidth="1"/>
    <col min="11245" max="11245" width="8.25" style="1" customWidth="1"/>
    <col min="11246" max="11246" width="5.625" style="1" customWidth="1"/>
    <col min="11247" max="11248" width="8.375" style="1" customWidth="1"/>
    <col min="11249" max="11249" width="11.125" style="1" customWidth="1"/>
    <col min="11250" max="11250" width="11.625" style="1" customWidth="1"/>
    <col min="11251" max="11497" width="9" style="1" customWidth="1"/>
    <col min="11498" max="11498" width="13.875" style="1" customWidth="1"/>
    <col min="11499" max="11499" width="9.875" style="1" customWidth="1"/>
    <col min="11500" max="11500" width="8.375" style="1" customWidth="1"/>
    <col min="11501" max="11501" width="8.25" style="1" customWidth="1"/>
    <col min="11502" max="11502" width="5.625" style="1" customWidth="1"/>
    <col min="11503" max="11504" width="8.375" style="1" customWidth="1"/>
    <col min="11505" max="11505" width="11.125" style="1" customWidth="1"/>
    <col min="11506" max="11506" width="11.625" style="1" customWidth="1"/>
    <col min="11507" max="11753" width="9" style="1" customWidth="1"/>
    <col min="11754" max="11754" width="13.875" style="1" customWidth="1"/>
    <col min="11755" max="11755" width="9.875" style="1" customWidth="1"/>
    <col min="11756" max="11756" width="8.375" style="1" customWidth="1"/>
    <col min="11757" max="11757" width="8.25" style="1" customWidth="1"/>
    <col min="11758" max="11758" width="5.625" style="1" customWidth="1"/>
    <col min="11759" max="11760" width="8.375" style="1" customWidth="1"/>
    <col min="11761" max="11761" width="11.125" style="1" customWidth="1"/>
    <col min="11762" max="11762" width="11.625" style="1" customWidth="1"/>
    <col min="11763" max="12009" width="9" style="1" customWidth="1"/>
    <col min="12010" max="12010" width="13.875" style="1" customWidth="1"/>
    <col min="12011" max="12011" width="9.875" style="1" customWidth="1"/>
    <col min="12012" max="12012" width="8.375" style="1" customWidth="1"/>
    <col min="12013" max="12013" width="8.25" style="1" customWidth="1"/>
    <col min="12014" max="12014" width="5.625" style="1" customWidth="1"/>
    <col min="12015" max="12016" width="8.375" style="1" customWidth="1"/>
    <col min="12017" max="12017" width="11.125" style="1" customWidth="1"/>
    <col min="12018" max="12018" width="11.625" style="1" customWidth="1"/>
    <col min="12019" max="12265" width="9" style="1" customWidth="1"/>
    <col min="12266" max="12266" width="13.875" style="1" customWidth="1"/>
    <col min="12267" max="12267" width="9.875" style="1" customWidth="1"/>
    <col min="12268" max="12268" width="8.375" style="1" customWidth="1"/>
    <col min="12269" max="12269" width="8.25" style="1" customWidth="1"/>
    <col min="12270" max="12270" width="5.625" style="1" customWidth="1"/>
    <col min="12271" max="12272" width="8.375" style="1" customWidth="1"/>
    <col min="12273" max="12273" width="11.125" style="1" customWidth="1"/>
    <col min="12274" max="12274" width="11.625" style="1" customWidth="1"/>
    <col min="12275" max="12521" width="9" style="1" customWidth="1"/>
    <col min="12522" max="12522" width="13.875" style="1" customWidth="1"/>
    <col min="12523" max="12523" width="9.875" style="1" customWidth="1"/>
    <col min="12524" max="12524" width="8.375" style="1" customWidth="1"/>
    <col min="12525" max="12525" width="8.25" style="1" customWidth="1"/>
    <col min="12526" max="12526" width="5.625" style="1" customWidth="1"/>
    <col min="12527" max="12528" width="8.375" style="1" customWidth="1"/>
    <col min="12529" max="12529" width="11.125" style="1" customWidth="1"/>
    <col min="12530" max="12530" width="11.625" style="1" customWidth="1"/>
    <col min="12531" max="12777" width="9" style="1" customWidth="1"/>
    <col min="12778" max="12778" width="13.875" style="1" customWidth="1"/>
    <col min="12779" max="12779" width="9.875" style="1" customWidth="1"/>
    <col min="12780" max="12780" width="8.375" style="1" customWidth="1"/>
    <col min="12781" max="12781" width="8.25" style="1" customWidth="1"/>
    <col min="12782" max="12782" width="5.625" style="1" customWidth="1"/>
    <col min="12783" max="12784" width="8.375" style="1" customWidth="1"/>
    <col min="12785" max="12785" width="11.125" style="1" customWidth="1"/>
    <col min="12786" max="12786" width="11.625" style="1" customWidth="1"/>
    <col min="12787" max="13033" width="9" style="1" customWidth="1"/>
    <col min="13034" max="13034" width="13.875" style="1" customWidth="1"/>
    <col min="13035" max="13035" width="9.875" style="1" customWidth="1"/>
    <col min="13036" max="13036" width="8.375" style="1" customWidth="1"/>
    <col min="13037" max="13037" width="8.25" style="1" customWidth="1"/>
    <col min="13038" max="13038" width="5.625" style="1" customWidth="1"/>
    <col min="13039" max="13040" width="8.375" style="1" customWidth="1"/>
    <col min="13041" max="13041" width="11.125" style="1" customWidth="1"/>
    <col min="13042" max="13042" width="11.625" style="1" customWidth="1"/>
    <col min="13043" max="13289" width="9" style="1" customWidth="1"/>
    <col min="13290" max="13290" width="13.875" style="1" customWidth="1"/>
    <col min="13291" max="13291" width="9.875" style="1" customWidth="1"/>
    <col min="13292" max="13292" width="8.375" style="1" customWidth="1"/>
    <col min="13293" max="13293" width="8.25" style="1" customWidth="1"/>
    <col min="13294" max="13294" width="5.625" style="1" customWidth="1"/>
    <col min="13295" max="13296" width="8.375" style="1" customWidth="1"/>
    <col min="13297" max="13297" width="11.125" style="1" customWidth="1"/>
    <col min="13298" max="13298" width="11.625" style="1" customWidth="1"/>
    <col min="13299" max="13545" width="9" style="1" customWidth="1"/>
    <col min="13546" max="13546" width="13.875" style="1" customWidth="1"/>
    <col min="13547" max="13547" width="9.875" style="1" customWidth="1"/>
    <col min="13548" max="13548" width="8.375" style="1" customWidth="1"/>
    <col min="13549" max="13549" width="8.25" style="1" customWidth="1"/>
    <col min="13550" max="13550" width="5.625" style="1" customWidth="1"/>
    <col min="13551" max="13552" width="8.375" style="1" customWidth="1"/>
    <col min="13553" max="13553" width="11.125" style="1" customWidth="1"/>
    <col min="13554" max="13554" width="11.625" style="1" customWidth="1"/>
    <col min="13555" max="13801" width="9" style="1" customWidth="1"/>
    <col min="13802" max="13802" width="13.875" style="1" customWidth="1"/>
    <col min="13803" max="13803" width="9.875" style="1" customWidth="1"/>
    <col min="13804" max="13804" width="8.375" style="1" customWidth="1"/>
    <col min="13805" max="13805" width="8.25" style="1" customWidth="1"/>
    <col min="13806" max="13806" width="5.625" style="1" customWidth="1"/>
    <col min="13807" max="13808" width="8.375" style="1" customWidth="1"/>
    <col min="13809" max="13809" width="11.125" style="1" customWidth="1"/>
    <col min="13810" max="13810" width="11.625" style="1" customWidth="1"/>
    <col min="13811" max="14057" width="9" style="1" customWidth="1"/>
    <col min="14058" max="14058" width="13.875" style="1" customWidth="1"/>
    <col min="14059" max="14059" width="9.875" style="1" customWidth="1"/>
    <col min="14060" max="14060" width="8.375" style="1" customWidth="1"/>
    <col min="14061" max="14061" width="8.25" style="1" customWidth="1"/>
    <col min="14062" max="14062" width="5.625" style="1" customWidth="1"/>
    <col min="14063" max="14064" width="8.375" style="1" customWidth="1"/>
    <col min="14065" max="14065" width="11.125" style="1" customWidth="1"/>
    <col min="14066" max="14066" width="11.625" style="1" customWidth="1"/>
    <col min="14067" max="14313" width="9" style="1" customWidth="1"/>
    <col min="14314" max="14314" width="13.875" style="1" customWidth="1"/>
    <col min="14315" max="14315" width="9.875" style="1" customWidth="1"/>
    <col min="14316" max="14316" width="8.375" style="1" customWidth="1"/>
    <col min="14317" max="14317" width="8.25" style="1" customWidth="1"/>
    <col min="14318" max="14318" width="5.625" style="1" customWidth="1"/>
    <col min="14319" max="14320" width="8.375" style="1" customWidth="1"/>
    <col min="14321" max="14321" width="11.125" style="1" customWidth="1"/>
    <col min="14322" max="14322" width="11.625" style="1" customWidth="1"/>
    <col min="14323" max="14569" width="9" style="1" customWidth="1"/>
    <col min="14570" max="14570" width="13.875" style="1" customWidth="1"/>
    <col min="14571" max="14571" width="9.875" style="1" customWidth="1"/>
    <col min="14572" max="14572" width="8.375" style="1" customWidth="1"/>
    <col min="14573" max="14573" width="8.25" style="1" customWidth="1"/>
    <col min="14574" max="14574" width="5.625" style="1" customWidth="1"/>
    <col min="14575" max="14576" width="8.375" style="1" customWidth="1"/>
    <col min="14577" max="14577" width="11.125" style="1" customWidth="1"/>
    <col min="14578" max="14578" width="11.625" style="1" customWidth="1"/>
    <col min="14579" max="14825" width="9" style="1" customWidth="1"/>
    <col min="14826" max="14826" width="13.875" style="1" customWidth="1"/>
    <col min="14827" max="14827" width="9.875" style="1" customWidth="1"/>
    <col min="14828" max="14828" width="8.375" style="1" customWidth="1"/>
    <col min="14829" max="14829" width="8.25" style="1" customWidth="1"/>
    <col min="14830" max="14830" width="5.625" style="1" customWidth="1"/>
    <col min="14831" max="14832" width="8.375" style="1" customWidth="1"/>
    <col min="14833" max="14833" width="11.125" style="1" customWidth="1"/>
    <col min="14834" max="14834" width="11.625" style="1" customWidth="1"/>
    <col min="14835" max="15081" width="9" style="1" customWidth="1"/>
    <col min="15082" max="15082" width="13.875" style="1" customWidth="1"/>
    <col min="15083" max="15083" width="9.875" style="1" customWidth="1"/>
    <col min="15084" max="15084" width="8.375" style="1" customWidth="1"/>
    <col min="15085" max="15085" width="8.25" style="1" customWidth="1"/>
    <col min="15086" max="15086" width="5.625" style="1" customWidth="1"/>
    <col min="15087" max="15088" width="8.375" style="1" customWidth="1"/>
    <col min="15089" max="15089" width="11.125" style="1" customWidth="1"/>
    <col min="15090" max="15090" width="11.625" style="1" customWidth="1"/>
    <col min="15091" max="15337" width="9" style="1" customWidth="1"/>
    <col min="15338" max="15338" width="13.875" style="1" customWidth="1"/>
    <col min="15339" max="15339" width="9.875" style="1" customWidth="1"/>
    <col min="15340" max="15340" width="8.375" style="1" customWidth="1"/>
    <col min="15341" max="15341" width="8.25" style="1" customWidth="1"/>
    <col min="15342" max="15342" width="5.625" style="1" customWidth="1"/>
    <col min="15343" max="15344" width="8.375" style="1" customWidth="1"/>
    <col min="15345" max="15345" width="11.125" style="1" customWidth="1"/>
    <col min="15346" max="15346" width="11.625" style="1" customWidth="1"/>
    <col min="15347" max="15593" width="9" style="1" customWidth="1"/>
    <col min="15594" max="15594" width="13.875" style="1" customWidth="1"/>
    <col min="15595" max="15595" width="9.875" style="1" customWidth="1"/>
    <col min="15596" max="15596" width="8.375" style="1" customWidth="1"/>
    <col min="15597" max="15597" width="8.25" style="1" customWidth="1"/>
    <col min="15598" max="15598" width="5.625" style="1" customWidth="1"/>
    <col min="15599" max="15600" width="8.375" style="1" customWidth="1"/>
    <col min="15601" max="15601" width="11.125" style="1" customWidth="1"/>
    <col min="15602" max="15602" width="11.625" style="1" customWidth="1"/>
    <col min="15603" max="15849" width="9" style="1" customWidth="1"/>
    <col min="15850" max="15850" width="13.875" style="1" customWidth="1"/>
    <col min="15851" max="15851" width="9.875" style="1" customWidth="1"/>
    <col min="15852" max="15852" width="8.375" style="1" customWidth="1"/>
    <col min="15853" max="15853" width="8.25" style="1" customWidth="1"/>
    <col min="15854" max="15854" width="5.625" style="1" customWidth="1"/>
    <col min="15855" max="15856" width="8.375" style="1" customWidth="1"/>
    <col min="15857" max="15857" width="11.125" style="1" customWidth="1"/>
    <col min="15858" max="15858" width="11.625" style="1" customWidth="1"/>
    <col min="15859" max="16105" width="9" style="1" customWidth="1"/>
    <col min="16106" max="16106" width="13.875" style="1" customWidth="1"/>
    <col min="16107" max="16107" width="9.875" style="1" customWidth="1"/>
    <col min="16108" max="16108" width="8.375" style="1" customWidth="1"/>
    <col min="16109" max="16109" width="8.25" style="1" customWidth="1"/>
    <col min="16110" max="16110" width="5.625" style="1" customWidth="1"/>
    <col min="16111" max="16112" width="8.375" style="1" customWidth="1"/>
    <col min="16113" max="16113" width="11.125" style="1" customWidth="1"/>
    <col min="16114" max="16114" width="11.625" style="1" customWidth="1"/>
    <col min="16115" max="16384" width="9" style="1" customWidth="1"/>
  </cols>
  <sheetData>
    <row r="1" ht="27.95" customHeight="1" spans="1:25" s="3" customFormat="1" x14ac:dyDescent="0.25">
      <c r="A1" s="333" t="s">
        <v>24</v>
      </c>
      <c r="B1" s="333"/>
      <c r="C1" s="333"/>
      <c r="D1" s="333"/>
      <c r="E1" s="333"/>
      <c r="F1" s="333"/>
      <c r="G1" s="333"/>
      <c r="H1" s="333"/>
      <c r="I1" s="33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6.9" customHeight="1" spans="1:25" s="3" customFormat="1" x14ac:dyDescent="0.25">
      <c r="A2" s="274" t="s">
        <v>25</v>
      </c>
      <c r="B2" s="274"/>
      <c r="C2" s="274"/>
      <c r="D2" s="274"/>
      <c r="E2" s="274"/>
      <c r="F2" s="274"/>
      <c r="G2" s="274"/>
      <c r="H2" s="274"/>
      <c r="I2" s="27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5.15" customHeight="1" spans="1:25" s="3" customFormat="1" x14ac:dyDescent="0.25">
      <c r="A4" s="205" t="s">
        <v>90</v>
      </c>
      <c r="B4" s="205"/>
      <c r="C4" s="205"/>
      <c r="D4" s="205"/>
      <c r="E4" s="205"/>
      <c r="F4" s="205"/>
      <c r="G4" s="205"/>
      <c r="H4" s="205"/>
      <c r="I4" s="20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8" t="s">
        <v>91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 spans="1:25" s="3" customFormat="1" x14ac:dyDescent="0.25">
      <c r="A7" s="3" t="s">
        <v>93</v>
      </c>
      <c r="B7" s="3"/>
      <c r="C7" s="3"/>
      <c r="D7" s="3" t="s">
        <v>4</v>
      </c>
      <c r="E7" s="206" t="s">
        <v>61</v>
      </c>
      <c r="F7" s="206"/>
      <c r="G7" s="13" t="s">
        <v>5</v>
      </c>
      <c r="H7" s="207">
        <v>46229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 spans="1:25" s="3" customFormat="1" x14ac:dyDescent="0.25">
      <c r="A8" s="3" t="s">
        <v>94</v>
      </c>
      <c r="B8" s="3"/>
      <c r="C8" s="3"/>
      <c r="D8" s="334" t="s">
        <v>7</v>
      </c>
      <c r="E8" s="8">
        <v>16</v>
      </c>
      <c r="F8" s="3"/>
      <c r="G8" s="13" t="s">
        <v>8</v>
      </c>
      <c r="H8" s="8" t="s">
        <v>95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9.9" customHeight="1" spans="1:25" s="105" customFormat="1" x14ac:dyDescent="0.25">
      <c r="A10" s="335" t="s">
        <v>96</v>
      </c>
      <c r="B10" s="336" t="s">
        <v>83</v>
      </c>
      <c r="C10" s="335" t="s">
        <v>79</v>
      </c>
      <c r="D10" s="226" t="s">
        <v>97</v>
      </c>
      <c r="E10" s="177"/>
      <c r="F10" s="233" t="s">
        <v>98</v>
      </c>
      <c r="G10" s="226"/>
      <c r="H10" s="233" t="s">
        <v>99</v>
      </c>
      <c r="I10" s="335" t="s">
        <v>52</v>
      </c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ht="19.9" customHeight="1" spans="1:25" s="105" customFormat="1" x14ac:dyDescent="0.25">
      <c r="A11" s="33"/>
      <c r="B11" s="112"/>
      <c r="C11" s="33"/>
      <c r="D11" s="337" t="s">
        <v>100</v>
      </c>
      <c r="E11" s="338"/>
      <c r="F11" s="339" t="s">
        <v>101</v>
      </c>
      <c r="G11" s="337" t="s">
        <v>102</v>
      </c>
      <c r="H11" s="340" t="s">
        <v>103</v>
      </c>
      <c r="I11" s="33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ht="16.9" customHeight="1" spans="1:25" s="41" customFormat="1" x14ac:dyDescent="0.25">
      <c r="A12" s="54"/>
      <c r="B12" s="341"/>
      <c r="C12" s="342"/>
      <c r="D12" s="54"/>
      <c r="E12" s="54"/>
      <c r="F12" s="343"/>
      <c r="G12" s="343"/>
      <c r="H12" s="344"/>
      <c r="I12" s="315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6.9" customHeight="1" spans="1:25" s="41" customFormat="1" x14ac:dyDescent="0.25">
      <c r="A13" s="233"/>
      <c r="B13" s="345"/>
      <c r="C13" s="346"/>
      <c r="D13" s="233"/>
      <c r="E13" s="233"/>
      <c r="F13" s="347"/>
      <c r="G13" s="347"/>
      <c r="H13" s="348"/>
      <c r="I13" s="233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6.9" customHeight="1" spans="1:25" s="41" customFormat="1" x14ac:dyDescent="0.25">
      <c r="A14" s="233"/>
      <c r="B14" s="345"/>
      <c r="C14" s="346"/>
      <c r="D14" s="233"/>
      <c r="E14" s="233"/>
      <c r="F14" s="347"/>
      <c r="G14" s="347"/>
      <c r="H14" s="348"/>
      <c r="I14" s="233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6.9" customHeight="1" spans="1:25" s="41" customFormat="1" x14ac:dyDescent="0.25">
      <c r="A15" s="233"/>
      <c r="B15" s="345"/>
      <c r="C15" s="346"/>
      <c r="D15" s="233"/>
      <c r="E15" s="233"/>
      <c r="F15" s="347"/>
      <c r="G15" s="347"/>
      <c r="H15" s="348"/>
      <c r="I15" s="233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6.9" customHeight="1" spans="1:25" s="41" customFormat="1" x14ac:dyDescent="0.25">
      <c r="A16" s="299"/>
      <c r="B16" s="349"/>
      <c r="C16" s="350"/>
      <c r="D16" s="299"/>
      <c r="E16" s="299"/>
      <c r="F16" s="351"/>
      <c r="G16" s="351"/>
      <c r="H16" s="352"/>
      <c r="I16" s="299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6.9" customHeight="1" spans="1:25" s="41" customFormat="1" x14ac:dyDescent="0.25">
      <c r="A17" s="54"/>
      <c r="B17" s="341"/>
      <c r="C17" s="342"/>
      <c r="D17" s="54"/>
      <c r="E17" s="54"/>
      <c r="F17" s="353"/>
      <c r="G17" s="353"/>
      <c r="H17" s="344"/>
      <c r="I17" s="54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6.9" customHeight="1" spans="1:25" s="41" customFormat="1" x14ac:dyDescent="0.25">
      <c r="A18" s="233"/>
      <c r="B18" s="345"/>
      <c r="C18" s="346"/>
      <c r="D18" s="233"/>
      <c r="E18" s="233"/>
      <c r="F18" s="354"/>
      <c r="G18" s="354"/>
      <c r="H18" s="348"/>
      <c r="I18" s="233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6.9" customHeight="1" spans="1:25" s="41" customFormat="1" x14ac:dyDescent="0.25">
      <c r="A19" s="233"/>
      <c r="B19" s="345"/>
      <c r="C19" s="346"/>
      <c r="D19" s="233"/>
      <c r="E19" s="233"/>
      <c r="F19" s="347"/>
      <c r="G19" s="347"/>
      <c r="H19" s="348"/>
      <c r="I19" s="233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6.9" customHeight="1" spans="1:25" s="41" customFormat="1" x14ac:dyDescent="0.25">
      <c r="A20" s="233"/>
      <c r="B20" s="345"/>
      <c r="C20" s="346"/>
      <c r="D20" s="233"/>
      <c r="E20" s="233"/>
      <c r="F20" s="354"/>
      <c r="G20" s="347"/>
      <c r="H20" s="348"/>
      <c r="I20" s="233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6.9" customHeight="1" spans="1:25" s="41" customFormat="1" x14ac:dyDescent="0.25">
      <c r="A21" s="299"/>
      <c r="B21" s="349"/>
      <c r="C21" s="350"/>
      <c r="D21" s="299"/>
      <c r="E21" s="299"/>
      <c r="F21" s="351"/>
      <c r="G21" s="351"/>
      <c r="H21" s="352"/>
      <c r="I21" s="299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6.9" customHeight="1" spans="1:25" s="41" customFormat="1" x14ac:dyDescent="0.25">
      <c r="A22" s="54"/>
      <c r="B22" s="341"/>
      <c r="C22" s="342"/>
      <c r="D22" s="251"/>
      <c r="E22" s="251"/>
      <c r="F22" s="355"/>
      <c r="G22" s="355"/>
      <c r="H22" s="356"/>
      <c r="I22" s="54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6.9" customHeight="1" spans="1:25" s="41" customFormat="1" x14ac:dyDescent="0.25">
      <c r="A23" s="233"/>
      <c r="B23" s="345"/>
      <c r="C23" s="357"/>
      <c r="D23" s="335"/>
      <c r="E23" s="335"/>
      <c r="F23" s="347"/>
      <c r="G23" s="347"/>
      <c r="H23" s="358"/>
      <c r="I23" s="23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6.9" customHeight="1" spans="1:25" s="41" customFormat="1" x14ac:dyDescent="0.25">
      <c r="A24" s="233"/>
      <c r="B24" s="345"/>
      <c r="C24" s="346"/>
      <c r="D24" s="335"/>
      <c r="E24" s="335"/>
      <c r="F24" s="347"/>
      <c r="G24" s="347"/>
      <c r="H24" s="358"/>
      <c r="I24" s="23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6.9" customHeight="1" spans="1:25" s="41" customFormat="1" x14ac:dyDescent="0.25">
      <c r="A25" s="233"/>
      <c r="B25" s="345"/>
      <c r="C25" s="357"/>
      <c r="D25" s="335"/>
      <c r="E25" s="335"/>
      <c r="F25" s="347"/>
      <c r="G25" s="347"/>
      <c r="H25" s="358"/>
      <c r="I25" s="23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6.9" customHeight="1" spans="1:25" s="41" customFormat="1" x14ac:dyDescent="0.25">
      <c r="A26" s="299"/>
      <c r="B26" s="349"/>
      <c r="C26" s="350"/>
      <c r="D26" s="299"/>
      <c r="E26" s="299"/>
      <c r="F26" s="351"/>
      <c r="G26" s="351"/>
      <c r="H26" s="352"/>
      <c r="I26" s="299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6.9" customHeight="1" spans="1:25" s="41" customFormat="1" x14ac:dyDescent="0.25">
      <c r="A27" s="54"/>
      <c r="B27" s="341"/>
      <c r="C27" s="342"/>
      <c r="D27" s="54"/>
      <c r="E27" s="54"/>
      <c r="F27" s="353"/>
      <c r="G27" s="353"/>
      <c r="H27" s="344"/>
      <c r="I27" s="54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6.9" customHeight="1" spans="1:25" s="41" customFormat="1" x14ac:dyDescent="0.25">
      <c r="A28" s="233"/>
      <c r="B28" s="345"/>
      <c r="C28" s="346"/>
      <c r="D28" s="233"/>
      <c r="E28" s="233"/>
      <c r="F28" s="354"/>
      <c r="G28" s="354"/>
      <c r="H28" s="348"/>
      <c r="I28" s="23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6.9" customHeight="1" spans="1:25" s="41" customFormat="1" x14ac:dyDescent="0.25">
      <c r="A29" s="233"/>
      <c r="B29" s="345"/>
      <c r="C29" s="346"/>
      <c r="D29" s="233"/>
      <c r="E29" s="233"/>
      <c r="F29" s="347"/>
      <c r="G29" s="347"/>
      <c r="H29" s="348"/>
      <c r="I29" s="233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6.9" customHeight="1" spans="1:25" s="41" customFormat="1" x14ac:dyDescent="0.25">
      <c r="A30" s="233"/>
      <c r="B30" s="345"/>
      <c r="C30" s="346"/>
      <c r="D30" s="233"/>
      <c r="E30" s="233"/>
      <c r="F30" s="347"/>
      <c r="G30" s="347"/>
      <c r="H30" s="348"/>
      <c r="I30" s="23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6.9" customHeight="1" spans="1:25" s="41" customFormat="1" x14ac:dyDescent="0.25">
      <c r="A31" s="299"/>
      <c r="B31" s="349"/>
      <c r="C31" s="350"/>
      <c r="D31" s="299"/>
      <c r="E31" s="299"/>
      <c r="F31" s="351"/>
      <c r="G31" s="351"/>
      <c r="H31" s="352"/>
      <c r="I31" s="299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.9" customHeight="1" spans="1:25" s="41" customFormat="1" x14ac:dyDescent="0.25">
      <c r="A32" s="54"/>
      <c r="B32" s="341"/>
      <c r="C32" s="342"/>
      <c r="D32" s="54"/>
      <c r="E32" s="54"/>
      <c r="F32" s="353"/>
      <c r="G32" s="353"/>
      <c r="H32" s="344"/>
      <c r="I32" s="54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6.9" customHeight="1" spans="1:25" s="41" customFormat="1" x14ac:dyDescent="0.25">
      <c r="A33" s="233"/>
      <c r="B33" s="345"/>
      <c r="C33" s="346"/>
      <c r="D33" s="233"/>
      <c r="E33" s="233"/>
      <c r="F33" s="354"/>
      <c r="G33" s="354"/>
      <c r="H33" s="348"/>
      <c r="I33" s="23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6.9" customHeight="1" spans="1:25" s="41" customFormat="1" x14ac:dyDescent="0.25">
      <c r="A34" s="233"/>
      <c r="B34" s="345"/>
      <c r="C34" s="346"/>
      <c r="D34" s="233"/>
      <c r="E34" s="233"/>
      <c r="F34" s="354"/>
      <c r="G34" s="354"/>
      <c r="H34" s="348"/>
      <c r="I34" s="23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6.9" customHeight="1" spans="1:25" s="41" customFormat="1" x14ac:dyDescent="0.25">
      <c r="A35" s="233"/>
      <c r="B35" s="345"/>
      <c r="C35" s="346"/>
      <c r="D35" s="233"/>
      <c r="E35" s="233"/>
      <c r="F35" s="347"/>
      <c r="G35" s="347"/>
      <c r="H35" s="348"/>
      <c r="I35" s="23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6.9" customHeight="1" spans="1:25" s="41" customFormat="1" x14ac:dyDescent="0.25">
      <c r="A36" s="233"/>
      <c r="B36" s="345"/>
      <c r="C36" s="346"/>
      <c r="D36" s="233"/>
      <c r="E36" s="233"/>
      <c r="F36" s="347"/>
      <c r="G36" s="347"/>
      <c r="H36" s="348"/>
      <c r="I36" s="23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6.95" customHeight="1" spans="1:25" s="3" customForma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s="41" customForma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4.25" customHeight="1" spans="1:25" s="41" customForma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4.25" customHeight="1" spans="1:25" s="41" customForma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4.25" customHeight="1" spans="1:25" s="41" customForma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4.25" customHeight="1" spans="1:25" s="41" customForma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4.25" customHeight="1" spans="1:25" s="41" customForma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4.25" customHeight="1" spans="1:25" s="41" customForma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4.25" customHeight="1" spans="1:25" s="41" customForma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15.9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95" customHeight="1" spans="1:25" s="3" customForma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8" customHeight="1" spans="1:25" s="41" customFormat="1" x14ac:dyDescent="0.25">
      <c r="A48" s="151" t="s">
        <v>22</v>
      </c>
      <c r="B48" s="151"/>
      <c r="C48" s="41"/>
      <c r="D48" s="151" t="s">
        <v>104</v>
      </c>
      <c r="E48" s="151"/>
      <c r="F48" s="151"/>
      <c r="G48" s="41"/>
      <c r="H48" s="151" t="s">
        <v>23</v>
      </c>
      <c r="I48" s="15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27.95" customHeight="1" spans="1:25" s="3" customFormat="1" x14ac:dyDescent="0.25">
      <c r="A49" s="333" t="s">
        <v>24</v>
      </c>
      <c r="B49" s="333"/>
      <c r="C49" s="333"/>
      <c r="D49" s="333"/>
      <c r="E49" s="333"/>
      <c r="F49" s="333"/>
      <c r="G49" s="333"/>
      <c r="H49" s="333"/>
      <c r="I49" s="3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6.9" customHeight="1" spans="1:25" s="3" customFormat="1" x14ac:dyDescent="0.25">
      <c r="A50" s="274" t="s">
        <v>25</v>
      </c>
      <c r="B50" s="274"/>
      <c r="C50" s="274"/>
      <c r="D50" s="274"/>
      <c r="E50" s="274"/>
      <c r="F50" s="274"/>
      <c r="G50" s="274"/>
      <c r="H50" s="274"/>
      <c r="I50" s="27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1.25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5.15" customHeight="1" spans="1:25" s="3" customFormat="1" x14ac:dyDescent="0.25">
      <c r="A52" s="205" t="s">
        <v>90</v>
      </c>
      <c r="B52" s="205"/>
      <c r="C52" s="205"/>
      <c r="D52" s="205"/>
      <c r="E52" s="205"/>
      <c r="F52" s="205"/>
      <c r="G52" s="205"/>
      <c r="H52" s="205"/>
      <c r="I52" s="20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s="3" customFormat="1" x14ac:dyDescent="0.25">
      <c r="A53" s="8" t="s">
        <v>91</v>
      </c>
      <c r="B53" s="8"/>
      <c r="C53" s="8"/>
      <c r="D53" s="8"/>
      <c r="E53" s="8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 spans="1:25" s="3" customFormat="1" x14ac:dyDescent="0.25">
      <c r="A54" s="8"/>
      <c r="B54" s="8"/>
      <c r="C54" s="8"/>
      <c r="D54" s="8"/>
      <c r="E54" s="8"/>
      <c r="F54" s="8"/>
      <c r="G54" s="8"/>
      <c r="H54" s="8"/>
      <c r="I54" s="13" t="s">
        <v>105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 spans="1:25" s="3" customFormat="1" x14ac:dyDescent="0.25">
      <c r="A55" s="3" t="s">
        <v>106</v>
      </c>
      <c r="B55" s="3"/>
      <c r="C55" s="3"/>
      <c r="D55" s="3" t="s">
        <v>4</v>
      </c>
      <c r="E55" s="206" t="s">
        <v>61</v>
      </c>
      <c r="F55" s="206"/>
      <c r="G55" s="13" t="s">
        <v>5</v>
      </c>
      <c r="H55" s="207">
        <v>46229</v>
      </c>
      <c r="I55" s="8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 spans="1:25" s="3" customFormat="1" x14ac:dyDescent="0.25">
      <c r="A56" s="3" t="s">
        <v>107</v>
      </c>
      <c r="B56" s="3"/>
      <c r="C56" s="3"/>
      <c r="D56" s="334" t="s">
        <v>7</v>
      </c>
      <c r="E56" s="8">
        <v>16</v>
      </c>
      <c r="F56" s="3"/>
      <c r="G56" s="13" t="s">
        <v>8</v>
      </c>
      <c r="H56" s="8" t="s">
        <v>95</v>
      </c>
      <c r="I56" s="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9" customHeight="1" spans="1:25" s="3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9.9" customHeight="1" spans="1:25" s="105" customFormat="1" x14ac:dyDescent="0.25">
      <c r="A58" s="335" t="s">
        <v>96</v>
      </c>
      <c r="B58" s="335" t="s">
        <v>83</v>
      </c>
      <c r="C58" s="335" t="s">
        <v>79</v>
      </c>
      <c r="D58" s="226" t="s">
        <v>97</v>
      </c>
      <c r="E58" s="177"/>
      <c r="F58" s="226" t="s">
        <v>98</v>
      </c>
      <c r="G58" s="177"/>
      <c r="H58" s="233" t="s">
        <v>99</v>
      </c>
      <c r="I58" s="233" t="s">
        <v>52</v>
      </c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 ht="19.9" customHeight="1" spans="1:25" s="105" customFormat="1" x14ac:dyDescent="0.25">
      <c r="A59" s="33"/>
      <c r="B59" s="33"/>
      <c r="C59" s="33"/>
      <c r="D59" s="337" t="s">
        <v>100</v>
      </c>
      <c r="E59" s="338"/>
      <c r="F59" s="339" t="s">
        <v>101</v>
      </c>
      <c r="G59" s="337" t="s">
        <v>102</v>
      </c>
      <c r="H59" s="340" t="s">
        <v>103</v>
      </c>
      <c r="I59" s="36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 ht="16.9" customHeight="1" spans="1:25" s="41" customFormat="1" x14ac:dyDescent="0.25">
      <c r="A60" s="54" t="s">
        <v>108</v>
      </c>
      <c r="B60" s="342"/>
      <c r="C60" s="342" t="s">
        <v>109</v>
      </c>
      <c r="D60" s="185"/>
      <c r="E60" s="57"/>
      <c r="F60" s="343">
        <v>-18</v>
      </c>
      <c r="G60" s="343">
        <v>-17.3</v>
      </c>
      <c r="H60" s="344" t="s">
        <v>110</v>
      </c>
      <c r="I60" s="54" t="s">
        <v>111</v>
      </c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6.9" customHeight="1" spans="1:25" s="41" customFormat="1" x14ac:dyDescent="0.25">
      <c r="A61" s="233" t="s">
        <v>112</v>
      </c>
      <c r="B61" s="346"/>
      <c r="C61" s="346" t="s">
        <v>109</v>
      </c>
      <c r="D61" s="226"/>
      <c r="E61" s="177"/>
      <c r="F61" s="347">
        <v>-2.5</v>
      </c>
      <c r="G61" s="347">
        <v>-2.5</v>
      </c>
      <c r="H61" s="348" t="s">
        <v>113</v>
      </c>
      <c r="I61" s="233" t="s">
        <v>111</v>
      </c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6.9" customHeight="1" spans="1:25" s="41" customFormat="1" x14ac:dyDescent="0.25">
      <c r="A62" s="233" t="s">
        <v>114</v>
      </c>
      <c r="B62" s="346"/>
      <c r="C62" s="346" t="s">
        <v>109</v>
      </c>
      <c r="D62" s="226"/>
      <c r="E62" s="177"/>
      <c r="F62" s="347">
        <v>-18</v>
      </c>
      <c r="G62" s="347">
        <v>-23.3</v>
      </c>
      <c r="H62" s="348" t="s">
        <v>113</v>
      </c>
      <c r="I62" s="233" t="s">
        <v>115</v>
      </c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6.9" customHeight="1" spans="1:25" s="41" customFormat="1" x14ac:dyDescent="0.25">
      <c r="A63" s="233" t="s">
        <v>116</v>
      </c>
      <c r="B63" s="346"/>
      <c r="C63" s="346" t="s">
        <v>109</v>
      </c>
      <c r="D63" s="226"/>
      <c r="E63" s="177"/>
      <c r="F63" s="347">
        <v>-2.5</v>
      </c>
      <c r="G63" s="347">
        <v>-2.5</v>
      </c>
      <c r="H63" s="348" t="s">
        <v>113</v>
      </c>
      <c r="I63" s="233" t="s">
        <v>111</v>
      </c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6.9" customHeight="1" spans="1:25" s="41" customFormat="1" x14ac:dyDescent="0.25">
      <c r="A64" s="299" t="s">
        <v>117</v>
      </c>
      <c r="B64" s="350"/>
      <c r="C64" s="350" t="s">
        <v>109</v>
      </c>
      <c r="D64" s="172"/>
      <c r="E64" s="173"/>
      <c r="F64" s="351">
        <v>-18</v>
      </c>
      <c r="G64" s="351">
        <v>-22.3</v>
      </c>
      <c r="H64" s="352" t="s">
        <v>113</v>
      </c>
      <c r="I64" s="299" t="s">
        <v>111</v>
      </c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6.9" customHeight="1" spans="1:25" s="41" customFormat="1" x14ac:dyDescent="0.25">
      <c r="A65" s="54" t="s">
        <v>118</v>
      </c>
      <c r="B65" s="342"/>
      <c r="C65" s="342" t="s">
        <v>109</v>
      </c>
      <c r="D65" s="185"/>
      <c r="E65" s="57"/>
      <c r="F65" s="353">
        <v>-25</v>
      </c>
      <c r="G65" s="353">
        <v>-28</v>
      </c>
      <c r="H65" s="344" t="s">
        <v>113</v>
      </c>
      <c r="I65" s="54" t="s">
        <v>111</v>
      </c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6.9" customHeight="1" spans="1:25" s="41" customFormat="1" x14ac:dyDescent="0.25">
      <c r="A66" s="233" t="s">
        <v>119</v>
      </c>
      <c r="B66" s="346"/>
      <c r="C66" s="346" t="s">
        <v>109</v>
      </c>
      <c r="D66" s="226"/>
      <c r="E66" s="177"/>
      <c r="F66" s="354">
        <v>-25</v>
      </c>
      <c r="G66" s="354">
        <v>-25.5</v>
      </c>
      <c r="H66" s="348" t="s">
        <v>113</v>
      </c>
      <c r="I66" s="233" t="s">
        <v>111</v>
      </c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6.9" customHeight="1" spans="1:25" s="41" customFormat="1" x14ac:dyDescent="0.25">
      <c r="A67" s="233" t="s">
        <v>120</v>
      </c>
      <c r="B67" s="346"/>
      <c r="C67" s="346" t="s">
        <v>109</v>
      </c>
      <c r="D67" s="226"/>
      <c r="E67" s="177"/>
      <c r="F67" s="347">
        <v>-2.5</v>
      </c>
      <c r="G67" s="347">
        <v>-2.5</v>
      </c>
      <c r="H67" s="348" t="s">
        <v>113</v>
      </c>
      <c r="I67" s="233" t="s">
        <v>111</v>
      </c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6.9" customHeight="1" spans="1:25" s="41" customFormat="1" x14ac:dyDescent="0.25">
      <c r="A68" s="233" t="s">
        <v>121</v>
      </c>
      <c r="B68" s="346"/>
      <c r="C68" s="346" t="s">
        <v>109</v>
      </c>
      <c r="D68" s="226"/>
      <c r="E68" s="177"/>
      <c r="F68" s="354">
        <v>-18</v>
      </c>
      <c r="G68" s="347">
        <v>-21.9</v>
      </c>
      <c r="H68" s="348" t="s">
        <v>113</v>
      </c>
      <c r="I68" s="233" t="s">
        <v>115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6.9" customHeight="1" spans="1:25" s="41" customFormat="1" x14ac:dyDescent="0.25">
      <c r="A69" s="299" t="s">
        <v>122</v>
      </c>
      <c r="B69" s="350"/>
      <c r="C69" s="350" t="s">
        <v>109</v>
      </c>
      <c r="D69" s="172"/>
      <c r="E69" s="173"/>
      <c r="F69" s="351">
        <v>-18</v>
      </c>
      <c r="G69" s="351">
        <v>-24</v>
      </c>
      <c r="H69" s="352" t="s">
        <v>113</v>
      </c>
      <c r="I69" s="299" t="s">
        <v>115</v>
      </c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6.9" customHeight="1" spans="1:25" s="41" customFormat="1" x14ac:dyDescent="0.25">
      <c r="A70" s="54" t="s">
        <v>123</v>
      </c>
      <c r="B70" s="342"/>
      <c r="C70" s="342" t="s">
        <v>109</v>
      </c>
      <c r="D70" s="252"/>
      <c r="E70" s="253"/>
      <c r="F70" s="355">
        <v>0</v>
      </c>
      <c r="G70" s="355">
        <v>0</v>
      </c>
      <c r="H70" s="344" t="s">
        <v>113</v>
      </c>
      <c r="I70" s="54" t="s">
        <v>115</v>
      </c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6.9" customHeight="1" spans="1:25" s="41" customFormat="1" x14ac:dyDescent="0.25">
      <c r="A71" s="233" t="s">
        <v>124</v>
      </c>
      <c r="B71" s="359"/>
      <c r="C71" s="359" t="s">
        <v>109</v>
      </c>
      <c r="D71" s="186"/>
      <c r="E71" s="336"/>
      <c r="F71" s="360">
        <v>-23</v>
      </c>
      <c r="G71" s="360">
        <v>-28.4</v>
      </c>
      <c r="H71" s="348" t="s">
        <v>113</v>
      </c>
      <c r="I71" s="233" t="s">
        <v>111</v>
      </c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16.9" customHeight="1" spans="1:25" s="41" customFormat="1" x14ac:dyDescent="0.25">
      <c r="A72" s="233" t="s">
        <v>125</v>
      </c>
      <c r="B72" s="359"/>
      <c r="C72" s="359" t="s">
        <v>109</v>
      </c>
      <c r="D72" s="186"/>
      <c r="E72" s="336"/>
      <c r="F72" s="360">
        <v>-18</v>
      </c>
      <c r="G72" s="360">
        <v>-24.1</v>
      </c>
      <c r="H72" s="348" t="s">
        <v>113</v>
      </c>
      <c r="I72" s="233" t="s">
        <v>115</v>
      </c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ht="16.9" customHeight="1" spans="1:25" s="41" customFormat="1" x14ac:dyDescent="0.25">
      <c r="A73" s="233" t="s">
        <v>126</v>
      </c>
      <c r="B73" s="346"/>
      <c r="C73" s="346" t="s">
        <v>109</v>
      </c>
      <c r="D73" s="186"/>
      <c r="E73" s="336"/>
      <c r="F73" s="347">
        <v>-25</v>
      </c>
      <c r="G73" s="347">
        <v>-26.1</v>
      </c>
      <c r="H73" s="348" t="s">
        <v>113</v>
      </c>
      <c r="I73" s="233" t="s">
        <v>111</v>
      </c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ht="16.9" customHeight="1" spans="1:25" s="41" customFormat="1" x14ac:dyDescent="0.25">
      <c r="A74" s="299" t="s">
        <v>127</v>
      </c>
      <c r="B74" s="350"/>
      <c r="C74" s="350" t="s">
        <v>109</v>
      </c>
      <c r="D74" s="299"/>
      <c r="E74" s="299"/>
      <c r="F74" s="351">
        <v>-2.5</v>
      </c>
      <c r="G74" s="351">
        <v>-2.6</v>
      </c>
      <c r="H74" s="352" t="s">
        <v>113</v>
      </c>
      <c r="I74" s="299" t="s">
        <v>111</v>
      </c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16.9" customHeight="1" spans="1:25" s="41" customFormat="1" x14ac:dyDescent="0.25">
      <c r="A75" s="54" t="s">
        <v>128</v>
      </c>
      <c r="B75" s="342"/>
      <c r="C75" s="342" t="s">
        <v>109</v>
      </c>
      <c r="D75" s="185"/>
      <c r="E75" s="57"/>
      <c r="F75" s="353">
        <v>-18</v>
      </c>
      <c r="G75" s="353">
        <v>-17</v>
      </c>
      <c r="H75" s="344" t="s">
        <v>113</v>
      </c>
      <c r="I75" s="54" t="s">
        <v>111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16.9" customHeight="1" spans="1:25" s="41" customFormat="1" x14ac:dyDescent="0.25">
      <c r="A76" s="233" t="s">
        <v>129</v>
      </c>
      <c r="B76" s="346"/>
      <c r="C76" s="346" t="s">
        <v>109</v>
      </c>
      <c r="D76" s="226"/>
      <c r="E76" s="177"/>
      <c r="F76" s="354">
        <v>-2.5</v>
      </c>
      <c r="G76" s="354">
        <v>-2.6</v>
      </c>
      <c r="H76" s="348" t="s">
        <v>113</v>
      </c>
      <c r="I76" s="233" t="s">
        <v>111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6.9" customHeight="1" spans="1:25" s="41" customFormat="1" x14ac:dyDescent="0.25">
      <c r="A77" s="233" t="s">
        <v>130</v>
      </c>
      <c r="B77" s="346"/>
      <c r="C77" s="346" t="s">
        <v>109</v>
      </c>
      <c r="D77" s="226"/>
      <c r="E77" s="177"/>
      <c r="F77" s="347">
        <v>-2.5</v>
      </c>
      <c r="G77" s="347">
        <v>-2.5</v>
      </c>
      <c r="H77" s="348" t="s">
        <v>113</v>
      </c>
      <c r="I77" s="233" t="s">
        <v>111</v>
      </c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16.9" customHeight="1" spans="1:25" s="41" customFormat="1" x14ac:dyDescent="0.25">
      <c r="A78" s="233" t="s">
        <v>131</v>
      </c>
      <c r="B78" s="346"/>
      <c r="C78" s="346" t="s">
        <v>109</v>
      </c>
      <c r="D78" s="226"/>
      <c r="E78" s="177"/>
      <c r="F78" s="347">
        <v>-25</v>
      </c>
      <c r="G78" s="347">
        <v>-27.1</v>
      </c>
      <c r="H78" s="348" t="s">
        <v>113</v>
      </c>
      <c r="I78" s="233" t="s">
        <v>111</v>
      </c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16.9" customHeight="1" spans="1:25" s="41" customFormat="1" x14ac:dyDescent="0.25">
      <c r="A79" s="299" t="s">
        <v>132</v>
      </c>
      <c r="B79" s="350"/>
      <c r="C79" s="350" t="s">
        <v>109</v>
      </c>
      <c r="D79" s="172"/>
      <c r="E79" s="173"/>
      <c r="F79" s="351">
        <v>0</v>
      </c>
      <c r="G79" s="351">
        <v>0.1</v>
      </c>
      <c r="H79" s="352" t="s">
        <v>113</v>
      </c>
      <c r="I79" s="299" t="s">
        <v>115</v>
      </c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16.9" customHeight="1" spans="1:25" s="41" customFormat="1" x14ac:dyDescent="0.25">
      <c r="A80" s="54" t="s">
        <v>133</v>
      </c>
      <c r="B80" s="342"/>
      <c r="C80" s="342" t="s">
        <v>109</v>
      </c>
      <c r="D80" s="185"/>
      <c r="E80" s="57"/>
      <c r="F80" s="353">
        <v>-18</v>
      </c>
      <c r="G80" s="353">
        <v>-29.7</v>
      </c>
      <c r="H80" s="344" t="s">
        <v>113</v>
      </c>
      <c r="I80" s="54" t="s">
        <v>115</v>
      </c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16.9" customHeight="1" spans="1:25" s="41" customFormat="1" x14ac:dyDescent="0.25">
      <c r="A81" s="233" t="s">
        <v>134</v>
      </c>
      <c r="B81" s="346"/>
      <c r="C81" s="346" t="s">
        <v>109</v>
      </c>
      <c r="D81" s="226"/>
      <c r="E81" s="177"/>
      <c r="F81" s="354">
        <v>-18</v>
      </c>
      <c r="G81" s="354">
        <v>-17.7</v>
      </c>
      <c r="H81" s="348" t="s">
        <v>113</v>
      </c>
      <c r="I81" s="233" t="s">
        <v>111</v>
      </c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16.9" customHeight="1" spans="1:25" s="41" customFormat="1" x14ac:dyDescent="0.25">
      <c r="A82" s="233" t="s">
        <v>135</v>
      </c>
      <c r="B82" s="346"/>
      <c r="C82" s="346" t="s">
        <v>109</v>
      </c>
      <c r="D82" s="226"/>
      <c r="E82" s="177"/>
      <c r="F82" s="354">
        <v>-23</v>
      </c>
      <c r="G82" s="354">
        <v>-27.3</v>
      </c>
      <c r="H82" s="348" t="s">
        <v>113</v>
      </c>
      <c r="I82" s="233" t="s">
        <v>111</v>
      </c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16.9" customHeight="1" spans="1:25" s="41" customFormat="1" x14ac:dyDescent="0.25">
      <c r="A83" s="233" t="s">
        <v>136</v>
      </c>
      <c r="B83" s="346"/>
      <c r="C83" s="346" t="s">
        <v>109</v>
      </c>
      <c r="D83" s="226"/>
      <c r="E83" s="177"/>
      <c r="F83" s="354">
        <v>-2.6</v>
      </c>
      <c r="G83" s="354">
        <v>-2.5</v>
      </c>
      <c r="H83" s="348" t="s">
        <v>113</v>
      </c>
      <c r="I83" s="233" t="s">
        <v>111</v>
      </c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16.9" customHeight="1" spans="1:25" s="41" customFormat="1" x14ac:dyDescent="0.25">
      <c r="A84" s="233" t="s">
        <v>137</v>
      </c>
      <c r="B84" s="346"/>
      <c r="C84" s="346" t="s">
        <v>109</v>
      </c>
      <c r="D84" s="226"/>
      <c r="E84" s="177"/>
      <c r="F84" s="347">
        <v>-2.5</v>
      </c>
      <c r="G84" s="347">
        <v>-2.5</v>
      </c>
      <c r="H84" s="348" t="s">
        <v>113</v>
      </c>
      <c r="I84" s="233" t="s">
        <v>111</v>
      </c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ht="6.95" customHeight="1" spans="1:25" s="3" customForma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" customHeight="1" spans="1:25" s="41" customFormat="1" x14ac:dyDescent="0.25">
      <c r="A86" s="41" t="s">
        <v>138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ht="14.25" customHeight="1" spans="1:25" s="41" customFormat="1" x14ac:dyDescent="0.25">
      <c r="A87" s="41" t="s">
        <v>139</v>
      </c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ht="14.25" customHeight="1" spans="1:25" s="41" customFormat="1" x14ac:dyDescent="0.25">
      <c r="A88" s="41" t="s">
        <v>140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ht="14.25" customHeight="1" spans="1:25" s="41" customFormat="1" x14ac:dyDescent="0.25">
      <c r="A89" s="41" t="s">
        <v>141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ht="14.25" customHeight="1" spans="1:25" s="41" customFormat="1" x14ac:dyDescent="0.25">
      <c r="A90" s="41" t="s">
        <v>142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ht="14.25" customHeight="1" spans="1:25" s="41" customFormat="1" x14ac:dyDescent="0.25">
      <c r="A91" s="41" t="s">
        <v>143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ht="14.25" customHeight="1" spans="1:25" s="41" customFormat="1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ht="14.25" customHeight="1" spans="1:25" s="41" customFormat="1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ht="14.25" customHeight="1" spans="1:25" s="41" customFormat="1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ht="15.95" customHeight="1" spans="1:25" s="3" customForma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95" customHeight="1" spans="1:25" s="3" customForma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8" customHeight="1" spans="1:25" s="41" customFormat="1" x14ac:dyDescent="0.25">
      <c r="A97" s="151" t="s">
        <v>22</v>
      </c>
      <c r="B97" s="151"/>
      <c r="C97" s="41"/>
      <c r="D97" s="151" t="s">
        <v>104</v>
      </c>
      <c r="E97" s="151"/>
      <c r="F97" s="151"/>
      <c r="G97" s="41"/>
      <c r="H97" s="151" t="s">
        <v>23</v>
      </c>
      <c r="I97" s="15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ht="27.95" customHeight="1" spans="1:25" s="3" customFormat="1" x14ac:dyDescent="0.25">
      <c r="A98" s="333" t="s">
        <v>24</v>
      </c>
      <c r="B98" s="333"/>
      <c r="C98" s="333"/>
      <c r="D98" s="333"/>
      <c r="E98" s="333"/>
      <c r="F98" s="333"/>
      <c r="G98" s="333"/>
      <c r="H98" s="333"/>
      <c r="I98" s="3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6.9" customHeight="1" spans="1:25" s="3" customFormat="1" x14ac:dyDescent="0.25">
      <c r="A99" s="274" t="s">
        <v>25</v>
      </c>
      <c r="B99" s="274"/>
      <c r="C99" s="274"/>
      <c r="D99" s="274"/>
      <c r="E99" s="274"/>
      <c r="F99" s="274"/>
      <c r="G99" s="274"/>
      <c r="H99" s="274"/>
      <c r="I99" s="27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1.25" customHeight="1" spans="1:25" s="3" customForma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5.15" customHeight="1" spans="1:25" s="3" customFormat="1" x14ac:dyDescent="0.25">
      <c r="A101" s="205" t="s">
        <v>90</v>
      </c>
      <c r="B101" s="205"/>
      <c r="C101" s="205"/>
      <c r="D101" s="205"/>
      <c r="E101" s="205"/>
      <c r="F101" s="205"/>
      <c r="G101" s="205"/>
      <c r="H101" s="205"/>
      <c r="I101" s="20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s="3" customFormat="1" x14ac:dyDescent="0.25">
      <c r="A102" s="8" t="s">
        <v>91</v>
      </c>
      <c r="B102" s="8"/>
      <c r="C102" s="8"/>
      <c r="D102" s="8"/>
      <c r="E102" s="8"/>
      <c r="F102" s="8"/>
      <c r="G102" s="8"/>
      <c r="H102" s="8"/>
      <c r="I102" s="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4.25" customHeight="1" spans="1:25" s="3" customFormat="1" x14ac:dyDescent="0.25">
      <c r="A103" s="8"/>
      <c r="B103" s="8"/>
      <c r="C103" s="8"/>
      <c r="D103" s="8"/>
      <c r="E103" s="8"/>
      <c r="F103" s="8"/>
      <c r="G103" s="8"/>
      <c r="H103" s="8"/>
      <c r="I103" s="13" t="s">
        <v>144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 spans="1:25" s="3" customFormat="1" x14ac:dyDescent="0.25">
      <c r="A104" s="3" t="s">
        <v>106</v>
      </c>
      <c r="B104" s="3"/>
      <c r="C104" s="3"/>
      <c r="D104" s="3" t="s">
        <v>4</v>
      </c>
      <c r="E104" s="206" t="s">
        <v>145</v>
      </c>
      <c r="F104" s="206"/>
      <c r="G104" s="13" t="s">
        <v>5</v>
      </c>
      <c r="H104" s="207">
        <v>46229</v>
      </c>
      <c r="I104" s="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 spans="1:25" s="3" customFormat="1" x14ac:dyDescent="0.25">
      <c r="A105" s="3" t="s">
        <v>107</v>
      </c>
      <c r="B105" s="3"/>
      <c r="C105" s="3"/>
      <c r="D105" s="334" t="s">
        <v>7</v>
      </c>
      <c r="E105" s="8">
        <v>16</v>
      </c>
      <c r="F105" s="3"/>
      <c r="G105" s="13" t="s">
        <v>8</v>
      </c>
      <c r="H105" s="8" t="s">
        <v>95</v>
      </c>
      <c r="I105" s="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9" customHeight="1" spans="1:25" s="3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9.9" customHeight="1" spans="1:25" s="105" customFormat="1" x14ac:dyDescent="0.25">
      <c r="A107" s="233" t="s">
        <v>96</v>
      </c>
      <c r="B107" s="335" t="s">
        <v>83</v>
      </c>
      <c r="C107" s="335" t="s">
        <v>79</v>
      </c>
      <c r="D107" s="226" t="s">
        <v>97</v>
      </c>
      <c r="E107" s="177"/>
      <c r="F107" s="226" t="s">
        <v>98</v>
      </c>
      <c r="G107" s="177"/>
      <c r="H107" s="233" t="s">
        <v>99</v>
      </c>
      <c r="I107" s="335" t="s">
        <v>52</v>
      </c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 ht="19.9" customHeight="1" spans="1:25" s="105" customFormat="1" x14ac:dyDescent="0.25">
      <c r="A108" s="36"/>
      <c r="B108" s="33"/>
      <c r="C108" s="33"/>
      <c r="D108" s="337" t="s">
        <v>100</v>
      </c>
      <c r="E108" s="338"/>
      <c r="F108" s="339" t="s">
        <v>101</v>
      </c>
      <c r="G108" s="337" t="s">
        <v>102</v>
      </c>
      <c r="H108" s="340" t="s">
        <v>103</v>
      </c>
      <c r="I108" s="33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 ht="16.9" customHeight="1" spans="1:25" s="41" customFormat="1" x14ac:dyDescent="0.25">
      <c r="A109" s="54" t="s">
        <v>146</v>
      </c>
      <c r="B109" s="342"/>
      <c r="C109" s="342" t="s">
        <v>109</v>
      </c>
      <c r="D109" s="185"/>
      <c r="E109" s="57"/>
      <c r="F109" s="343">
        <v>-2.5</v>
      </c>
      <c r="G109" s="343">
        <v>-2.5</v>
      </c>
      <c r="H109" s="344" t="s">
        <v>110</v>
      </c>
      <c r="I109" s="54" t="s">
        <v>111</v>
      </c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ht="16.9" customHeight="1" spans="1:25" s="41" customFormat="1" x14ac:dyDescent="0.25">
      <c r="A110" s="233" t="s">
        <v>147</v>
      </c>
      <c r="B110" s="346"/>
      <c r="C110" s="346" t="s">
        <v>109</v>
      </c>
      <c r="D110" s="226"/>
      <c r="E110" s="177"/>
      <c r="F110" s="347">
        <v>-2.6</v>
      </c>
      <c r="G110" s="347">
        <v>-2.6</v>
      </c>
      <c r="H110" s="348" t="s">
        <v>113</v>
      </c>
      <c r="I110" s="233" t="s">
        <v>111</v>
      </c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ht="16.9" customHeight="1" spans="1:25" s="41" customFormat="1" x14ac:dyDescent="0.25">
      <c r="A111" s="233" t="s">
        <v>148</v>
      </c>
      <c r="B111" s="346"/>
      <c r="C111" s="346" t="s">
        <v>109</v>
      </c>
      <c r="D111" s="226"/>
      <c r="E111" s="177"/>
      <c r="F111" s="347">
        <v>-18</v>
      </c>
      <c r="G111" s="347">
        <v>-22.5</v>
      </c>
      <c r="H111" s="348" t="s">
        <v>113</v>
      </c>
      <c r="I111" s="233" t="s">
        <v>111</v>
      </c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ht="16.9" customHeight="1" spans="1:25" s="41" customFormat="1" x14ac:dyDescent="0.25">
      <c r="A112" s="233" t="s">
        <v>149</v>
      </c>
      <c r="B112" s="346"/>
      <c r="C112" s="346" t="s">
        <v>109</v>
      </c>
      <c r="D112" s="226"/>
      <c r="E112" s="177"/>
      <c r="F112" s="347">
        <v>-18</v>
      </c>
      <c r="G112" s="347">
        <v>-18</v>
      </c>
      <c r="H112" s="348" t="s">
        <v>113</v>
      </c>
      <c r="I112" s="233" t="s">
        <v>111</v>
      </c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ht="16.9" customHeight="1" spans="1:25" s="41" customFormat="1" x14ac:dyDescent="0.25">
      <c r="A113" s="299" t="s">
        <v>150</v>
      </c>
      <c r="B113" s="350"/>
      <c r="C113" s="350" t="s">
        <v>109</v>
      </c>
      <c r="D113" s="172"/>
      <c r="E113" s="173"/>
      <c r="F113" s="351">
        <v>-18</v>
      </c>
      <c r="G113" s="351">
        <v>-22.9</v>
      </c>
      <c r="H113" s="352" t="s">
        <v>113</v>
      </c>
      <c r="I113" s="299" t="s">
        <v>115</v>
      </c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ht="16.9" customHeight="1" spans="1:25" s="41" customFormat="1" x14ac:dyDescent="0.25">
      <c r="A114" s="54" t="s">
        <v>151</v>
      </c>
      <c r="B114" s="342"/>
      <c r="C114" s="342" t="s">
        <v>109</v>
      </c>
      <c r="D114" s="185"/>
      <c r="E114" s="57"/>
      <c r="F114" s="353">
        <v>-18</v>
      </c>
      <c r="G114" s="353">
        <v>-23.9</v>
      </c>
      <c r="H114" s="344" t="s">
        <v>113</v>
      </c>
      <c r="I114" s="54" t="s">
        <v>111</v>
      </c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ht="16.9" customHeight="1" spans="1:25" s="41" customFormat="1" x14ac:dyDescent="0.25">
      <c r="A115" s="233" t="s">
        <v>152</v>
      </c>
      <c r="B115" s="346"/>
      <c r="C115" s="346" t="s">
        <v>109</v>
      </c>
      <c r="D115" s="226"/>
      <c r="E115" s="177"/>
      <c r="F115" s="354">
        <v>-18</v>
      </c>
      <c r="G115" s="354">
        <v>-22.8</v>
      </c>
      <c r="H115" s="348" t="s">
        <v>113</v>
      </c>
      <c r="I115" s="233" t="s">
        <v>111</v>
      </c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ht="16.9" customHeight="1" spans="1:25" s="41" customFormat="1" x14ac:dyDescent="0.25">
      <c r="A116" s="233" t="s">
        <v>153</v>
      </c>
      <c r="B116" s="346"/>
      <c r="C116" s="346" t="s">
        <v>109</v>
      </c>
      <c r="D116" s="226"/>
      <c r="E116" s="177"/>
      <c r="F116" s="347">
        <v>-18</v>
      </c>
      <c r="G116" s="347">
        <v>-23.8</v>
      </c>
      <c r="H116" s="348" t="s">
        <v>113</v>
      </c>
      <c r="I116" s="233" t="s">
        <v>111</v>
      </c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ht="16.9" customHeight="1" spans="1:25" s="41" customFormat="1" x14ac:dyDescent="0.25">
      <c r="A117" s="233" t="s">
        <v>154</v>
      </c>
      <c r="B117" s="346"/>
      <c r="C117" s="346" t="s">
        <v>109</v>
      </c>
      <c r="D117" s="226"/>
      <c r="E117" s="177"/>
      <c r="F117" s="354">
        <v>-2</v>
      </c>
      <c r="G117" s="347">
        <v>-2</v>
      </c>
      <c r="H117" s="348" t="s">
        <v>113</v>
      </c>
      <c r="I117" s="233" t="s">
        <v>111</v>
      </c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16.9" customHeight="1" spans="1:25" s="41" customFormat="1" x14ac:dyDescent="0.25">
      <c r="A118" s="299" t="s">
        <v>155</v>
      </c>
      <c r="B118" s="350"/>
      <c r="C118" s="350" t="s">
        <v>109</v>
      </c>
      <c r="D118" s="172"/>
      <c r="E118" s="173"/>
      <c r="F118" s="351">
        <v>-18</v>
      </c>
      <c r="G118" s="351">
        <v>-26.6</v>
      </c>
      <c r="H118" s="352" t="s">
        <v>113</v>
      </c>
      <c r="I118" s="299" t="s">
        <v>111</v>
      </c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16.9" customHeight="1" spans="1:25" s="41" customFormat="1" x14ac:dyDescent="0.25">
      <c r="A119" s="54" t="s">
        <v>156</v>
      </c>
      <c r="B119" s="342"/>
      <c r="C119" s="342" t="s">
        <v>109</v>
      </c>
      <c r="D119" s="252"/>
      <c r="E119" s="253"/>
      <c r="F119" s="355">
        <v>-2.5</v>
      </c>
      <c r="G119" s="355">
        <v>-2.5</v>
      </c>
      <c r="H119" s="344" t="s">
        <v>113</v>
      </c>
      <c r="I119" s="54" t="s">
        <v>111</v>
      </c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ht="16.9" customHeight="1" spans="1:25" s="41" customFormat="1" x14ac:dyDescent="0.25">
      <c r="A120" s="233" t="s">
        <v>157</v>
      </c>
      <c r="B120" s="346"/>
      <c r="C120" s="346" t="s">
        <v>109</v>
      </c>
      <c r="D120" s="186"/>
      <c r="E120" s="336"/>
      <c r="F120" s="347">
        <v>-2</v>
      </c>
      <c r="G120" s="347">
        <v>-2.1</v>
      </c>
      <c r="H120" s="348" t="s">
        <v>113</v>
      </c>
      <c r="I120" s="233" t="s">
        <v>111</v>
      </c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ht="16.9" customHeight="1" spans="1:25" s="41" customFormat="1" x14ac:dyDescent="0.25">
      <c r="A121" s="233" t="s">
        <v>158</v>
      </c>
      <c r="B121" s="346"/>
      <c r="C121" s="346" t="s">
        <v>109</v>
      </c>
      <c r="D121" s="186"/>
      <c r="E121" s="336"/>
      <c r="F121" s="347">
        <v>-2.5</v>
      </c>
      <c r="G121" s="347">
        <v>-2.5</v>
      </c>
      <c r="H121" s="348" t="s">
        <v>113</v>
      </c>
      <c r="I121" s="233" t="s">
        <v>111</v>
      </c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ht="16.9" customHeight="1" spans="1:25" s="41" customFormat="1" x14ac:dyDescent="0.25">
      <c r="A122" s="233" t="s">
        <v>159</v>
      </c>
      <c r="B122" s="346"/>
      <c r="C122" s="346" t="s">
        <v>109</v>
      </c>
      <c r="D122" s="186"/>
      <c r="E122" s="336"/>
      <c r="F122" s="347">
        <v>-18</v>
      </c>
      <c r="G122" s="347">
        <v>-13</v>
      </c>
      <c r="H122" s="348" t="s">
        <v>113</v>
      </c>
      <c r="I122" s="233" t="s">
        <v>115</v>
      </c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ht="16.9" customHeight="1" spans="1:25" s="41" customFormat="1" x14ac:dyDescent="0.25">
      <c r="A123" s="299"/>
      <c r="B123" s="350"/>
      <c r="C123" s="350"/>
      <c r="D123" s="299"/>
      <c r="E123" s="299"/>
      <c r="F123" s="351"/>
      <c r="G123" s="351"/>
      <c r="H123" s="352"/>
      <c r="I123" s="299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ht="16.9" customHeight="1" spans="1:25" s="41" customFormat="1" x14ac:dyDescent="0.25">
      <c r="A124" s="54"/>
      <c r="B124" s="342"/>
      <c r="C124" s="342"/>
      <c r="D124" s="185"/>
      <c r="E124" s="57"/>
      <c r="F124" s="353"/>
      <c r="G124" s="353"/>
      <c r="H124" s="344"/>
      <c r="I124" s="54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ht="16.9" customHeight="1" spans="1:25" s="41" customFormat="1" x14ac:dyDescent="0.25">
      <c r="A125" s="233"/>
      <c r="B125" s="346"/>
      <c r="C125" s="346"/>
      <c r="D125" s="226"/>
      <c r="E125" s="177"/>
      <c r="F125" s="354"/>
      <c r="G125" s="354"/>
      <c r="H125" s="348"/>
      <c r="I125" s="23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ht="16.9" customHeight="1" spans="1:25" s="41" customFormat="1" x14ac:dyDescent="0.25">
      <c r="A126" s="233"/>
      <c r="B126" s="346"/>
      <c r="C126" s="346"/>
      <c r="D126" s="226"/>
      <c r="E126" s="177"/>
      <c r="F126" s="347"/>
      <c r="G126" s="347"/>
      <c r="H126" s="348"/>
      <c r="I126" s="23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ht="16.9" customHeight="1" spans="1:25" s="41" customFormat="1" x14ac:dyDescent="0.25">
      <c r="A127" s="233"/>
      <c r="B127" s="346"/>
      <c r="C127" s="346"/>
      <c r="D127" s="226"/>
      <c r="E127" s="177"/>
      <c r="F127" s="347"/>
      <c r="G127" s="347"/>
      <c r="H127" s="348"/>
      <c r="I127" s="23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ht="16.9" customHeight="1" spans="1:25" s="41" customFormat="1" x14ac:dyDescent="0.25">
      <c r="A128" s="299"/>
      <c r="B128" s="350"/>
      <c r="C128" s="361"/>
      <c r="D128" s="172"/>
      <c r="E128" s="173"/>
      <c r="F128" s="351"/>
      <c r="G128" s="351"/>
      <c r="H128" s="362"/>
      <c r="I128" s="299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ht="16.9" customHeight="1" spans="1:25" s="41" customFormat="1" x14ac:dyDescent="0.25">
      <c r="A129" s="54"/>
      <c r="B129" s="342"/>
      <c r="C129" s="342"/>
      <c r="D129" s="185"/>
      <c r="E129" s="57"/>
      <c r="F129" s="353"/>
      <c r="G129" s="353"/>
      <c r="H129" s="344"/>
      <c r="I129" s="54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ht="16.9" customHeight="1" spans="1:25" s="41" customFormat="1" x14ac:dyDescent="0.25">
      <c r="A130" s="233"/>
      <c r="B130" s="346"/>
      <c r="C130" s="346"/>
      <c r="D130" s="226"/>
      <c r="E130" s="177"/>
      <c r="F130" s="354"/>
      <c r="G130" s="354"/>
      <c r="H130" s="348"/>
      <c r="I130" s="233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ht="16.9" customHeight="1" spans="1:25" s="41" customFormat="1" x14ac:dyDescent="0.25">
      <c r="A131" s="233"/>
      <c r="B131" s="346"/>
      <c r="C131" s="346"/>
      <c r="D131" s="226"/>
      <c r="E131" s="177"/>
      <c r="F131" s="354"/>
      <c r="G131" s="354"/>
      <c r="H131" s="348"/>
      <c r="I131" s="233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ht="16.9" customHeight="1" spans="1:25" s="41" customFormat="1" x14ac:dyDescent="0.25">
      <c r="A132" s="233"/>
      <c r="B132" s="346"/>
      <c r="C132" s="346"/>
      <c r="D132" s="226"/>
      <c r="E132" s="177"/>
      <c r="F132" s="354"/>
      <c r="G132" s="354"/>
      <c r="H132" s="348"/>
      <c r="I132" s="233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ht="16.9" customHeight="1" spans="1:25" s="41" customFormat="1" x14ac:dyDescent="0.25">
      <c r="A133" s="363"/>
      <c r="B133" s="346"/>
      <c r="C133" s="346"/>
      <c r="D133" s="226"/>
      <c r="E133" s="177"/>
      <c r="F133" s="347"/>
      <c r="G133" s="347"/>
      <c r="H133" s="348"/>
      <c r="I133" s="363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ht="6.95" customHeight="1" spans="1:25" s="3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" customHeight="1" spans="1:25" s="41" customFormat="1" x14ac:dyDescent="0.25">
      <c r="A135" s="41" t="s">
        <v>138</v>
      </c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ht="14.25" customHeight="1" spans="1:25" s="41" customFormat="1" x14ac:dyDescent="0.25">
      <c r="A136" s="41" t="s">
        <v>139</v>
      </c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ht="14.25" customHeight="1" spans="1:25" s="41" customFormat="1" x14ac:dyDescent="0.25">
      <c r="A137" s="41" t="s">
        <v>140</v>
      </c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14.25" customHeight="1" spans="1:25" s="41" customFormat="1" x14ac:dyDescent="0.25">
      <c r="A138" s="41" t="s">
        <v>141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14.25" customHeight="1" spans="1:25" s="41" customFormat="1" x14ac:dyDescent="0.25">
      <c r="A139" s="41" t="s">
        <v>142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14.25" customHeight="1" spans="1:25" s="41" customFormat="1" x14ac:dyDescent="0.25">
      <c r="A140" s="41" t="s">
        <v>143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14.25" customHeight="1" s="41" customFormat="1" x14ac:dyDescent="0.25"/>
    <row r="142" ht="14.25" customHeight="1" s="41" customFormat="1" x14ac:dyDescent="0.25"/>
    <row r="143" ht="15.95" customHeight="1" s="3" customFormat="1" x14ac:dyDescent="0.25"/>
    <row r="144" ht="15.95" customHeight="1" s="3" customFormat="1" x14ac:dyDescent="0.25"/>
    <row r="145" ht="18" customHeight="1" spans="1:9" s="41" customFormat="1" x14ac:dyDescent="0.25">
      <c r="A145" s="151" t="s">
        <v>22</v>
      </c>
      <c r="B145" s="151"/>
      <c r="D145" s="151" t="s">
        <v>104</v>
      </c>
      <c r="E145" s="151"/>
      <c r="F145" s="151"/>
      <c r="H145" s="151" t="s">
        <v>23</v>
      </c>
      <c r="I145" s="151"/>
    </row>
  </sheetData>
  <mergeCells count="10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A97:B97"/>
    <mergeCell ref="D97:F97"/>
    <mergeCell ref="H97:I97"/>
    <mergeCell ref="A98:I98"/>
    <mergeCell ref="A99:I99"/>
    <mergeCell ref="A101:I101"/>
    <mergeCell ref="A102:I102"/>
    <mergeCell ref="E104:F104"/>
    <mergeCell ref="H104:I104"/>
    <mergeCell ref="H105:I105"/>
    <mergeCell ref="D107:E107"/>
    <mergeCell ref="F107:G107"/>
    <mergeCell ref="A107:A108"/>
    <mergeCell ref="B107:B108"/>
    <mergeCell ref="C107:C108"/>
    <mergeCell ref="D108:E108"/>
    <mergeCell ref="I107:I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A145:B145"/>
    <mergeCell ref="D145:F145"/>
    <mergeCell ref="H145:I14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91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375" style="2" customWidth="1"/>
    <col min="5" max="15" width="5.37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6.9" customHeight="1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5"/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6.9" customHeight="1" spans="1:25" x14ac:dyDescent="0.25">
      <c r="A6" s="8" t="s">
        <v>6</v>
      </c>
      <c r="B6" s="17"/>
      <c r="C6" s="1"/>
      <c r="D6" s="2"/>
      <c r="E6" s="18"/>
      <c r="F6" s="11" t="s">
        <v>7</v>
      </c>
      <c r="G6" s="12"/>
      <c r="H6" s="12"/>
      <c r="I6" s="12"/>
      <c r="J6" s="1"/>
      <c r="K6" s="13" t="s">
        <v>8</v>
      </c>
      <c r="L6" s="19" t="s">
        <v>9</v>
      </c>
      <c r="M6" s="19"/>
      <c r="N6" s="19"/>
      <c r="O6" s="19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20"/>
      <c r="B7" s="20"/>
      <c r="C7" s="20"/>
      <c r="D7" s="21"/>
      <c r="E7" s="20"/>
      <c r="F7" s="20"/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7" customFormat="1" x14ac:dyDescent="0.25">
      <c r="A8" s="22" t="s">
        <v>10</v>
      </c>
      <c r="B8" s="23" t="s">
        <v>11</v>
      </c>
      <c r="C8" s="24" t="s">
        <v>12</v>
      </c>
      <c r="D8" s="25" t="str">
        <f>+"DISCH ("&amp;D70+E70+F70+G70+D71+E71+F71+G71&amp;")"</f>
        <v>DISCH (251)</v>
      </c>
      <c r="E8" s="26"/>
      <c r="F8" s="26"/>
      <c r="G8" s="26"/>
      <c r="H8" s="25" t="str">
        <f>+"LOAD ("&amp;H70+I70+J70+K70+H71+I71+J71+K71&amp;")"</f>
        <v>LOAD (0)</v>
      </c>
      <c r="I8" s="26"/>
      <c r="J8" s="26"/>
      <c r="K8" s="27"/>
      <c r="L8" s="28" t="str">
        <f>+"SHIFT ("&amp;L70+M70+N70+O70+L71+M71+N71+O71&amp;")"</f>
        <v>SHIFT (0)</v>
      </c>
      <c r="M8" s="29"/>
      <c r="N8" s="30"/>
      <c r="O8" s="31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" customHeight="1" spans="1:25" x14ac:dyDescent="0.25">
      <c r="A9" s="32"/>
      <c r="B9" s="33"/>
      <c r="C9" s="34"/>
      <c r="D9" s="35" t="s">
        <v>13</v>
      </c>
      <c r="E9" s="36" t="s">
        <v>14</v>
      </c>
      <c r="F9" s="36" t="s">
        <v>15</v>
      </c>
      <c r="G9" s="37" t="s">
        <v>16</v>
      </c>
      <c r="H9" s="38" t="s">
        <v>13</v>
      </c>
      <c r="I9" s="36" t="s">
        <v>14</v>
      </c>
      <c r="J9" s="36" t="s">
        <v>15</v>
      </c>
      <c r="K9" s="39" t="s">
        <v>16</v>
      </c>
      <c r="L9" s="40" t="s">
        <v>13</v>
      </c>
      <c r="M9" s="36" t="s">
        <v>14</v>
      </c>
      <c r="N9" s="36" t="s">
        <v>15</v>
      </c>
      <c r="O9" s="39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1" customFormat="1" x14ac:dyDescent="0.25">
      <c r="A10" s="42"/>
      <c r="B10" s="43"/>
      <c r="C10" s="44" t="s">
        <v>17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5" customHeight="1" spans="1:25" s="41" customFormat="1" x14ac:dyDescent="0.25">
      <c r="A11" s="50"/>
      <c r="B11" s="51"/>
      <c r="C11" s="52" t="s">
        <v>18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5" customHeight="1" spans="1:25" s="41" customFormat="1" x14ac:dyDescent="0.25">
      <c r="A12" s="50"/>
      <c r="B12" s="58"/>
      <c r="C12" s="59" t="s">
        <v>17</v>
      </c>
      <c r="D12" s="60"/>
      <c r="E12" s="61"/>
      <c r="F12" s="61"/>
      <c r="G12" s="62"/>
      <c r="H12" s="60"/>
      <c r="I12" s="61"/>
      <c r="J12" s="61"/>
      <c r="K12" s="63"/>
      <c r="L12" s="64"/>
      <c r="M12" s="61"/>
      <c r="N12" s="61"/>
      <c r="O12" s="63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5" customHeight="1" spans="1:25" s="41" customFormat="1" x14ac:dyDescent="0.25">
      <c r="A13" s="50"/>
      <c r="B13" s="51"/>
      <c r="C13" s="52" t="s">
        <v>18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5" customHeight="1" spans="1:25" s="41" customFormat="1" x14ac:dyDescent="0.25">
      <c r="A14" s="50"/>
      <c r="B14" s="65"/>
      <c r="C14" s="66" t="s">
        <v>17</v>
      </c>
      <c r="D14" s="60"/>
      <c r="E14" s="61"/>
      <c r="F14" s="61"/>
      <c r="G14" s="62"/>
      <c r="H14" s="60"/>
      <c r="I14" s="61"/>
      <c r="J14" s="61"/>
      <c r="K14" s="63"/>
      <c r="L14" s="64"/>
      <c r="M14" s="61"/>
      <c r="N14" s="61"/>
      <c r="O14" s="63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5" customHeight="1" spans="1:25" s="41" customFormat="1" x14ac:dyDescent="0.25">
      <c r="A15" s="50"/>
      <c r="B15" s="51"/>
      <c r="C15" s="67" t="s">
        <v>18</v>
      </c>
      <c r="D15" s="68"/>
      <c r="E15" s="69"/>
      <c r="F15" s="69"/>
      <c r="G15" s="70"/>
      <c r="H15" s="68"/>
      <c r="I15" s="69"/>
      <c r="J15" s="69"/>
      <c r="K15" s="71"/>
      <c r="L15" s="72"/>
      <c r="M15" s="69"/>
      <c r="N15" s="69"/>
      <c r="O15" s="7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5" customHeight="1" spans="1:25" s="41" customFormat="1" x14ac:dyDescent="0.25">
      <c r="A16" s="50"/>
      <c r="B16" s="73"/>
      <c r="C16" s="74" t="s">
        <v>17</v>
      </c>
      <c r="D16" s="75"/>
      <c r="E16" s="76"/>
      <c r="F16" s="76"/>
      <c r="G16" s="77"/>
      <c r="H16" s="75"/>
      <c r="I16" s="76"/>
      <c r="J16" s="76"/>
      <c r="K16" s="78"/>
      <c r="L16" s="79"/>
      <c r="M16" s="76"/>
      <c r="N16" s="76"/>
      <c r="O16" s="78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5" customHeight="1" spans="1:25" s="41" customFormat="1" x14ac:dyDescent="0.25">
      <c r="A17" s="80"/>
      <c r="B17" s="81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2.95" customHeight="1" spans="1:25" s="41" customFormat="1" x14ac:dyDescent="0.25">
      <c r="A18" s="88"/>
      <c r="B18" s="65"/>
      <c r="C18" s="89" t="s">
        <v>17</v>
      </c>
      <c r="D18" s="90"/>
      <c r="E18" s="91"/>
      <c r="F18" s="91"/>
      <c r="G18" s="92"/>
      <c r="H18" s="90"/>
      <c r="I18" s="91"/>
      <c r="J18" s="91"/>
      <c r="K18" s="93"/>
      <c r="L18" s="94"/>
      <c r="M18" s="91"/>
      <c r="N18" s="91"/>
      <c r="O18" s="93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2.95" customHeight="1" spans="1:25" s="41" customFormat="1" x14ac:dyDescent="0.25">
      <c r="A19" s="50"/>
      <c r="B19" s="51"/>
      <c r="C19" s="67" t="s">
        <v>18</v>
      </c>
      <c r="D19" s="68"/>
      <c r="E19" s="69"/>
      <c r="F19" s="69"/>
      <c r="G19" s="70"/>
      <c r="H19" s="68"/>
      <c r="I19" s="69"/>
      <c r="J19" s="69"/>
      <c r="K19" s="71"/>
      <c r="L19" s="72"/>
      <c r="M19" s="69"/>
      <c r="N19" s="69"/>
      <c r="O19" s="7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2.95" customHeight="1" spans="1:25" s="41" customFormat="1" x14ac:dyDescent="0.25">
      <c r="A20" s="50"/>
      <c r="B20" s="58"/>
      <c r="C20" s="74" t="s">
        <v>17</v>
      </c>
      <c r="D20" s="75"/>
      <c r="E20" s="76"/>
      <c r="F20" s="76"/>
      <c r="G20" s="77"/>
      <c r="H20" s="75"/>
      <c r="I20" s="76"/>
      <c r="J20" s="76"/>
      <c r="K20" s="78"/>
      <c r="L20" s="79"/>
      <c r="M20" s="76"/>
      <c r="N20" s="76"/>
      <c r="O20" s="78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2.95" customHeight="1" spans="1:25" s="41" customFormat="1" x14ac:dyDescent="0.25">
      <c r="A21" s="50"/>
      <c r="B21" s="51"/>
      <c r="C21" s="95" t="s">
        <v>18</v>
      </c>
      <c r="D21" s="53"/>
      <c r="E21" s="54"/>
      <c r="F21" s="54"/>
      <c r="G21" s="55"/>
      <c r="H21" s="53"/>
      <c r="I21" s="54"/>
      <c r="J21" s="54"/>
      <c r="K21" s="56"/>
      <c r="L21" s="57"/>
      <c r="M21" s="54"/>
      <c r="N21" s="54"/>
      <c r="O21" s="56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2.95" customHeight="1" spans="1:25" s="41" customFormat="1" x14ac:dyDescent="0.25">
      <c r="A22" s="50"/>
      <c r="B22" s="96"/>
      <c r="C22" s="97" t="s">
        <v>17</v>
      </c>
      <c r="D22" s="75"/>
      <c r="E22" s="76"/>
      <c r="F22" s="76"/>
      <c r="G22" s="78"/>
      <c r="H22" s="75"/>
      <c r="I22" s="76"/>
      <c r="J22" s="76"/>
      <c r="K22" s="78"/>
      <c r="L22" s="79"/>
      <c r="M22" s="76"/>
      <c r="N22" s="76"/>
      <c r="O22" s="78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2.95" customHeight="1" spans="1:25" s="41" customFormat="1" x14ac:dyDescent="0.25">
      <c r="A23" s="50"/>
      <c r="B23" s="51"/>
      <c r="C23" s="52" t="s">
        <v>18</v>
      </c>
      <c r="D23" s="53"/>
      <c r="E23" s="54"/>
      <c r="F23" s="54"/>
      <c r="G23" s="56"/>
      <c r="H23" s="53"/>
      <c r="I23" s="54"/>
      <c r="J23" s="54"/>
      <c r="K23" s="56"/>
      <c r="L23" s="57"/>
      <c r="M23" s="54"/>
      <c r="N23" s="54"/>
      <c r="O23" s="56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2.95" customHeight="1" spans="1:25" s="41" customFormat="1" x14ac:dyDescent="0.25">
      <c r="A24" s="50"/>
      <c r="B24" s="73"/>
      <c r="C24" s="66" t="s">
        <v>17</v>
      </c>
      <c r="D24" s="60"/>
      <c r="E24" s="61"/>
      <c r="F24" s="61"/>
      <c r="G24" s="63"/>
      <c r="H24" s="60"/>
      <c r="I24" s="61"/>
      <c r="J24" s="61"/>
      <c r="K24" s="63"/>
      <c r="L24" s="64"/>
      <c r="M24" s="61"/>
      <c r="N24" s="61"/>
      <c r="O24" s="63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2.95" customHeight="1" spans="1:25" s="41" customFormat="1" x14ac:dyDescent="0.25">
      <c r="A25" s="80"/>
      <c r="B25" s="81"/>
      <c r="C25" s="98" t="s">
        <v>18</v>
      </c>
      <c r="D25" s="99"/>
      <c r="E25" s="100"/>
      <c r="F25" s="100"/>
      <c r="G25" s="101"/>
      <c r="H25" s="99"/>
      <c r="I25" s="100"/>
      <c r="J25" s="100"/>
      <c r="K25" s="101"/>
      <c r="L25" s="102"/>
      <c r="M25" s="100"/>
      <c r="N25" s="100"/>
      <c r="O25" s="10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2.95" customHeight="1" hidden="1" spans="1:25" s="41" customFormat="1" x14ac:dyDescent="0.25">
      <c r="A26" s="50"/>
      <c r="B26" s="96"/>
      <c r="C26" s="74" t="s">
        <v>17</v>
      </c>
      <c r="D26" s="75"/>
      <c r="E26" s="76"/>
      <c r="F26" s="76"/>
      <c r="G26" s="77"/>
      <c r="H26" s="75"/>
      <c r="I26" s="76"/>
      <c r="J26" s="76"/>
      <c r="K26" s="78"/>
      <c r="L26" s="79"/>
      <c r="M26" s="76"/>
      <c r="N26" s="76"/>
      <c r="O26" s="78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2.95" customHeight="1" hidden="1" spans="1:25" s="41" customFormat="1" x14ac:dyDescent="0.25">
      <c r="A27" s="103"/>
      <c r="B27" s="51"/>
      <c r="C27" s="95" t="s">
        <v>18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2.95" customHeight="1" hidden="1" spans="1:25" s="41" customFormat="1" x14ac:dyDescent="0.25">
      <c r="A28" s="50"/>
      <c r="B28" s="65"/>
      <c r="C28" s="66" t="s">
        <v>17</v>
      </c>
      <c r="D28" s="60"/>
      <c r="E28" s="61"/>
      <c r="F28" s="61"/>
      <c r="G28" s="62"/>
      <c r="H28" s="60"/>
      <c r="I28" s="61"/>
      <c r="J28" s="61"/>
      <c r="K28" s="63"/>
      <c r="L28" s="64"/>
      <c r="M28" s="61"/>
      <c r="N28" s="61"/>
      <c r="O28" s="63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2.95" customHeight="1" hidden="1" spans="1:25" s="41" customFormat="1" x14ac:dyDescent="0.25">
      <c r="A29" s="103"/>
      <c r="B29" s="51"/>
      <c r="C29" s="95" t="s">
        <v>18</v>
      </c>
      <c r="D29" s="53"/>
      <c r="E29" s="54"/>
      <c r="F29" s="54"/>
      <c r="G29" s="55"/>
      <c r="H29" s="53"/>
      <c r="I29" s="54"/>
      <c r="J29" s="54"/>
      <c r="K29" s="56"/>
      <c r="L29" s="57"/>
      <c r="M29" s="54"/>
      <c r="N29" s="54"/>
      <c r="O29" s="56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2.95" customHeight="1" hidden="1" spans="1:25" s="41" customFormat="1" x14ac:dyDescent="0.25">
      <c r="A30" s="50"/>
      <c r="B30" s="65"/>
      <c r="C30" s="66" t="s">
        <v>17</v>
      </c>
      <c r="D30" s="60"/>
      <c r="E30" s="61"/>
      <c r="F30" s="61"/>
      <c r="G30" s="63"/>
      <c r="H30" s="60"/>
      <c r="I30" s="61"/>
      <c r="J30" s="61"/>
      <c r="K30" s="63"/>
      <c r="L30" s="64"/>
      <c r="M30" s="61"/>
      <c r="N30" s="61"/>
      <c r="O30" s="63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2.95" customHeight="1" hidden="1" spans="1:25" s="41" customFormat="1" x14ac:dyDescent="0.25">
      <c r="A31" s="103"/>
      <c r="B31" s="51"/>
      <c r="C31" s="95" t="s">
        <v>18</v>
      </c>
      <c r="D31" s="53"/>
      <c r="E31" s="54"/>
      <c r="F31" s="54"/>
      <c r="G31" s="56"/>
      <c r="H31" s="53"/>
      <c r="I31" s="54"/>
      <c r="J31" s="54"/>
      <c r="K31" s="56"/>
      <c r="L31" s="57"/>
      <c r="M31" s="54"/>
      <c r="N31" s="54"/>
      <c r="O31" s="56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2.95" customHeight="1" hidden="1" spans="1:25" s="41" customFormat="1" x14ac:dyDescent="0.25">
      <c r="A32" s="50"/>
      <c r="B32" s="65"/>
      <c r="C32" s="66" t="s">
        <v>17</v>
      </c>
      <c r="D32" s="60"/>
      <c r="E32" s="61"/>
      <c r="F32" s="61"/>
      <c r="G32" s="63"/>
      <c r="H32" s="60"/>
      <c r="I32" s="61"/>
      <c r="J32" s="61"/>
      <c r="K32" s="63"/>
      <c r="L32" s="64"/>
      <c r="M32" s="61"/>
      <c r="N32" s="61"/>
      <c r="O32" s="63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2.95" customHeight="1" hidden="1" spans="1:25" s="41" customFormat="1" x14ac:dyDescent="0.25">
      <c r="A33" s="103"/>
      <c r="B33" s="51"/>
      <c r="C33" s="95" t="s">
        <v>18</v>
      </c>
      <c r="D33" s="53"/>
      <c r="E33" s="54"/>
      <c r="F33" s="54"/>
      <c r="G33" s="56"/>
      <c r="H33" s="53"/>
      <c r="I33" s="54"/>
      <c r="J33" s="54"/>
      <c r="K33" s="56"/>
      <c r="L33" s="57"/>
      <c r="M33" s="54"/>
      <c r="N33" s="54"/>
      <c r="O33" s="56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2.95" customHeight="1" hidden="1" spans="1:25" s="41" customFormat="1" x14ac:dyDescent="0.25">
      <c r="A34" s="50"/>
      <c r="B34" s="65"/>
      <c r="C34" s="66" t="s">
        <v>17</v>
      </c>
      <c r="D34" s="60"/>
      <c r="E34" s="61"/>
      <c r="F34" s="61"/>
      <c r="G34" s="63"/>
      <c r="H34" s="60"/>
      <c r="I34" s="61"/>
      <c r="J34" s="61"/>
      <c r="K34" s="63"/>
      <c r="L34" s="64"/>
      <c r="M34" s="61"/>
      <c r="N34" s="61"/>
      <c r="O34" s="63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2.95" customHeight="1" hidden="1" spans="1:25" s="41" customFormat="1" x14ac:dyDescent="0.25">
      <c r="A35" s="103"/>
      <c r="B35" s="51"/>
      <c r="C35" s="95" t="s">
        <v>18</v>
      </c>
      <c r="D35" s="53"/>
      <c r="E35" s="54"/>
      <c r="F35" s="54"/>
      <c r="G35" s="56"/>
      <c r="H35" s="53"/>
      <c r="I35" s="54"/>
      <c r="J35" s="54"/>
      <c r="K35" s="56"/>
      <c r="L35" s="57"/>
      <c r="M35" s="54"/>
      <c r="N35" s="54"/>
      <c r="O35" s="56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2.95" customHeight="1" hidden="1" spans="1:25" s="41" customFormat="1" x14ac:dyDescent="0.25">
      <c r="A36" s="50"/>
      <c r="B36" s="65"/>
      <c r="C36" s="74" t="s">
        <v>17</v>
      </c>
      <c r="D36" s="75"/>
      <c r="E36" s="76"/>
      <c r="F36" s="76"/>
      <c r="G36" s="78"/>
      <c r="H36" s="75"/>
      <c r="I36" s="76"/>
      <c r="J36" s="76"/>
      <c r="K36" s="78"/>
      <c r="L36" s="79"/>
      <c r="M36" s="76"/>
      <c r="N36" s="76"/>
      <c r="O36" s="78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12.95" customHeight="1" hidden="1" spans="1:25" s="41" customFormat="1" x14ac:dyDescent="0.25">
      <c r="A37" s="50"/>
      <c r="B37" s="51"/>
      <c r="C37" s="95" t="s">
        <v>18</v>
      </c>
      <c r="D37" s="53"/>
      <c r="E37" s="54"/>
      <c r="F37" s="54"/>
      <c r="G37" s="56"/>
      <c r="H37" s="53"/>
      <c r="I37" s="54"/>
      <c r="J37" s="54"/>
      <c r="K37" s="56"/>
      <c r="L37" s="57"/>
      <c r="M37" s="54"/>
      <c r="N37" s="54"/>
      <c r="O37" s="56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ht="12.95" customHeight="1" hidden="1" spans="1:25" s="41" customFormat="1" x14ac:dyDescent="0.25">
      <c r="A38" s="104"/>
      <c r="B38" s="58"/>
      <c r="C38" s="66" t="s">
        <v>17</v>
      </c>
      <c r="D38" s="60"/>
      <c r="E38" s="61"/>
      <c r="F38" s="61"/>
      <c r="G38" s="62"/>
      <c r="H38" s="60"/>
      <c r="I38" s="61"/>
      <c r="J38" s="61"/>
      <c r="K38" s="63"/>
      <c r="L38" s="64"/>
      <c r="M38" s="61"/>
      <c r="N38" s="61"/>
      <c r="O38" s="63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2.95" customHeight="1" hidden="1" spans="1:25" s="41" customFormat="1" x14ac:dyDescent="0.25">
      <c r="A39" s="103"/>
      <c r="B39" s="51"/>
      <c r="C39" s="95" t="s">
        <v>18</v>
      </c>
      <c r="D39" s="53"/>
      <c r="E39" s="54"/>
      <c r="F39" s="54"/>
      <c r="G39" s="55"/>
      <c r="H39" s="53"/>
      <c r="I39" s="54"/>
      <c r="J39" s="54"/>
      <c r="K39" s="56"/>
      <c r="L39" s="57"/>
      <c r="M39" s="54"/>
      <c r="N39" s="54"/>
      <c r="O39" s="56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2.95" customHeight="1" hidden="1" spans="1:25" s="41" customFormat="1" x14ac:dyDescent="0.25">
      <c r="A40" s="104"/>
      <c r="B40" s="96"/>
      <c r="C40" s="66" t="s">
        <v>17</v>
      </c>
      <c r="D40" s="60"/>
      <c r="E40" s="61"/>
      <c r="F40" s="61"/>
      <c r="G40" s="62"/>
      <c r="H40" s="60"/>
      <c r="I40" s="61"/>
      <c r="J40" s="61"/>
      <c r="K40" s="63"/>
      <c r="L40" s="64"/>
      <c r="M40" s="61"/>
      <c r="N40" s="61"/>
      <c r="O40" s="63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2.95" customHeight="1" hidden="1" spans="1:25" s="41" customFormat="1" x14ac:dyDescent="0.25">
      <c r="A41" s="103"/>
      <c r="B41" s="51"/>
      <c r="C41" s="95" t="s">
        <v>18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2.95" customHeight="1" hidden="1" spans="1:25" s="41" customFormat="1" x14ac:dyDescent="0.25">
      <c r="A42" s="50"/>
      <c r="B42" s="65"/>
      <c r="C42" s="66" t="s">
        <v>17</v>
      </c>
      <c r="D42" s="60"/>
      <c r="E42" s="61"/>
      <c r="F42" s="61"/>
      <c r="G42" s="62"/>
      <c r="H42" s="60"/>
      <c r="I42" s="61"/>
      <c r="J42" s="61"/>
      <c r="K42" s="63"/>
      <c r="L42" s="64"/>
      <c r="M42" s="61"/>
      <c r="N42" s="61"/>
      <c r="O42" s="63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2.95" customHeight="1" hidden="1" spans="1:25" s="41" customFormat="1" x14ac:dyDescent="0.25">
      <c r="A43" s="103"/>
      <c r="B43" s="51"/>
      <c r="C43" s="95" t="s">
        <v>18</v>
      </c>
      <c r="D43" s="53"/>
      <c r="E43" s="54"/>
      <c r="F43" s="54"/>
      <c r="G43" s="55"/>
      <c r="H43" s="53"/>
      <c r="I43" s="54"/>
      <c r="J43" s="54"/>
      <c r="K43" s="56"/>
      <c r="L43" s="57"/>
      <c r="M43" s="54"/>
      <c r="N43" s="54"/>
      <c r="O43" s="56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2.95" customHeight="1" hidden="1" spans="1:25" s="41" customFormat="1" x14ac:dyDescent="0.25">
      <c r="A44" s="50"/>
      <c r="B44" s="65"/>
      <c r="C44" s="66" t="s">
        <v>17</v>
      </c>
      <c r="D44" s="60"/>
      <c r="E44" s="61"/>
      <c r="F44" s="61"/>
      <c r="G44" s="63"/>
      <c r="H44" s="60"/>
      <c r="I44" s="61"/>
      <c r="J44" s="61"/>
      <c r="K44" s="63"/>
      <c r="L44" s="64"/>
      <c r="M44" s="61"/>
      <c r="N44" s="61"/>
      <c r="O44" s="63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2.95" customHeight="1" hidden="1" spans="1:25" s="41" customFormat="1" x14ac:dyDescent="0.25">
      <c r="A45" s="103"/>
      <c r="B45" s="51"/>
      <c r="C45" s="95" t="s">
        <v>18</v>
      </c>
      <c r="D45" s="53"/>
      <c r="E45" s="54"/>
      <c r="F45" s="54"/>
      <c r="G45" s="56"/>
      <c r="H45" s="53"/>
      <c r="I45" s="54"/>
      <c r="J45" s="54"/>
      <c r="K45" s="56"/>
      <c r="L45" s="57"/>
      <c r="M45" s="54"/>
      <c r="N45" s="54"/>
      <c r="O45" s="56"/>
      <c r="P45" s="41"/>
      <c r="Q45" s="41"/>
      <c r="R45" s="105"/>
      <c r="S45" s="41"/>
      <c r="T45" s="41"/>
      <c r="U45" s="41"/>
      <c r="V45" s="41"/>
      <c r="W45" s="41"/>
      <c r="X45" s="41"/>
      <c r="Y45" s="41"/>
    </row>
    <row r="46" ht="12.95" customHeight="1" hidden="1" spans="1:25" s="41" customFormat="1" x14ac:dyDescent="0.25">
      <c r="A46" s="50"/>
      <c r="B46" s="65"/>
      <c r="C46" s="66" t="s">
        <v>17</v>
      </c>
      <c r="D46" s="60"/>
      <c r="E46" s="61"/>
      <c r="F46" s="61"/>
      <c r="G46" s="63"/>
      <c r="H46" s="60"/>
      <c r="I46" s="61"/>
      <c r="J46" s="61"/>
      <c r="K46" s="63"/>
      <c r="L46" s="64"/>
      <c r="M46" s="61"/>
      <c r="N46" s="61"/>
      <c r="O46" s="63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12.95" customHeight="1" hidden="1" spans="1:25" s="41" customFormat="1" x14ac:dyDescent="0.25">
      <c r="A47" s="103"/>
      <c r="B47" s="51"/>
      <c r="C47" s="95" t="s">
        <v>18</v>
      </c>
      <c r="D47" s="53"/>
      <c r="E47" s="54"/>
      <c r="F47" s="54"/>
      <c r="G47" s="56"/>
      <c r="H47" s="53"/>
      <c r="I47" s="54"/>
      <c r="J47" s="54"/>
      <c r="K47" s="56"/>
      <c r="L47" s="57"/>
      <c r="M47" s="54"/>
      <c r="N47" s="54"/>
      <c r="O47" s="56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12.95" customHeight="1" hidden="1" spans="1:25" s="41" customFormat="1" x14ac:dyDescent="0.25">
      <c r="A48" s="50"/>
      <c r="B48" s="65"/>
      <c r="C48" s="66" t="s">
        <v>17</v>
      </c>
      <c r="D48" s="60"/>
      <c r="E48" s="61"/>
      <c r="F48" s="61"/>
      <c r="G48" s="63"/>
      <c r="H48" s="60"/>
      <c r="I48" s="61"/>
      <c r="J48" s="61"/>
      <c r="K48" s="63"/>
      <c r="L48" s="64"/>
      <c r="M48" s="61"/>
      <c r="N48" s="61"/>
      <c r="O48" s="63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12.95" customHeight="1" hidden="1" spans="1:25" s="41" customFormat="1" x14ac:dyDescent="0.25">
      <c r="A49" s="103"/>
      <c r="B49" s="51"/>
      <c r="C49" s="95" t="s">
        <v>18</v>
      </c>
      <c r="D49" s="53"/>
      <c r="E49" s="54"/>
      <c r="F49" s="54"/>
      <c r="G49" s="56"/>
      <c r="H49" s="53"/>
      <c r="I49" s="54"/>
      <c r="J49" s="54"/>
      <c r="K49" s="56"/>
      <c r="L49" s="57"/>
      <c r="M49" s="54"/>
      <c r="N49" s="54"/>
      <c r="O49" s="56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2.95" customHeight="1" hidden="1" spans="1:25" s="41" customFormat="1" x14ac:dyDescent="0.25">
      <c r="A50" s="50"/>
      <c r="B50" s="65"/>
      <c r="C50" s="74" t="s">
        <v>17</v>
      </c>
      <c r="D50" s="75"/>
      <c r="E50" s="76"/>
      <c r="F50" s="76"/>
      <c r="G50" s="78"/>
      <c r="H50" s="75"/>
      <c r="I50" s="76"/>
      <c r="J50" s="76"/>
      <c r="K50" s="78"/>
      <c r="L50" s="79"/>
      <c r="M50" s="76"/>
      <c r="N50" s="76"/>
      <c r="O50" s="78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12.95" customHeight="1" hidden="1" spans="1:25" s="41" customFormat="1" x14ac:dyDescent="0.25">
      <c r="A51" s="50"/>
      <c r="B51" s="51"/>
      <c r="C51" s="95" t="s">
        <v>18</v>
      </c>
      <c r="D51" s="53"/>
      <c r="E51" s="54"/>
      <c r="F51" s="54"/>
      <c r="G51" s="56"/>
      <c r="H51" s="53"/>
      <c r="I51" s="54"/>
      <c r="J51" s="54"/>
      <c r="K51" s="56"/>
      <c r="L51" s="57"/>
      <c r="M51" s="54"/>
      <c r="N51" s="54"/>
      <c r="O51" s="56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15" customHeight="1" hidden="1" spans="1:25" s="41" customFormat="1" x14ac:dyDescent="0.25">
      <c r="A52" s="104"/>
      <c r="B52" s="58"/>
      <c r="C52" s="66" t="s">
        <v>17</v>
      </c>
      <c r="D52" s="60"/>
      <c r="E52" s="61"/>
      <c r="F52" s="61"/>
      <c r="G52" s="62"/>
      <c r="H52" s="60"/>
      <c r="I52" s="61"/>
      <c r="J52" s="61"/>
      <c r="K52" s="63"/>
      <c r="L52" s="64"/>
      <c r="M52" s="61"/>
      <c r="N52" s="61"/>
      <c r="O52" s="63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15" customHeight="1" hidden="1" spans="1:25" s="41" customFormat="1" x14ac:dyDescent="0.25">
      <c r="A53" s="103"/>
      <c r="B53" s="51"/>
      <c r="C53" s="95" t="s">
        <v>18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15" customHeight="1" hidden="1" spans="1:25" s="41" customFormat="1" x14ac:dyDescent="0.25">
      <c r="A54" s="104"/>
      <c r="B54" s="96"/>
      <c r="C54" s="66" t="s">
        <v>17</v>
      </c>
      <c r="D54" s="60"/>
      <c r="E54" s="61"/>
      <c r="F54" s="61"/>
      <c r="G54" s="62"/>
      <c r="H54" s="60"/>
      <c r="I54" s="61"/>
      <c r="J54" s="61"/>
      <c r="K54" s="63"/>
      <c r="L54" s="64"/>
      <c r="M54" s="61"/>
      <c r="N54" s="61"/>
      <c r="O54" s="63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15" customHeight="1" hidden="1" spans="1:25" s="41" customFormat="1" x14ac:dyDescent="0.25">
      <c r="A55" s="103"/>
      <c r="B55" s="51"/>
      <c r="C55" s="95" t="s">
        <v>18</v>
      </c>
      <c r="D55" s="53"/>
      <c r="E55" s="54"/>
      <c r="F55" s="54"/>
      <c r="G55" s="55"/>
      <c r="H55" s="53"/>
      <c r="I55" s="54"/>
      <c r="J55" s="54"/>
      <c r="K55" s="56"/>
      <c r="L55" s="57"/>
      <c r="M55" s="54"/>
      <c r="N55" s="54"/>
      <c r="O55" s="56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15" customHeight="1" hidden="1" spans="1:25" s="41" customFormat="1" x14ac:dyDescent="0.25">
      <c r="A56" s="50"/>
      <c r="B56" s="65"/>
      <c r="C56" s="66" t="s">
        <v>17</v>
      </c>
      <c r="D56" s="60"/>
      <c r="E56" s="61"/>
      <c r="F56" s="61"/>
      <c r="G56" s="62"/>
      <c r="H56" s="60"/>
      <c r="I56" s="61"/>
      <c r="J56" s="61"/>
      <c r="K56" s="63"/>
      <c r="L56" s="64"/>
      <c r="M56" s="61"/>
      <c r="N56" s="61"/>
      <c r="O56" s="63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15" customHeight="1" hidden="1" spans="1:25" s="41" customFormat="1" x14ac:dyDescent="0.25">
      <c r="A57" s="103"/>
      <c r="B57" s="51"/>
      <c r="C57" s="95" t="s">
        <v>18</v>
      </c>
      <c r="D57" s="53"/>
      <c r="E57" s="54"/>
      <c r="F57" s="54"/>
      <c r="G57" s="55"/>
      <c r="H57" s="53"/>
      <c r="I57" s="54"/>
      <c r="J57" s="54"/>
      <c r="K57" s="56"/>
      <c r="L57" s="57"/>
      <c r="M57" s="54"/>
      <c r="N57" s="54"/>
      <c r="O57" s="56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15" customHeight="1" spans="1:25" s="41" customFormat="1" x14ac:dyDescent="0.25">
      <c r="A58" s="50"/>
      <c r="B58" s="65"/>
      <c r="C58" s="66" t="s">
        <v>17</v>
      </c>
      <c r="D58" s="60"/>
      <c r="E58" s="61"/>
      <c r="F58" s="61"/>
      <c r="G58" s="63"/>
      <c r="H58" s="60"/>
      <c r="I58" s="61"/>
      <c r="J58" s="61"/>
      <c r="K58" s="63"/>
      <c r="L58" s="64"/>
      <c r="M58" s="61"/>
      <c r="N58" s="61"/>
      <c r="O58" s="63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15" customHeight="1" spans="1:25" s="41" customFormat="1" x14ac:dyDescent="0.25">
      <c r="A59" s="103"/>
      <c r="B59" s="51"/>
      <c r="C59" s="95" t="s">
        <v>18</v>
      </c>
      <c r="D59" s="53"/>
      <c r="E59" s="54"/>
      <c r="F59" s="54"/>
      <c r="G59" s="56"/>
      <c r="H59" s="53"/>
      <c r="I59" s="54"/>
      <c r="J59" s="54"/>
      <c r="K59" s="56"/>
      <c r="L59" s="57"/>
      <c r="M59" s="54"/>
      <c r="N59" s="54"/>
      <c r="O59" s="56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15" customHeight="1" spans="1:25" s="41" customFormat="1" x14ac:dyDescent="0.25">
      <c r="A60" s="50"/>
      <c r="B60" s="65"/>
      <c r="C60" s="66" t="s">
        <v>17</v>
      </c>
      <c r="D60" s="60"/>
      <c r="E60" s="61"/>
      <c r="F60" s="61"/>
      <c r="G60" s="63"/>
      <c r="H60" s="60"/>
      <c r="I60" s="61"/>
      <c r="J60" s="61"/>
      <c r="K60" s="63"/>
      <c r="L60" s="64"/>
      <c r="M60" s="61"/>
      <c r="N60" s="61"/>
      <c r="O60" s="63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5" customHeight="1" spans="1:25" s="41" customFormat="1" x14ac:dyDescent="0.25">
      <c r="A61" s="103"/>
      <c r="B61" s="51"/>
      <c r="C61" s="95" t="s">
        <v>18</v>
      </c>
      <c r="D61" s="53"/>
      <c r="E61" s="54"/>
      <c r="F61" s="54"/>
      <c r="G61" s="56"/>
      <c r="H61" s="53"/>
      <c r="I61" s="54"/>
      <c r="J61" s="54"/>
      <c r="K61" s="56"/>
      <c r="L61" s="57"/>
      <c r="M61" s="54"/>
      <c r="N61" s="54"/>
      <c r="O61" s="56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5" customHeight="1" spans="1:25" s="41" customFormat="1" x14ac:dyDescent="0.25">
      <c r="A62" s="50"/>
      <c r="B62" s="65"/>
      <c r="C62" s="66" t="s">
        <v>17</v>
      </c>
      <c r="D62" s="60"/>
      <c r="E62" s="61"/>
      <c r="F62" s="61"/>
      <c r="G62" s="63"/>
      <c r="H62" s="60"/>
      <c r="I62" s="61"/>
      <c r="J62" s="61"/>
      <c r="K62" s="63"/>
      <c r="L62" s="64"/>
      <c r="M62" s="61"/>
      <c r="N62" s="61"/>
      <c r="O62" s="63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5" customHeight="1" spans="1:25" s="41" customFormat="1" x14ac:dyDescent="0.25">
      <c r="A63" s="103"/>
      <c r="B63" s="51"/>
      <c r="C63" s="95" t="s">
        <v>18</v>
      </c>
      <c r="D63" s="53"/>
      <c r="E63" s="54"/>
      <c r="F63" s="54"/>
      <c r="G63" s="56"/>
      <c r="H63" s="53"/>
      <c r="I63" s="54"/>
      <c r="J63" s="54"/>
      <c r="K63" s="56"/>
      <c r="L63" s="57"/>
      <c r="M63" s="54"/>
      <c r="N63" s="54"/>
      <c r="O63" s="56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5" customHeight="1" spans="1:25" s="41" customFormat="1" x14ac:dyDescent="0.25">
      <c r="A64" s="50"/>
      <c r="B64" s="65"/>
      <c r="C64" s="74" t="s">
        <v>17</v>
      </c>
      <c r="D64" s="75"/>
      <c r="E64" s="76"/>
      <c r="F64" s="76"/>
      <c r="G64" s="78"/>
      <c r="H64" s="75"/>
      <c r="I64" s="76"/>
      <c r="J64" s="76"/>
      <c r="K64" s="78"/>
      <c r="L64" s="79"/>
      <c r="M64" s="76"/>
      <c r="N64" s="76"/>
      <c r="O64" s="78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5" customHeight="1" spans="1:25" s="41" customFormat="1" x14ac:dyDescent="0.25">
      <c r="A65" s="50"/>
      <c r="B65" s="51"/>
      <c r="C65" s="95" t="s">
        <v>18</v>
      </c>
      <c r="D65" s="53"/>
      <c r="E65" s="54"/>
      <c r="F65" s="54"/>
      <c r="G65" s="56"/>
      <c r="H65" s="53"/>
      <c r="I65" s="54"/>
      <c r="J65" s="54"/>
      <c r="K65" s="56"/>
      <c r="L65" s="57"/>
      <c r="M65" s="54"/>
      <c r="N65" s="54"/>
      <c r="O65" s="5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5" customHeight="1" spans="1:25" s="41" customFormat="1" x14ac:dyDescent="0.25">
      <c r="A66" s="104"/>
      <c r="B66" s="58"/>
      <c r="C66" s="66" t="s">
        <v>17</v>
      </c>
      <c r="D66" s="60"/>
      <c r="E66" s="61"/>
      <c r="F66" s="61"/>
      <c r="G66" s="62"/>
      <c r="H66" s="60"/>
      <c r="I66" s="61"/>
      <c r="J66" s="61"/>
      <c r="K66" s="63"/>
      <c r="L66" s="64"/>
      <c r="M66" s="61"/>
      <c r="N66" s="61"/>
      <c r="O66" s="63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5" customHeight="1" spans="1:25" s="41" customFormat="1" x14ac:dyDescent="0.25">
      <c r="A67" s="103"/>
      <c r="B67" s="51"/>
      <c r="C67" s="95" t="s">
        <v>18</v>
      </c>
      <c r="D67" s="53"/>
      <c r="E67" s="54"/>
      <c r="F67" s="54"/>
      <c r="G67" s="55"/>
      <c r="H67" s="53"/>
      <c r="I67" s="54"/>
      <c r="J67" s="54"/>
      <c r="K67" s="56"/>
      <c r="L67" s="57"/>
      <c r="M67" s="54"/>
      <c r="N67" s="54"/>
      <c r="O67" s="56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5" customHeight="1" spans="1:25" s="41" customFormat="1" x14ac:dyDescent="0.25">
      <c r="A68" s="50"/>
      <c r="B68" s="58"/>
      <c r="C68" s="66" t="s">
        <v>17</v>
      </c>
      <c r="D68" s="60"/>
      <c r="E68" s="61"/>
      <c r="F68" s="61"/>
      <c r="G68" s="62"/>
      <c r="H68" s="60"/>
      <c r="I68" s="61"/>
      <c r="J68" s="61"/>
      <c r="K68" s="63"/>
      <c r="L68" s="64"/>
      <c r="M68" s="61"/>
      <c r="N68" s="61"/>
      <c r="O68" s="63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5" customHeight="1" spans="1:25" s="41" customFormat="1" x14ac:dyDescent="0.25">
      <c r="A69" s="106"/>
      <c r="B69" s="107"/>
      <c r="C69" s="108" t="s">
        <v>18</v>
      </c>
      <c r="D69" s="109"/>
      <c r="E69" s="33"/>
      <c r="F69" s="33"/>
      <c r="G69" s="110"/>
      <c r="H69" s="109"/>
      <c r="I69" s="33"/>
      <c r="J69" s="33"/>
      <c r="K69" s="111"/>
      <c r="L69" s="112"/>
      <c r="M69" s="33"/>
      <c r="N69" s="33"/>
      <c r="O69" s="11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5" customHeight="1" spans="1:25" s="41" customFormat="1" x14ac:dyDescent="0.25">
      <c r="A70" s="113" t="s">
        <v>19</v>
      </c>
      <c r="B70" s="114"/>
      <c r="C70" s="115"/>
      <c r="D70" s="116">
        <f>SUM(D10,D12,D14,D16,D18,D20,D22,D24,D26,D28,D30,D32,D34,D36,D38,D40,D42,D44,D46,D48,D50,D52,D54,D56,D58,D60,D62,D64,D66,D68)</f>
        <v>155</v>
      </c>
      <c r="E70" s="117">
        <f t="shared" ref="E70:O70" si="0">SUM(E10,E12,E14,E16,E18,E20,E22,E24,E26,E28,E30,E32,E34,E36,E38,E40,E42,E44,E46,E48,E50,E52,E54,E56,E58,E60,E62,E64,E66,E68)</f>
        <v>0</v>
      </c>
      <c r="F70" s="117">
        <f t="shared" si="0"/>
        <v>96</v>
      </c>
      <c r="G70" s="118">
        <f t="shared" si="0"/>
        <v>0</v>
      </c>
      <c r="H70" s="116">
        <f t="shared" si="0"/>
        <v>0</v>
      </c>
      <c r="I70" s="117">
        <f t="shared" si="0"/>
        <v>0</v>
      </c>
      <c r="J70" s="117">
        <f t="shared" si="0"/>
        <v>0</v>
      </c>
      <c r="K70" s="119">
        <f t="shared" si="0"/>
        <v>0</v>
      </c>
      <c r="L70" s="120">
        <f t="shared" si="0"/>
        <v>0</v>
      </c>
      <c r="M70" s="117">
        <f t="shared" si="0"/>
        <v>0</v>
      </c>
      <c r="N70" s="117">
        <f t="shared" si="0"/>
        <v>0</v>
      </c>
      <c r="O70" s="119">
        <f t="shared" si="0"/>
        <v>0</v>
      </c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5" customHeight="1" spans="1:25" s="41" customFormat="1" x14ac:dyDescent="0.25">
      <c r="A71" s="121"/>
      <c r="B71" s="122"/>
      <c r="C71" s="123"/>
      <c r="D71" s="124">
        <f>SUM(D11,D13,D15,D17,D19,D21,D23,D25,D27,D29,D31,D33,D35,D37,D39,D41,D43,D45,D47,D49,D51,D53,D55,D57,D59,D61,D63,D65,D67,D69)</f>
        <v>0</v>
      </c>
      <c r="E71" s="125">
        <f t="shared" ref="E71:O71" si="1">SUM(E11,E13,E15,E17,E19,E21,E23,E25,E27,E29,E31,E33,E35,E37,E39,E41,E43,E45,E47,E49,E51,E53,E55,E57,E59,E61,E63,E65,E67,E69)</f>
        <v>0</v>
      </c>
      <c r="F71" s="125">
        <f t="shared" si="1"/>
        <v>0</v>
      </c>
      <c r="G71" s="126">
        <f t="shared" si="1"/>
        <v>0</v>
      </c>
      <c r="H71" s="124">
        <f t="shared" si="1"/>
        <v>0</v>
      </c>
      <c r="I71" s="125">
        <f t="shared" si="1"/>
        <v>0</v>
      </c>
      <c r="J71" s="125">
        <f t="shared" si="1"/>
        <v>0</v>
      </c>
      <c r="K71" s="127">
        <f t="shared" si="1"/>
        <v>0</v>
      </c>
      <c r="L71" s="128">
        <f t="shared" si="1"/>
        <v>0</v>
      </c>
      <c r="M71" s="125">
        <f t="shared" si="1"/>
        <v>0</v>
      </c>
      <c r="N71" s="125">
        <f t="shared" si="1"/>
        <v>0</v>
      </c>
      <c r="O71" s="127">
        <f t="shared" si="1"/>
        <v>0</v>
      </c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9.75" customHeight="1" spans="1:25" x14ac:dyDescent="0.25">
      <c r="A72" s="129"/>
      <c r="B72" s="129"/>
      <c r="C72" s="105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" customHeight="1" spans="1:25" x14ac:dyDescent="0.25">
      <c r="A73" s="131" t="s">
        <v>20</v>
      </c>
      <c r="B73" s="132"/>
      <c r="C73" s="132"/>
      <c r="D73" s="132"/>
      <c r="E73" s="132"/>
      <c r="F73" s="132"/>
      <c r="G73" s="133"/>
      <c r="H73" s="134" t="s">
        <v>21</v>
      </c>
      <c r="I73" s="135"/>
      <c r="J73" s="135"/>
      <c r="K73" s="135"/>
      <c r="L73" s="135"/>
      <c r="M73" s="135"/>
      <c r="N73" s="135"/>
      <c r="O73" s="136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" customHeight="1" spans="1:25" x14ac:dyDescent="0.25">
      <c r="A74" s="137"/>
      <c r="B74" s="138"/>
      <c r="C74" s="138"/>
      <c r="D74" s="138"/>
      <c r="E74" s="138"/>
      <c r="F74" s="138"/>
      <c r="G74" s="139"/>
      <c r="H74" s="140"/>
      <c r="I74" s="141"/>
      <c r="J74" s="141"/>
      <c r="K74" s="141"/>
      <c r="L74" s="141"/>
      <c r="M74" s="141"/>
      <c r="N74" s="141"/>
      <c r="O74" s="142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" customHeight="1" spans="1:25" x14ac:dyDescent="0.25">
      <c r="A75" s="137"/>
      <c r="B75" s="138"/>
      <c r="C75" s="138"/>
      <c r="D75" s="138"/>
      <c r="E75" s="138"/>
      <c r="F75" s="138"/>
      <c r="G75" s="139"/>
      <c r="H75" s="137"/>
      <c r="I75" s="138"/>
      <c r="J75" s="138"/>
      <c r="K75" s="138"/>
      <c r="L75" s="138"/>
      <c r="M75" s="138"/>
      <c r="N75" s="138"/>
      <c r="O75" s="139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137"/>
      <c r="B76" s="138"/>
      <c r="C76" s="138"/>
      <c r="D76" s="138"/>
      <c r="E76" s="138"/>
      <c r="F76" s="138"/>
      <c r="G76" s="139"/>
      <c r="H76" s="143"/>
      <c r="I76" s="144"/>
      <c r="J76" s="144"/>
      <c r="K76" s="144"/>
      <c r="L76" s="144"/>
      <c r="M76" s="144"/>
      <c r="N76" s="144"/>
      <c r="O76" s="145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7"/>
      <c r="B77" s="138"/>
      <c r="C77" s="138"/>
      <c r="D77" s="138"/>
      <c r="E77" s="138"/>
      <c r="F77" s="138"/>
      <c r="G77" s="139"/>
      <c r="H77" s="137"/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37"/>
      <c r="B78" s="138"/>
      <c r="C78" s="138"/>
      <c r="D78" s="138"/>
      <c r="E78" s="138"/>
      <c r="F78" s="138"/>
      <c r="G78" s="139"/>
      <c r="H78" s="137"/>
      <c r="I78" s="138"/>
      <c r="J78" s="138"/>
      <c r="K78" s="138"/>
      <c r="L78" s="138"/>
      <c r="M78" s="138"/>
      <c r="N78" s="138"/>
      <c r="O78" s="139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6"/>
      <c r="B80" s="147"/>
      <c r="C80" s="147"/>
      <c r="D80" s="147"/>
      <c r="E80" s="147"/>
      <c r="F80" s="147"/>
      <c r="G80" s="148"/>
      <c r="H80" s="146"/>
      <c r="I80" s="147"/>
      <c r="J80" s="147"/>
      <c r="K80" s="147"/>
      <c r="L80" s="147"/>
      <c r="M80" s="147"/>
      <c r="N80" s="147"/>
      <c r="O80" s="14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7.1" customHeight="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7.1" customHeight="1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7.1" customHeight="1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49"/>
      <c r="B85" s="149"/>
      <c r="C85" s="149"/>
      <c r="D85" s="150"/>
      <c r="E85" s="1"/>
      <c r="F85" s="1"/>
      <c r="G85" s="1"/>
      <c r="H85" s="1"/>
      <c r="I85" s="1"/>
      <c r="J85" s="149"/>
      <c r="K85" s="149"/>
      <c r="L85" s="149"/>
      <c r="M85" s="149"/>
      <c r="N85" s="149"/>
      <c r="O85" s="149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 spans="1:25" x14ac:dyDescent="0.25">
      <c r="A86" s="151" t="s">
        <v>22</v>
      </c>
      <c r="B86" s="151"/>
      <c r="C86" s="151"/>
      <c r="D86" s="151"/>
      <c r="E86" s="41"/>
      <c r="F86" s="41"/>
      <c r="G86" s="41"/>
      <c r="H86" s="41"/>
      <c r="I86" s="3"/>
      <c r="J86" s="3"/>
      <c r="K86" s="151" t="s">
        <v>23</v>
      </c>
      <c r="L86" s="151"/>
      <c r="M86" s="151"/>
      <c r="N86" s="151"/>
      <c r="O86" s="15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K86:O86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4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09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6" width="2.6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3" t="s">
        <v>160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</row>
    <row r="2" ht="12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205" t="s">
        <v>161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</row>
    <row r="5" ht="6" customHeight="1" spans="1:36" x14ac:dyDescent="0.25">
      <c r="A5" s="364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</row>
    <row r="6" spans="1:36" s="17" customFormat="1" x14ac:dyDescent="0.25">
      <c r="A6" s="258" t="s">
        <v>162</v>
      </c>
      <c r="B6" s="258"/>
      <c r="C6" s="258"/>
      <c r="D6" s="258" t="s">
        <v>38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 t="s">
        <v>4</v>
      </c>
      <c r="P6" s="41"/>
      <c r="Q6" s="41"/>
      <c r="R6" s="105" t="s">
        <v>163</v>
      </c>
      <c r="S6" s="105"/>
      <c r="T6" s="105"/>
      <c r="U6" s="105"/>
      <c r="V6" s="105"/>
      <c r="W6" s="105"/>
      <c r="X6" s="41"/>
      <c r="Y6" s="105" t="s">
        <v>5</v>
      </c>
      <c r="Z6" s="105"/>
      <c r="AA6" s="105"/>
      <c r="AB6" s="365">
        <v>46229</v>
      </c>
      <c r="AC6" s="366"/>
      <c r="AD6" s="366"/>
      <c r="AE6" s="366"/>
      <c r="AF6" s="366"/>
      <c r="AG6" s="366"/>
      <c r="AH6" s="366"/>
      <c r="AI6" s="366"/>
      <c r="AJ6" s="366"/>
    </row>
    <row r="7" ht="6" customHeight="1" spans="1:36" s="17" customFormat="1" x14ac:dyDescent="0.25">
      <c r="A7" s="367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  <c r="Z7" s="367"/>
      <c r="AA7" s="367"/>
      <c r="AB7" s="367"/>
      <c r="AC7" s="367"/>
      <c r="AD7" s="367"/>
      <c r="AE7" s="367"/>
      <c r="AF7" s="367"/>
      <c r="AG7" s="367"/>
      <c r="AH7" s="367"/>
      <c r="AI7" s="367"/>
      <c r="AJ7" s="367"/>
    </row>
    <row r="8" spans="1:36" s="17" customFormat="1" x14ac:dyDescent="0.25">
      <c r="A8" s="367" t="s">
        <v>164</v>
      </c>
      <c r="B8" s="367"/>
      <c r="C8" s="367"/>
      <c r="D8" s="368" t="s">
        <v>65</v>
      </c>
      <c r="E8" s="368"/>
      <c r="F8" s="368"/>
      <c r="G8" s="368"/>
      <c r="H8" s="368"/>
      <c r="I8" s="368"/>
      <c r="J8" s="369"/>
      <c r="K8" s="369"/>
      <c r="L8" s="41"/>
      <c r="M8" s="41"/>
      <c r="N8" s="41"/>
      <c r="O8" s="368" t="s">
        <v>7</v>
      </c>
      <c r="P8" s="369"/>
      <c r="Q8" s="369"/>
      <c r="R8" s="367">
        <v>16</v>
      </c>
      <c r="S8" s="367"/>
      <c r="T8" s="367"/>
      <c r="U8" s="367"/>
      <c r="V8" s="367"/>
      <c r="W8" s="367"/>
      <c r="X8" s="369"/>
      <c r="Y8" s="367" t="s">
        <v>165</v>
      </c>
      <c r="Z8" s="367"/>
      <c r="AA8" s="367"/>
      <c r="AB8" s="367" t="s">
        <v>25</v>
      </c>
      <c r="AC8" s="367"/>
      <c r="AD8" s="367"/>
      <c r="AE8" s="367"/>
      <c r="AF8" s="367"/>
      <c r="AG8" s="367"/>
      <c r="AH8" s="367"/>
      <c r="AI8" s="367"/>
      <c r="AJ8" s="367"/>
    </row>
    <row r="9" ht="4.5" customHeight="1" spans="1:36" x14ac:dyDescent="0.25">
      <c r="A9" s="370"/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0"/>
      <c r="AJ9" s="370"/>
    </row>
    <row r="10" ht="17.1" customHeight="1" spans="1:36" s="41" customFormat="1" x14ac:dyDescent="0.25">
      <c r="A10" s="371" t="s">
        <v>166</v>
      </c>
      <c r="B10" s="372"/>
      <c r="C10" s="372"/>
      <c r="D10" s="372"/>
      <c r="E10" s="372"/>
      <c r="F10" s="372"/>
      <c r="G10" s="372"/>
      <c r="H10" s="302" t="s">
        <v>87</v>
      </c>
      <c r="I10" s="29"/>
      <c r="J10" s="29"/>
      <c r="K10" s="29"/>
      <c r="L10" s="29"/>
      <c r="M10" s="29"/>
      <c r="N10" s="29"/>
      <c r="O10" s="31"/>
      <c r="P10" s="302" t="s">
        <v>86</v>
      </c>
      <c r="Q10" s="29"/>
      <c r="R10" s="29"/>
      <c r="S10" s="29"/>
      <c r="T10" s="29"/>
      <c r="U10" s="29"/>
      <c r="V10" s="29"/>
      <c r="W10" s="31"/>
      <c r="X10" s="28" t="s">
        <v>89</v>
      </c>
      <c r="Y10" s="29"/>
      <c r="Z10" s="31"/>
      <c r="AA10" s="28" t="s">
        <v>52</v>
      </c>
      <c r="AB10" s="29"/>
      <c r="AC10" s="29"/>
      <c r="AD10" s="29"/>
      <c r="AE10" s="29"/>
      <c r="AF10" s="29"/>
      <c r="AG10" s="29"/>
      <c r="AH10" s="29"/>
      <c r="AI10" s="29"/>
      <c r="AJ10" s="31"/>
    </row>
    <row r="11" ht="17.1" customHeight="1" spans="1:36" s="41" customFormat="1" x14ac:dyDescent="0.25">
      <c r="A11" s="373" t="s">
        <v>167</v>
      </c>
      <c r="B11" s="374"/>
      <c r="C11" s="374"/>
      <c r="D11" s="374"/>
      <c r="E11" s="374"/>
      <c r="F11" s="374"/>
      <c r="G11" s="374"/>
      <c r="H11" s="38" t="s">
        <v>13</v>
      </c>
      <c r="I11" s="36"/>
      <c r="J11" s="36" t="s">
        <v>14</v>
      </c>
      <c r="K11" s="36"/>
      <c r="L11" s="36" t="s">
        <v>168</v>
      </c>
      <c r="M11" s="36"/>
      <c r="N11" s="36" t="s">
        <v>16</v>
      </c>
      <c r="O11" s="375"/>
      <c r="P11" s="38" t="s">
        <v>13</v>
      </c>
      <c r="Q11" s="36"/>
      <c r="R11" s="36" t="s">
        <v>14</v>
      </c>
      <c r="S11" s="36"/>
      <c r="T11" s="36" t="s">
        <v>168</v>
      </c>
      <c r="U11" s="36"/>
      <c r="V11" s="36" t="s">
        <v>16</v>
      </c>
      <c r="W11" s="375"/>
      <c r="X11" s="40"/>
      <c r="Y11" s="36"/>
      <c r="Z11" s="375"/>
      <c r="AA11" s="40"/>
      <c r="AB11" s="36"/>
      <c r="AC11" s="36"/>
      <c r="AD11" s="36"/>
      <c r="AE11" s="36"/>
      <c r="AF11" s="36"/>
      <c r="AG11" s="36"/>
      <c r="AH11" s="36"/>
      <c r="AI11" s="36"/>
      <c r="AJ11" s="375"/>
    </row>
    <row r="12" ht="17.1" customHeight="1" spans="1:36" s="41" customFormat="1" x14ac:dyDescent="0.25">
      <c r="A12" s="376" t="s">
        <v>169</v>
      </c>
      <c r="B12" s="377"/>
      <c r="C12" s="377"/>
      <c r="D12" s="218"/>
      <c r="E12" s="267"/>
      <c r="F12" s="267"/>
      <c r="G12" s="378"/>
      <c r="H12" s="379"/>
      <c r="I12" s="380"/>
      <c r="J12" s="381"/>
      <c r="K12" s="382"/>
      <c r="L12" s="383"/>
      <c r="M12" s="384"/>
      <c r="N12" s="383"/>
      <c r="O12" s="384"/>
      <c r="P12" s="379"/>
      <c r="Q12" s="380"/>
      <c r="R12" s="385"/>
      <c r="S12" s="386"/>
      <c r="T12" s="385"/>
      <c r="U12" s="386"/>
      <c r="V12" s="385"/>
      <c r="W12" s="387"/>
      <c r="X12" s="388">
        <f t="shared" ref="X12:X18" si="0">SUM(H12:W12)</f>
        <v>251</v>
      </c>
      <c r="Y12" s="381"/>
      <c r="Z12" s="389"/>
      <c r="AA12" s="390" t="s">
        <v>170</v>
      </c>
      <c r="AB12" s="391"/>
      <c r="AC12" s="391"/>
      <c r="AD12" s="391"/>
      <c r="AE12" s="391"/>
      <c r="AF12" s="391"/>
      <c r="AG12" s="391"/>
      <c r="AH12" s="391"/>
      <c r="AI12" s="391"/>
      <c r="AJ12" s="392"/>
    </row>
    <row r="13" ht="17.1" customHeight="1" spans="1:36" s="41" customFormat="1" x14ac:dyDescent="0.25">
      <c r="A13" s="393"/>
      <c r="B13" s="394"/>
      <c r="C13" s="394"/>
      <c r="D13" s="226"/>
      <c r="E13" s="272"/>
      <c r="F13" s="272"/>
      <c r="G13" s="395"/>
      <c r="H13" s="379"/>
      <c r="I13" s="380"/>
      <c r="J13" s="396"/>
      <c r="K13" s="397"/>
      <c r="L13" s="396"/>
      <c r="M13" s="397"/>
      <c r="N13" s="396"/>
      <c r="O13" s="397"/>
      <c r="P13" s="379"/>
      <c r="Q13" s="380"/>
      <c r="R13" s="398"/>
      <c r="S13" s="384"/>
      <c r="T13" s="398"/>
      <c r="U13" s="384"/>
      <c r="V13" s="398"/>
      <c r="W13" s="380"/>
      <c r="X13" s="399">
        <f t="shared" si="0"/>
        <v>0</v>
      </c>
      <c r="Y13" s="396"/>
      <c r="Z13" s="400"/>
      <c r="AA13" s="401"/>
      <c r="AB13" s="402"/>
      <c r="AC13" s="402"/>
      <c r="AD13" s="402"/>
      <c r="AE13" s="402"/>
      <c r="AF13" s="402"/>
      <c r="AG13" s="402"/>
      <c r="AH13" s="402"/>
      <c r="AI13" s="402"/>
      <c r="AJ13" s="403"/>
    </row>
    <row r="14" ht="17.1" customHeight="1" spans="1:36" s="41" customFormat="1" x14ac:dyDescent="0.25">
      <c r="A14" s="393"/>
      <c r="B14" s="394"/>
      <c r="C14" s="394"/>
      <c r="D14" s="226"/>
      <c r="E14" s="272"/>
      <c r="F14" s="272"/>
      <c r="G14" s="395"/>
      <c r="H14" s="379"/>
      <c r="I14" s="380"/>
      <c r="J14" s="398"/>
      <c r="K14" s="384"/>
      <c r="L14" s="383"/>
      <c r="M14" s="384"/>
      <c r="N14" s="383"/>
      <c r="O14" s="384"/>
      <c r="P14" s="379"/>
      <c r="Q14" s="380"/>
      <c r="R14" s="396"/>
      <c r="S14" s="397"/>
      <c r="T14" s="383"/>
      <c r="U14" s="384"/>
      <c r="V14" s="383"/>
      <c r="W14" s="380"/>
      <c r="X14" s="404">
        <f t="shared" si="0"/>
        <v>0</v>
      </c>
      <c r="Y14" s="405"/>
      <c r="Z14" s="406"/>
      <c r="AA14" s="401"/>
      <c r="AB14" s="402"/>
      <c r="AC14" s="402"/>
      <c r="AD14" s="402"/>
      <c r="AE14" s="402"/>
      <c r="AF14" s="402"/>
      <c r="AG14" s="402"/>
      <c r="AH14" s="402"/>
      <c r="AI14" s="402"/>
      <c r="AJ14" s="403"/>
    </row>
    <row r="15" ht="17.1" customHeight="1" spans="1:36" s="41" customFormat="1" x14ac:dyDescent="0.25">
      <c r="A15" s="393"/>
      <c r="B15" s="394"/>
      <c r="C15" s="394"/>
      <c r="D15" s="226"/>
      <c r="E15" s="272"/>
      <c r="F15" s="272"/>
      <c r="G15" s="395"/>
      <c r="H15" s="379"/>
      <c r="I15" s="380"/>
      <c r="J15" s="398"/>
      <c r="K15" s="384"/>
      <c r="L15" s="383"/>
      <c r="M15" s="384"/>
      <c r="N15" s="383"/>
      <c r="O15" s="384"/>
      <c r="P15" s="379"/>
      <c r="Q15" s="380"/>
      <c r="R15" s="396"/>
      <c r="S15" s="397"/>
      <c r="T15" s="383"/>
      <c r="U15" s="384"/>
      <c r="V15" s="383"/>
      <c r="W15" s="380"/>
      <c r="X15" s="404">
        <f t="shared" si="0"/>
        <v>0</v>
      </c>
      <c r="Y15" s="405"/>
      <c r="Z15" s="406"/>
      <c r="AA15" s="401"/>
      <c r="AB15" s="402"/>
      <c r="AC15" s="402"/>
      <c r="AD15" s="402"/>
      <c r="AE15" s="402"/>
      <c r="AF15" s="402"/>
      <c r="AG15" s="402"/>
      <c r="AH15" s="402"/>
      <c r="AI15" s="402"/>
      <c r="AJ15" s="403"/>
    </row>
    <row r="16" ht="17.1" customHeight="1" spans="1:36" s="41" customFormat="1" x14ac:dyDescent="0.25">
      <c r="A16" s="393"/>
      <c r="B16" s="394"/>
      <c r="C16" s="394"/>
      <c r="D16" s="226"/>
      <c r="E16" s="272"/>
      <c r="F16" s="272"/>
      <c r="G16" s="395"/>
      <c r="H16" s="404"/>
      <c r="I16" s="407"/>
      <c r="J16" s="408"/>
      <c r="K16" s="407"/>
      <c r="L16" s="408"/>
      <c r="M16" s="407"/>
      <c r="N16" s="408"/>
      <c r="O16" s="409"/>
      <c r="P16" s="404"/>
      <c r="Q16" s="407"/>
      <c r="R16" s="408"/>
      <c r="S16" s="407"/>
      <c r="T16" s="408"/>
      <c r="U16" s="407"/>
      <c r="V16" s="408"/>
      <c r="W16" s="409"/>
      <c r="X16" s="404">
        <f t="shared" ref="X16" si="1">SUM(H16:W16)</f>
        <v>0</v>
      </c>
      <c r="Y16" s="405"/>
      <c r="Z16" s="406"/>
      <c r="AA16" s="401"/>
      <c r="AB16" s="402"/>
      <c r="AC16" s="402"/>
      <c r="AD16" s="402"/>
      <c r="AE16" s="402"/>
      <c r="AF16" s="402"/>
      <c r="AG16" s="402"/>
      <c r="AH16" s="402"/>
      <c r="AI16" s="402"/>
      <c r="AJ16" s="403"/>
    </row>
    <row r="17" ht="17.1" customHeight="1" spans="1:36" s="41" customFormat="1" x14ac:dyDescent="0.25">
      <c r="A17" s="393"/>
      <c r="B17" s="394"/>
      <c r="C17" s="394"/>
      <c r="D17" s="226"/>
      <c r="E17" s="272"/>
      <c r="F17" s="272"/>
      <c r="G17" s="395"/>
      <c r="H17" s="404"/>
      <c r="I17" s="407"/>
      <c r="J17" s="408"/>
      <c r="K17" s="407"/>
      <c r="L17" s="408"/>
      <c r="M17" s="407"/>
      <c r="N17" s="408"/>
      <c r="O17" s="409"/>
      <c r="P17" s="404"/>
      <c r="Q17" s="407"/>
      <c r="R17" s="408"/>
      <c r="S17" s="407"/>
      <c r="T17" s="408"/>
      <c r="U17" s="407"/>
      <c r="V17" s="408"/>
      <c r="W17" s="409"/>
      <c r="X17" s="404">
        <f t="shared" si="0"/>
        <v>0</v>
      </c>
      <c r="Y17" s="405"/>
      <c r="Z17" s="406"/>
      <c r="AA17" s="401"/>
      <c r="AB17" s="402"/>
      <c r="AC17" s="402"/>
      <c r="AD17" s="402"/>
      <c r="AE17" s="402"/>
      <c r="AF17" s="402"/>
      <c r="AG17" s="402"/>
      <c r="AH17" s="402"/>
      <c r="AI17" s="402"/>
      <c r="AJ17" s="403"/>
    </row>
    <row r="18" ht="17.1" customHeight="1" spans="1:36" s="41" customFormat="1" x14ac:dyDescent="0.25">
      <c r="A18" s="393"/>
      <c r="B18" s="394"/>
      <c r="C18" s="394"/>
      <c r="D18" s="410"/>
      <c r="E18" s="37"/>
      <c r="F18" s="37"/>
      <c r="G18" s="39"/>
      <c r="H18" s="411"/>
      <c r="I18" s="412"/>
      <c r="J18" s="413"/>
      <c r="K18" s="414"/>
      <c r="L18" s="415"/>
      <c r="M18" s="414"/>
      <c r="N18" s="415"/>
      <c r="O18" s="414"/>
      <c r="P18" s="411"/>
      <c r="Q18" s="412"/>
      <c r="R18" s="413"/>
      <c r="S18" s="414"/>
      <c r="T18" s="415"/>
      <c r="U18" s="414"/>
      <c r="V18" s="415"/>
      <c r="W18" s="412"/>
      <c r="X18" s="416">
        <f t="shared" si="0"/>
        <v>0</v>
      </c>
      <c r="Y18" s="417"/>
      <c r="Z18" s="418"/>
      <c r="AA18" s="419"/>
      <c r="AB18" s="420"/>
      <c r="AC18" s="420"/>
      <c r="AD18" s="420"/>
      <c r="AE18" s="420"/>
      <c r="AF18" s="420"/>
      <c r="AG18" s="420"/>
      <c r="AH18" s="420"/>
      <c r="AI18" s="420"/>
      <c r="AJ18" s="421"/>
    </row>
    <row r="19" ht="17.1" customHeight="1" spans="1:36" s="41" customFormat="1" x14ac:dyDescent="0.25">
      <c r="A19" s="422"/>
      <c r="B19" s="423"/>
      <c r="C19" s="423"/>
      <c r="D19" s="100" t="s">
        <v>171</v>
      </c>
      <c r="E19" s="100"/>
      <c r="F19" s="100"/>
      <c r="G19" s="424"/>
      <c r="H19" s="425">
        <f>SUM(H12:I18)</f>
        <v>155</v>
      </c>
      <c r="I19" s="426"/>
      <c r="J19" s="427">
        <f>SUM(J12:K18)</f>
        <v>0</v>
      </c>
      <c r="K19" s="428"/>
      <c r="L19" s="427">
        <f>SUM(L12:M18)</f>
        <v>96</v>
      </c>
      <c r="M19" s="428"/>
      <c r="N19" s="427">
        <f>SUM(N12:O18)</f>
        <v>0</v>
      </c>
      <c r="O19" s="429"/>
      <c r="P19" s="425">
        <f>SUM(P12:Q18)</f>
        <v>0</v>
      </c>
      <c r="Q19" s="426"/>
      <c r="R19" s="426">
        <f>SUM(R12:S18)</f>
        <v>0</v>
      </c>
      <c r="S19" s="426"/>
      <c r="T19" s="426">
        <f>SUM(T12:U18)</f>
        <v>0</v>
      </c>
      <c r="U19" s="426"/>
      <c r="V19" s="426">
        <f>SUM(V12:W18)</f>
        <v>0</v>
      </c>
      <c r="W19" s="430"/>
      <c r="X19" s="431">
        <f>SUM(X12:Z18)</f>
        <v>251</v>
      </c>
      <c r="Y19" s="432"/>
      <c r="Z19" s="433"/>
      <c r="AA19" s="434"/>
      <c r="AB19" s="435"/>
      <c r="AC19" s="435"/>
      <c r="AD19" s="435"/>
      <c r="AE19" s="435"/>
      <c r="AF19" s="435"/>
      <c r="AG19" s="435"/>
      <c r="AH19" s="435"/>
      <c r="AI19" s="435"/>
      <c r="AJ19" s="436"/>
    </row>
    <row r="20" ht="17.1" customHeight="1" spans="1:36" s="41" customFormat="1" x14ac:dyDescent="0.25">
      <c r="A20" s="437" t="s">
        <v>172</v>
      </c>
      <c r="B20" s="438"/>
      <c r="C20" s="439"/>
      <c r="D20" s="185"/>
      <c r="E20" s="55"/>
      <c r="F20" s="55"/>
      <c r="G20" s="56"/>
      <c r="H20" s="379"/>
      <c r="I20" s="380"/>
      <c r="J20" s="398"/>
      <c r="K20" s="384"/>
      <c r="L20" s="398"/>
      <c r="M20" s="384"/>
      <c r="N20" s="398"/>
      <c r="O20" s="384"/>
      <c r="P20" s="379"/>
      <c r="Q20" s="380"/>
      <c r="R20" s="398"/>
      <c r="S20" s="384"/>
      <c r="T20" s="398"/>
      <c r="U20" s="384"/>
      <c r="V20" s="398"/>
      <c r="W20" s="380"/>
      <c r="X20" s="440">
        <f t="shared" ref="X20:X26" si="2">SUM(H20:W20)</f>
        <v>0</v>
      </c>
      <c r="Y20" s="441"/>
      <c r="Z20" s="442"/>
      <c r="AA20" s="443"/>
      <c r="AB20" s="444"/>
      <c r="AC20" s="444"/>
      <c r="AD20" s="444"/>
      <c r="AE20" s="444"/>
      <c r="AF20" s="444"/>
      <c r="AG20" s="444"/>
      <c r="AH20" s="444"/>
      <c r="AI20" s="444"/>
      <c r="AJ20" s="445"/>
    </row>
    <row r="21" ht="17.1" customHeight="1" spans="1:36" s="41" customFormat="1" x14ac:dyDescent="0.25">
      <c r="A21" s="393"/>
      <c r="B21" s="394"/>
      <c r="C21" s="446"/>
      <c r="D21" s="226"/>
      <c r="E21" s="272"/>
      <c r="F21" s="272"/>
      <c r="G21" s="395"/>
      <c r="H21" s="379"/>
      <c r="I21" s="380"/>
      <c r="J21" s="396"/>
      <c r="K21" s="397"/>
      <c r="L21" s="396"/>
      <c r="M21" s="397"/>
      <c r="N21" s="396"/>
      <c r="O21" s="397"/>
      <c r="P21" s="379"/>
      <c r="Q21" s="380"/>
      <c r="R21" s="398"/>
      <c r="S21" s="384"/>
      <c r="T21" s="398"/>
      <c r="U21" s="384"/>
      <c r="V21" s="398"/>
      <c r="W21" s="380"/>
      <c r="X21" s="399">
        <f t="shared" si="2"/>
        <v>0</v>
      </c>
      <c r="Y21" s="396"/>
      <c r="Z21" s="400"/>
      <c r="AA21" s="401"/>
      <c r="AB21" s="402"/>
      <c r="AC21" s="402"/>
      <c r="AD21" s="402"/>
      <c r="AE21" s="402"/>
      <c r="AF21" s="402"/>
      <c r="AG21" s="402"/>
      <c r="AH21" s="402"/>
      <c r="AI21" s="402"/>
      <c r="AJ21" s="403"/>
    </row>
    <row r="22" ht="17.1" customHeight="1" spans="1:36" s="41" customFormat="1" x14ac:dyDescent="0.25">
      <c r="A22" s="393"/>
      <c r="B22" s="394"/>
      <c r="C22" s="446"/>
      <c r="D22" s="186"/>
      <c r="E22" s="447"/>
      <c r="F22" s="447"/>
      <c r="G22" s="448"/>
      <c r="H22" s="416"/>
      <c r="I22" s="449"/>
      <c r="J22" s="417"/>
      <c r="K22" s="450"/>
      <c r="L22" s="417"/>
      <c r="M22" s="450"/>
      <c r="N22" s="417"/>
      <c r="O22" s="450"/>
      <c r="P22" s="416"/>
      <c r="Q22" s="449"/>
      <c r="R22" s="417"/>
      <c r="S22" s="450"/>
      <c r="T22" s="417"/>
      <c r="U22" s="450"/>
      <c r="V22" s="417"/>
      <c r="W22" s="449"/>
      <c r="X22" s="399">
        <f t="shared" si="2"/>
        <v>0</v>
      </c>
      <c r="Y22" s="396"/>
      <c r="Z22" s="400"/>
      <c r="AA22" s="401"/>
      <c r="AB22" s="402"/>
      <c r="AC22" s="402"/>
      <c r="AD22" s="402"/>
      <c r="AE22" s="402"/>
      <c r="AF22" s="402"/>
      <c r="AG22" s="402"/>
      <c r="AH22" s="402"/>
      <c r="AI22" s="402"/>
      <c r="AJ22" s="403"/>
    </row>
    <row r="23" ht="17.1" customHeight="1" spans="1:36" s="41" customFormat="1" x14ac:dyDescent="0.25">
      <c r="A23" s="393"/>
      <c r="B23" s="394"/>
      <c r="C23" s="446"/>
      <c r="D23" s="186"/>
      <c r="E23" s="447"/>
      <c r="F23" s="447"/>
      <c r="G23" s="448"/>
      <c r="H23" s="416"/>
      <c r="I23" s="449"/>
      <c r="J23" s="417"/>
      <c r="K23" s="450"/>
      <c r="L23" s="417"/>
      <c r="M23" s="450"/>
      <c r="N23" s="417"/>
      <c r="O23" s="450"/>
      <c r="P23" s="416"/>
      <c r="Q23" s="449"/>
      <c r="R23" s="417"/>
      <c r="S23" s="450"/>
      <c r="T23" s="417"/>
      <c r="U23" s="450"/>
      <c r="V23" s="417"/>
      <c r="W23" s="449"/>
      <c r="X23" s="399">
        <f t="shared" si="2"/>
        <v>0</v>
      </c>
      <c r="Y23" s="396"/>
      <c r="Z23" s="400"/>
      <c r="AA23" s="401"/>
      <c r="AB23" s="402"/>
      <c r="AC23" s="402"/>
      <c r="AD23" s="402"/>
      <c r="AE23" s="402"/>
      <c r="AF23" s="402"/>
      <c r="AG23" s="402"/>
      <c r="AH23" s="402"/>
      <c r="AI23" s="402"/>
      <c r="AJ23" s="403"/>
    </row>
    <row r="24" ht="17.1" customHeight="1" spans="1:36" s="41" customFormat="1" x14ac:dyDescent="0.25">
      <c r="A24" s="393"/>
      <c r="B24" s="394"/>
      <c r="C24" s="446"/>
      <c r="D24" s="186"/>
      <c r="E24" s="447"/>
      <c r="F24" s="447"/>
      <c r="G24" s="448"/>
      <c r="H24" s="416"/>
      <c r="I24" s="449"/>
      <c r="J24" s="417"/>
      <c r="K24" s="450"/>
      <c r="L24" s="417"/>
      <c r="M24" s="450"/>
      <c r="N24" s="417"/>
      <c r="O24" s="450"/>
      <c r="P24" s="416"/>
      <c r="Q24" s="449"/>
      <c r="R24" s="417"/>
      <c r="S24" s="450"/>
      <c r="T24" s="417"/>
      <c r="U24" s="450"/>
      <c r="V24" s="417"/>
      <c r="W24" s="449"/>
      <c r="X24" s="399">
        <f t="shared" si="2"/>
        <v>0</v>
      </c>
      <c r="Y24" s="396"/>
      <c r="Z24" s="400"/>
      <c r="AA24" s="401"/>
      <c r="AB24" s="402"/>
      <c r="AC24" s="402"/>
      <c r="AD24" s="402"/>
      <c r="AE24" s="402"/>
      <c r="AF24" s="402"/>
      <c r="AG24" s="402"/>
      <c r="AH24" s="402"/>
      <c r="AI24" s="402"/>
      <c r="AJ24" s="403"/>
    </row>
    <row r="25" ht="17.1" customHeight="1" spans="1:36" s="41" customFormat="1" x14ac:dyDescent="0.25">
      <c r="A25" s="393"/>
      <c r="B25" s="394"/>
      <c r="C25" s="446"/>
      <c r="D25" s="186"/>
      <c r="E25" s="447"/>
      <c r="F25" s="447"/>
      <c r="G25" s="448"/>
      <c r="H25" s="416"/>
      <c r="I25" s="449"/>
      <c r="J25" s="417"/>
      <c r="K25" s="450"/>
      <c r="L25" s="417"/>
      <c r="M25" s="450"/>
      <c r="N25" s="417"/>
      <c r="O25" s="450"/>
      <c r="P25" s="416"/>
      <c r="Q25" s="449"/>
      <c r="R25" s="417"/>
      <c r="S25" s="450"/>
      <c r="T25" s="417"/>
      <c r="U25" s="450"/>
      <c r="V25" s="417"/>
      <c r="W25" s="449"/>
      <c r="X25" s="399">
        <f t="shared" si="2"/>
        <v>0</v>
      </c>
      <c r="Y25" s="396"/>
      <c r="Z25" s="400"/>
      <c r="AA25" s="401"/>
      <c r="AB25" s="402"/>
      <c r="AC25" s="402"/>
      <c r="AD25" s="402"/>
      <c r="AE25" s="402"/>
      <c r="AF25" s="402"/>
      <c r="AG25" s="402"/>
      <c r="AH25" s="402"/>
      <c r="AI25" s="402"/>
      <c r="AJ25" s="403"/>
    </row>
    <row r="26" ht="17.1" customHeight="1" spans="1:36" s="41" customFormat="1" x14ac:dyDescent="0.25">
      <c r="A26" s="393"/>
      <c r="B26" s="394"/>
      <c r="C26" s="446"/>
      <c r="D26" s="180"/>
      <c r="E26" s="447"/>
      <c r="F26" s="447"/>
      <c r="G26" s="448"/>
      <c r="H26" s="416"/>
      <c r="I26" s="449"/>
      <c r="J26" s="417"/>
      <c r="K26" s="450"/>
      <c r="L26" s="417"/>
      <c r="M26" s="450"/>
      <c r="N26" s="417"/>
      <c r="O26" s="450"/>
      <c r="P26" s="416"/>
      <c r="Q26" s="449"/>
      <c r="R26" s="417"/>
      <c r="S26" s="450"/>
      <c r="T26" s="417"/>
      <c r="U26" s="450"/>
      <c r="V26" s="417"/>
      <c r="W26" s="449"/>
      <c r="X26" s="416">
        <f t="shared" si="2"/>
        <v>0</v>
      </c>
      <c r="Y26" s="417"/>
      <c r="Z26" s="418"/>
      <c r="AA26" s="451"/>
      <c r="AB26" s="452"/>
      <c r="AC26" s="452"/>
      <c r="AD26" s="452"/>
      <c r="AE26" s="452"/>
      <c r="AF26" s="452"/>
      <c r="AG26" s="452"/>
      <c r="AH26" s="452"/>
      <c r="AI26" s="452"/>
      <c r="AJ26" s="453"/>
    </row>
    <row r="27" ht="17.1" customHeight="1" spans="1:36" s="41" customFormat="1" x14ac:dyDescent="0.25">
      <c r="A27" s="422"/>
      <c r="B27" s="423"/>
      <c r="C27" s="454"/>
      <c r="D27" s="455" t="s">
        <v>171</v>
      </c>
      <c r="E27" s="455"/>
      <c r="F27" s="455"/>
      <c r="G27" s="456"/>
      <c r="H27" s="431">
        <f>SUM(H20:I26)</f>
        <v>0</v>
      </c>
      <c r="I27" s="432"/>
      <c r="J27" s="427">
        <f>SUM(J20:K26)</f>
        <v>0</v>
      </c>
      <c r="K27" s="428"/>
      <c r="L27" s="427">
        <f>SUM(L20:M26)</f>
        <v>0</v>
      </c>
      <c r="M27" s="428"/>
      <c r="N27" s="427">
        <f>SUM(N20:O26)</f>
        <v>0</v>
      </c>
      <c r="O27" s="429"/>
      <c r="P27" s="431">
        <f>SUM(P20:Q26)</f>
        <v>0</v>
      </c>
      <c r="Q27" s="432"/>
      <c r="R27" s="432">
        <f>SUM(R20:S26)</f>
        <v>0</v>
      </c>
      <c r="S27" s="432"/>
      <c r="T27" s="432">
        <f>SUM(T20:U26)</f>
        <v>0</v>
      </c>
      <c r="U27" s="432"/>
      <c r="V27" s="432">
        <f>SUM(V20:W26)</f>
        <v>0</v>
      </c>
      <c r="W27" s="433"/>
      <c r="X27" s="431">
        <f>SUM(X20:Z26)</f>
        <v>0</v>
      </c>
      <c r="Y27" s="432"/>
      <c r="Z27" s="433"/>
      <c r="AA27" s="457"/>
      <c r="AB27" s="435"/>
      <c r="AC27" s="435"/>
      <c r="AD27" s="435"/>
      <c r="AE27" s="435"/>
      <c r="AF27" s="435"/>
      <c r="AG27" s="435"/>
      <c r="AH27" s="435"/>
      <c r="AI27" s="435"/>
      <c r="AJ27" s="436"/>
    </row>
    <row r="28" ht="17.1" customHeight="1" spans="1:36" s="41" customFormat="1" x14ac:dyDescent="0.25">
      <c r="A28" s="53" t="s">
        <v>173</v>
      </c>
      <c r="B28" s="54"/>
      <c r="C28" s="54"/>
      <c r="D28" s="54" t="s">
        <v>174</v>
      </c>
      <c r="E28" s="54"/>
      <c r="F28" s="54"/>
      <c r="G28" s="185"/>
      <c r="H28" s="379"/>
      <c r="I28" s="398"/>
      <c r="J28" s="458"/>
      <c r="K28" s="459"/>
      <c r="L28" s="458"/>
      <c r="M28" s="459"/>
      <c r="N28" s="458"/>
      <c r="O28" s="460"/>
      <c r="P28" s="379"/>
      <c r="Q28" s="398"/>
      <c r="R28" s="398"/>
      <c r="S28" s="398"/>
      <c r="T28" s="398"/>
      <c r="U28" s="398"/>
      <c r="V28" s="398"/>
      <c r="W28" s="461"/>
      <c r="X28" s="383"/>
      <c r="Y28" s="398"/>
      <c r="Z28" s="461"/>
      <c r="AA28" s="462"/>
      <c r="AB28" s="463"/>
      <c r="AC28" s="463"/>
      <c r="AD28" s="463"/>
      <c r="AE28" s="463"/>
      <c r="AF28" s="463"/>
      <c r="AG28" s="463"/>
      <c r="AH28" s="463"/>
      <c r="AI28" s="463"/>
      <c r="AJ28" s="464"/>
    </row>
    <row r="29" ht="17.1" customHeight="1" spans="1:36" s="41" customFormat="1" x14ac:dyDescent="0.25">
      <c r="A29" s="38"/>
      <c r="B29" s="36"/>
      <c r="C29" s="36"/>
      <c r="D29" s="36" t="s">
        <v>174</v>
      </c>
      <c r="E29" s="36"/>
      <c r="F29" s="36"/>
      <c r="G29" s="410"/>
      <c r="H29" s="411"/>
      <c r="I29" s="413"/>
      <c r="J29" s="413"/>
      <c r="K29" s="413"/>
      <c r="L29" s="413"/>
      <c r="M29" s="413"/>
      <c r="N29" s="413"/>
      <c r="O29" s="465"/>
      <c r="P29" s="411"/>
      <c r="Q29" s="413"/>
      <c r="R29" s="413"/>
      <c r="S29" s="413"/>
      <c r="T29" s="413"/>
      <c r="U29" s="413"/>
      <c r="V29" s="413"/>
      <c r="W29" s="465"/>
      <c r="X29" s="415"/>
      <c r="Y29" s="413"/>
      <c r="Z29" s="465"/>
      <c r="AA29" s="466"/>
      <c r="AB29" s="467"/>
      <c r="AC29" s="467"/>
      <c r="AD29" s="467"/>
      <c r="AE29" s="467"/>
      <c r="AF29" s="467"/>
      <c r="AG29" s="467"/>
      <c r="AH29" s="467"/>
      <c r="AI29" s="467"/>
      <c r="AJ29" s="468"/>
    </row>
    <row r="30" ht="17.1" customHeight="1" spans="1:36" s="41" customFormat="1" x14ac:dyDescent="0.25">
      <c r="A30" s="99" t="s">
        <v>175</v>
      </c>
      <c r="B30" s="100"/>
      <c r="C30" s="100"/>
      <c r="D30" s="100"/>
      <c r="E30" s="100"/>
      <c r="F30" s="100"/>
      <c r="G30" s="469"/>
      <c r="H30" s="425">
        <f>SUM(H19+H27+H28+H29)</f>
        <v>155</v>
      </c>
      <c r="I30" s="426"/>
      <c r="J30" s="426">
        <f>SUM(J19+J27+J28+J29)</f>
        <v>0</v>
      </c>
      <c r="K30" s="426"/>
      <c r="L30" s="426">
        <f>SUM(L19+L27+L28+L29)</f>
        <v>96</v>
      </c>
      <c r="M30" s="426"/>
      <c r="N30" s="426">
        <f>SUM(N19+N27+N28+N29)</f>
        <v>0</v>
      </c>
      <c r="O30" s="430"/>
      <c r="P30" s="425">
        <f>SUM(P19+P27+P28+P29)</f>
        <v>0</v>
      </c>
      <c r="Q30" s="426"/>
      <c r="R30" s="426">
        <f>SUM(R19+R27+R28+R29)</f>
        <v>0</v>
      </c>
      <c r="S30" s="426"/>
      <c r="T30" s="426">
        <f>SUM(T19+T27+T28+T29)</f>
        <v>0</v>
      </c>
      <c r="U30" s="426"/>
      <c r="V30" s="426">
        <f>SUM(V19+V27+V28+V29)</f>
        <v>0</v>
      </c>
      <c r="W30" s="430"/>
      <c r="X30" s="470">
        <f>SUM(X19+X27+X28+X29)</f>
        <v>251</v>
      </c>
      <c r="Y30" s="426"/>
      <c r="Z30" s="430"/>
      <c r="AA30" s="471"/>
      <c r="AB30" s="472"/>
      <c r="AC30" s="472"/>
      <c r="AD30" s="472"/>
      <c r="AE30" s="472"/>
      <c r="AF30" s="472"/>
      <c r="AG30" s="472"/>
      <c r="AH30" s="472"/>
      <c r="AI30" s="472"/>
      <c r="AJ30" s="473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474" t="s">
        <v>176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475" t="s">
        <v>177</v>
      </c>
      <c r="B34" s="476"/>
      <c r="C34" s="476"/>
      <c r="D34" s="477"/>
      <c r="E34" s="478" t="s">
        <v>178</v>
      </c>
      <c r="F34" s="479"/>
      <c r="G34" s="479"/>
      <c r="H34" s="479"/>
      <c r="I34" s="479"/>
      <c r="J34" s="479"/>
      <c r="K34" s="479" t="s">
        <v>179</v>
      </c>
      <c r="L34" s="479"/>
      <c r="M34" s="479"/>
      <c r="N34" s="479"/>
      <c r="O34" s="479"/>
      <c r="P34" s="480"/>
      <c r="Q34" s="478" t="s">
        <v>180</v>
      </c>
      <c r="R34" s="479"/>
      <c r="S34" s="479"/>
      <c r="T34" s="479"/>
      <c r="U34" s="479"/>
      <c r="V34" s="480"/>
      <c r="W34" s="478" t="s">
        <v>52</v>
      </c>
      <c r="X34" s="479"/>
      <c r="Y34" s="479"/>
      <c r="Z34" s="479"/>
      <c r="AA34" s="479"/>
      <c r="AB34" s="479"/>
      <c r="AC34" s="479"/>
      <c r="AD34" s="479"/>
      <c r="AE34" s="479"/>
      <c r="AF34" s="479"/>
      <c r="AG34" s="479"/>
      <c r="AH34" s="479"/>
      <c r="AI34" s="479"/>
      <c r="AJ34" s="480"/>
    </row>
    <row r="35" ht="15.75" customHeight="1" spans="1:37" s="481" customFormat="1" x14ac:dyDescent="0.25">
      <c r="A35" s="482" t="s">
        <v>181</v>
      </c>
      <c r="B35" s="483"/>
      <c r="C35" s="483"/>
      <c r="D35" s="484"/>
      <c r="E35" s="485">
        <v>0.8020833333321207</v>
      </c>
      <c r="F35" s="486"/>
      <c r="G35" s="486"/>
      <c r="H35" s="486"/>
      <c r="I35" s="486"/>
      <c r="J35" s="487"/>
      <c r="K35" s="488"/>
      <c r="L35" s="486"/>
      <c r="M35" s="486"/>
      <c r="N35" s="486"/>
      <c r="O35" s="486"/>
      <c r="P35" s="489"/>
      <c r="Q35" s="490"/>
      <c r="R35" s="491"/>
      <c r="S35" s="491"/>
      <c r="T35" s="491"/>
      <c r="U35" s="491"/>
      <c r="V35" s="492"/>
      <c r="W35" s="493" t="s">
        <v>182</v>
      </c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5"/>
      <c r="AK35" s="496"/>
    </row>
    <row r="36" ht="15.75" customHeight="1" spans="1:37" s="481" customFormat="1" x14ac:dyDescent="0.25">
      <c r="A36" s="497" t="s">
        <v>34</v>
      </c>
      <c r="B36" s="498"/>
      <c r="C36" s="498"/>
      <c r="D36" s="499"/>
      <c r="E36" s="500">
        <v>0.8020833333321207</v>
      </c>
      <c r="F36" s="501"/>
      <c r="G36" s="501"/>
      <c r="H36" s="501"/>
      <c r="I36" s="501"/>
      <c r="J36" s="502"/>
      <c r="K36" s="503">
        <v>0.9930555555547471</v>
      </c>
      <c r="L36" s="501"/>
      <c r="M36" s="501"/>
      <c r="N36" s="501"/>
      <c r="O36" s="501"/>
      <c r="P36" s="504"/>
      <c r="Q36" s="505">
        <f t="shared" ref="Q36" si="3">IF(AND(NOT(ISBLANK(K36)),NOT(ISBLANK(E36))), IF(K36&gt;E36,K36-E36,24-E36+K36), "")</f>
        <v>0.19097222222262644</v>
      </c>
      <c r="R36" s="506"/>
      <c r="S36" s="506"/>
      <c r="T36" s="506"/>
      <c r="U36" s="506"/>
      <c r="V36" s="507"/>
      <c r="W36" s="508" t="s">
        <v>183</v>
      </c>
      <c r="X36" s="509"/>
      <c r="Y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10"/>
      <c r="AK36" s="496"/>
    </row>
    <row r="37" ht="15.75" customHeight="1" spans="1:37" s="481" customFormat="1" x14ac:dyDescent="0.25">
      <c r="A37" s="497"/>
      <c r="B37" s="498"/>
      <c r="C37" s="498"/>
      <c r="D37" s="499"/>
      <c r="E37" s="511"/>
      <c r="F37" s="512"/>
      <c r="G37" s="512"/>
      <c r="H37" s="512"/>
      <c r="I37" s="512"/>
      <c r="J37" s="513"/>
      <c r="K37" s="503">
        <v>0.9930555555547471</v>
      </c>
      <c r="L37" s="501"/>
      <c r="M37" s="501"/>
      <c r="N37" s="501"/>
      <c r="O37" s="501"/>
      <c r="P37" s="504"/>
      <c r="Q37" s="505">
        <f>IF(AND(NOT(ISBLANK(K37)),NOT(ISBLANK(E37))), IF(K37&gt;E37,K37-E37,24-E37+K37), "")</f>
      </c>
      <c r="R37" s="506"/>
      <c r="S37" s="506"/>
      <c r="T37" s="506"/>
      <c r="U37" s="506"/>
      <c r="V37" s="507"/>
      <c r="W37" s="514" t="s">
        <v>184</v>
      </c>
      <c r="X37" s="515"/>
      <c r="Y37" s="515"/>
      <c r="Z37" s="515"/>
      <c r="AA37" s="515"/>
      <c r="AB37" s="515"/>
      <c r="AC37" s="515"/>
      <c r="AD37" s="515"/>
      <c r="AE37" s="515"/>
      <c r="AF37" s="515"/>
      <c r="AG37" s="515"/>
      <c r="AH37" s="515"/>
      <c r="AI37" s="515"/>
      <c r="AJ37" s="516"/>
      <c r="AK37" s="496"/>
    </row>
    <row r="38" ht="15.75" customHeight="1" spans="1:37" s="481" customFormat="1" x14ac:dyDescent="0.25">
      <c r="A38" s="497"/>
      <c r="B38" s="498"/>
      <c r="C38" s="498"/>
      <c r="D38" s="499"/>
      <c r="E38" s="511"/>
      <c r="F38" s="512"/>
      <c r="G38" s="512"/>
      <c r="H38" s="512"/>
      <c r="I38" s="512"/>
      <c r="J38" s="513"/>
      <c r="K38" s="517"/>
      <c r="L38" s="518"/>
      <c r="M38" s="518"/>
      <c r="N38" s="518"/>
      <c r="O38" s="518"/>
      <c r="P38" s="519"/>
      <c r="Q38" s="505">
        <f t="shared" ref="Q38" si="4">IF(AND(NOT(ISBLANK(K38)),NOT(ISBLANK(E38))), IF(K38&gt;E38,K38-E38,24-E38+K38), "")</f>
      </c>
      <c r="R38" s="506"/>
      <c r="S38" s="506"/>
      <c r="T38" s="506"/>
      <c r="U38" s="506"/>
      <c r="V38" s="507"/>
      <c r="W38" s="508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10"/>
      <c r="AK38" s="496"/>
    </row>
    <row r="39" ht="15.75" customHeight="1" spans="1:37" s="481" customFormat="1" x14ac:dyDescent="0.25">
      <c r="A39" s="520"/>
      <c r="B39" s="521"/>
      <c r="C39" s="521"/>
      <c r="D39" s="522"/>
      <c r="E39" s="485"/>
      <c r="F39" s="486"/>
      <c r="G39" s="486"/>
      <c r="H39" s="486"/>
      <c r="I39" s="486"/>
      <c r="J39" s="487"/>
      <c r="K39" s="503"/>
      <c r="L39" s="501"/>
      <c r="M39" s="501"/>
      <c r="N39" s="501"/>
      <c r="O39" s="501"/>
      <c r="P39" s="504"/>
      <c r="Q39" s="505">
        <f>IF(AND(NOT(ISBLANK(K39)),NOT(ISBLANK(E39))), IF(K39&gt;E39,K39-E39,24-E39+K39), "")</f>
      </c>
      <c r="R39" s="506"/>
      <c r="S39" s="506"/>
      <c r="T39" s="506"/>
      <c r="U39" s="506"/>
      <c r="V39" s="507"/>
      <c r="W39" s="508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10"/>
      <c r="AK39" s="496"/>
    </row>
    <row r="40" ht="15.75" customHeight="1" spans="1:37" s="481" customFormat="1" x14ac:dyDescent="0.25">
      <c r="A40" s="520"/>
      <c r="B40" s="521"/>
      <c r="C40" s="521"/>
      <c r="D40" s="522"/>
      <c r="E40" s="485"/>
      <c r="F40" s="486"/>
      <c r="G40" s="486"/>
      <c r="H40" s="486"/>
      <c r="I40" s="486"/>
      <c r="J40" s="487"/>
      <c r="K40" s="503"/>
      <c r="L40" s="501"/>
      <c r="M40" s="501"/>
      <c r="N40" s="501"/>
      <c r="O40" s="501"/>
      <c r="P40" s="504"/>
      <c r="Q40" s="505"/>
      <c r="R40" s="506"/>
      <c r="S40" s="506"/>
      <c r="T40" s="506"/>
      <c r="U40" s="506"/>
      <c r="V40" s="507"/>
      <c r="W40" s="508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10"/>
      <c r="AK40" s="496"/>
    </row>
    <row r="41" ht="15.6" customHeight="1" hidden="1" spans="1:36" s="481" customFormat="1" x14ac:dyDescent="0.25">
      <c r="A41" s="520"/>
      <c r="B41" s="521"/>
      <c r="C41" s="521"/>
      <c r="D41" s="522"/>
      <c r="E41" s="500"/>
      <c r="F41" s="501"/>
      <c r="G41" s="501"/>
      <c r="H41" s="501"/>
      <c r="I41" s="501"/>
      <c r="J41" s="502"/>
      <c r="K41" s="503"/>
      <c r="L41" s="501"/>
      <c r="M41" s="501"/>
      <c r="N41" s="501"/>
      <c r="O41" s="501"/>
      <c r="P41" s="504"/>
      <c r="Q41" s="505">
        <f t="shared" ref="Q41:Q48" si="5">IF(AND(NOT(ISBLANK(K41)),NOT(ISBLANK(E41))), IF(K41&gt;E41,K41-E41,24-E41+K41), "")</f>
      </c>
      <c r="R41" s="506"/>
      <c r="S41" s="506"/>
      <c r="T41" s="506"/>
      <c r="U41" s="506"/>
      <c r="V41" s="507"/>
      <c r="W41" s="508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10"/>
    </row>
    <row r="42" ht="15.75" customHeight="1" hidden="1" spans="1:36" s="481" customFormat="1" x14ac:dyDescent="0.25">
      <c r="A42" s="520"/>
      <c r="B42" s="521"/>
      <c r="C42" s="521"/>
      <c r="D42" s="522"/>
      <c r="E42" s="500"/>
      <c r="F42" s="501"/>
      <c r="G42" s="501"/>
      <c r="H42" s="501"/>
      <c r="I42" s="501"/>
      <c r="J42" s="502"/>
      <c r="K42" s="503"/>
      <c r="L42" s="501"/>
      <c r="M42" s="501"/>
      <c r="N42" s="501"/>
      <c r="O42" s="501"/>
      <c r="P42" s="504"/>
      <c r="Q42" s="505">
        <f t="shared" si="5"/>
      </c>
      <c r="R42" s="506"/>
      <c r="S42" s="506"/>
      <c r="T42" s="506"/>
      <c r="U42" s="506"/>
      <c r="V42" s="507"/>
      <c r="W42" s="508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10"/>
    </row>
    <row r="43" ht="15.75" customHeight="1" hidden="1" spans="1:36" s="481" customFormat="1" x14ac:dyDescent="0.25">
      <c r="A43" s="520"/>
      <c r="B43" s="521"/>
      <c r="C43" s="521"/>
      <c r="D43" s="522"/>
      <c r="E43" s="500"/>
      <c r="F43" s="501"/>
      <c r="G43" s="501"/>
      <c r="H43" s="501"/>
      <c r="I43" s="501"/>
      <c r="J43" s="502"/>
      <c r="K43" s="503"/>
      <c r="L43" s="501"/>
      <c r="M43" s="501"/>
      <c r="N43" s="501"/>
      <c r="O43" s="501"/>
      <c r="P43" s="504"/>
      <c r="Q43" s="505">
        <f t="shared" si="5"/>
      </c>
      <c r="R43" s="506"/>
      <c r="S43" s="506"/>
      <c r="T43" s="506"/>
      <c r="U43" s="506"/>
      <c r="V43" s="507"/>
      <c r="W43" s="508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10"/>
    </row>
    <row r="44" ht="15.75" customHeight="1" hidden="1" spans="1:36" s="481" customFormat="1" x14ac:dyDescent="0.25">
      <c r="A44" s="520"/>
      <c r="B44" s="521"/>
      <c r="C44" s="521"/>
      <c r="D44" s="522"/>
      <c r="E44" s="500"/>
      <c r="F44" s="501"/>
      <c r="G44" s="501"/>
      <c r="H44" s="501"/>
      <c r="I44" s="501"/>
      <c r="J44" s="502"/>
      <c r="K44" s="503"/>
      <c r="L44" s="501"/>
      <c r="M44" s="501"/>
      <c r="N44" s="501"/>
      <c r="O44" s="501"/>
      <c r="P44" s="504"/>
      <c r="Q44" s="505">
        <f t="shared" si="5"/>
      </c>
      <c r="R44" s="506"/>
      <c r="S44" s="506"/>
      <c r="T44" s="506"/>
      <c r="U44" s="506"/>
      <c r="V44" s="507"/>
      <c r="W44" s="508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10"/>
    </row>
    <row r="45" ht="15.75" customHeight="1" hidden="1" spans="1:36" s="481" customFormat="1" x14ac:dyDescent="0.25">
      <c r="A45" s="520"/>
      <c r="B45" s="521"/>
      <c r="C45" s="521"/>
      <c r="D45" s="522"/>
      <c r="E45" s="500"/>
      <c r="F45" s="501"/>
      <c r="G45" s="501"/>
      <c r="H45" s="501"/>
      <c r="I45" s="501"/>
      <c r="J45" s="502"/>
      <c r="K45" s="503"/>
      <c r="L45" s="501"/>
      <c r="M45" s="501"/>
      <c r="N45" s="501"/>
      <c r="O45" s="501"/>
      <c r="P45" s="504"/>
      <c r="Q45" s="505">
        <f t="shared" si="5"/>
      </c>
      <c r="R45" s="506"/>
      <c r="S45" s="506"/>
      <c r="T45" s="506"/>
      <c r="U45" s="506"/>
      <c r="V45" s="507"/>
      <c r="W45" s="508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10"/>
    </row>
    <row r="46" ht="15.75" customHeight="1" hidden="1" spans="1:36" s="481" customFormat="1" x14ac:dyDescent="0.25">
      <c r="A46" s="520"/>
      <c r="B46" s="521"/>
      <c r="C46" s="521"/>
      <c r="D46" s="522"/>
      <c r="E46" s="500"/>
      <c r="F46" s="501"/>
      <c r="G46" s="501"/>
      <c r="H46" s="501"/>
      <c r="I46" s="501"/>
      <c r="J46" s="502"/>
      <c r="K46" s="503"/>
      <c r="L46" s="501"/>
      <c r="M46" s="501"/>
      <c r="N46" s="501"/>
      <c r="O46" s="501"/>
      <c r="P46" s="504"/>
      <c r="Q46" s="505">
        <f t="shared" si="5"/>
      </c>
      <c r="R46" s="506"/>
      <c r="S46" s="506"/>
      <c r="T46" s="506"/>
      <c r="U46" s="506"/>
      <c r="V46" s="507"/>
      <c r="W46" s="508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10"/>
    </row>
    <row r="47" ht="15.75" customHeight="1" hidden="1" spans="1:36" s="481" customFormat="1" x14ac:dyDescent="0.25">
      <c r="A47" s="520"/>
      <c r="B47" s="521"/>
      <c r="C47" s="521"/>
      <c r="D47" s="522"/>
      <c r="E47" s="500"/>
      <c r="F47" s="501"/>
      <c r="G47" s="501"/>
      <c r="H47" s="501"/>
      <c r="I47" s="501"/>
      <c r="J47" s="502"/>
      <c r="K47" s="503"/>
      <c r="L47" s="501"/>
      <c r="M47" s="501"/>
      <c r="N47" s="501"/>
      <c r="O47" s="501"/>
      <c r="P47" s="504"/>
      <c r="Q47" s="505">
        <f t="shared" si="5"/>
      </c>
      <c r="R47" s="506"/>
      <c r="S47" s="506"/>
      <c r="T47" s="506"/>
      <c r="U47" s="506"/>
      <c r="V47" s="507"/>
      <c r="W47" s="508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10"/>
    </row>
    <row r="48" ht="15.75" customHeight="1" hidden="1" spans="1:36" s="481" customFormat="1" x14ac:dyDescent="0.25">
      <c r="A48" s="520"/>
      <c r="B48" s="521"/>
      <c r="C48" s="521"/>
      <c r="D48" s="522"/>
      <c r="E48" s="500"/>
      <c r="F48" s="501"/>
      <c r="G48" s="501"/>
      <c r="H48" s="501"/>
      <c r="I48" s="501"/>
      <c r="J48" s="502"/>
      <c r="K48" s="503"/>
      <c r="L48" s="501"/>
      <c r="M48" s="501"/>
      <c r="N48" s="501"/>
      <c r="O48" s="501"/>
      <c r="P48" s="504"/>
      <c r="Q48" s="505">
        <f t="shared" si="5"/>
      </c>
      <c r="R48" s="506"/>
      <c r="S48" s="506"/>
      <c r="T48" s="506"/>
      <c r="U48" s="506"/>
      <c r="V48" s="507"/>
      <c r="W48" s="508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10"/>
    </row>
    <row r="49" ht="15.75" customHeight="1" spans="1:37" s="481" customFormat="1" x14ac:dyDescent="0.25">
      <c r="A49" s="520"/>
      <c r="B49" s="521"/>
      <c r="C49" s="521"/>
      <c r="D49" s="522"/>
      <c r="E49" s="500"/>
      <c r="F49" s="501"/>
      <c r="G49" s="501"/>
      <c r="H49" s="501"/>
      <c r="I49" s="501"/>
      <c r="J49" s="502"/>
      <c r="K49" s="501"/>
      <c r="L49" s="501"/>
      <c r="M49" s="501"/>
      <c r="N49" s="501"/>
      <c r="O49" s="501"/>
      <c r="P49" s="504"/>
      <c r="Q49" s="505">
        <f t="shared" ref="Q49" si="6">IF(AND(NOT(ISBLANK(K49)),NOT(ISBLANK(E49))), IF(K49&gt;E49,K49-E49,24-E49+K49), "")</f>
      </c>
      <c r="R49" s="506"/>
      <c r="S49" s="506"/>
      <c r="T49" s="506"/>
      <c r="U49" s="506"/>
      <c r="V49" s="507"/>
      <c r="W49" s="508"/>
      <c r="X49" s="509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10"/>
      <c r="AK49" s="496"/>
    </row>
    <row r="50" ht="15.75" customHeight="1" spans="1:37" s="481" customFormat="1" x14ac:dyDescent="0.25">
      <c r="A50" s="520"/>
      <c r="B50" s="521"/>
      <c r="C50" s="521"/>
      <c r="D50" s="522"/>
      <c r="E50" s="500"/>
      <c r="F50" s="501"/>
      <c r="G50" s="501"/>
      <c r="H50" s="501"/>
      <c r="I50" s="501"/>
      <c r="J50" s="502"/>
      <c r="K50" s="501"/>
      <c r="L50" s="501"/>
      <c r="M50" s="501"/>
      <c r="N50" s="501"/>
      <c r="O50" s="501"/>
      <c r="P50" s="504"/>
      <c r="Q50" s="523"/>
      <c r="R50" s="524"/>
      <c r="S50" s="524"/>
      <c r="T50" s="524"/>
      <c r="U50" s="524"/>
      <c r="V50" s="525"/>
      <c r="W50" s="508"/>
      <c r="X50" s="509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10"/>
      <c r="AK50" s="496"/>
    </row>
    <row r="51" ht="15.75" customHeight="1" spans="1:37" s="41" customFormat="1" x14ac:dyDescent="0.25">
      <c r="A51" s="526"/>
      <c r="B51" s="527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8"/>
      <c r="Q51" s="529">
        <f>SUM(Q35:V50)</f>
        <v>0.19097222222262644</v>
      </c>
      <c r="R51" s="530"/>
      <c r="S51" s="530"/>
      <c r="T51" s="530"/>
      <c r="U51" s="530"/>
      <c r="V51" s="531"/>
      <c r="W51" s="532"/>
      <c r="X51" s="533"/>
      <c r="Y51" s="533"/>
      <c r="Z51" s="533"/>
      <c r="AA51" s="533"/>
      <c r="AB51" s="533"/>
      <c r="AC51" s="533"/>
      <c r="AD51" s="533"/>
      <c r="AE51" s="533"/>
      <c r="AF51" s="533"/>
      <c r="AG51" s="533"/>
      <c r="AH51" s="533"/>
      <c r="AI51" s="533"/>
      <c r="AJ51" s="534"/>
      <c r="AK51" s="535"/>
    </row>
    <row r="52" ht="15.75" customHeight="1" spans="1:37" s="481" customFormat="1" x14ac:dyDescent="0.25">
      <c r="A52" s="482" t="s">
        <v>185</v>
      </c>
      <c r="B52" s="483"/>
      <c r="C52" s="483"/>
      <c r="D52" s="484"/>
      <c r="E52" s="485">
        <v>0.8020833333321207</v>
      </c>
      <c r="F52" s="486"/>
      <c r="G52" s="486"/>
      <c r="H52" s="486"/>
      <c r="I52" s="486"/>
      <c r="J52" s="487"/>
      <c r="K52" s="488"/>
      <c r="L52" s="486"/>
      <c r="M52" s="486"/>
      <c r="N52" s="486"/>
      <c r="O52" s="486"/>
      <c r="P52" s="489"/>
      <c r="Q52" s="490">
        <f t="shared" ref="Q52:Q53" si="7">IF(AND(NOT(ISBLANK(K52)),NOT(ISBLANK(E52))), IF(K52&gt;E52,K52-E52,24-E52+K52), "")</f>
      </c>
      <c r="R52" s="491"/>
      <c r="S52" s="491"/>
      <c r="T52" s="491"/>
      <c r="U52" s="491"/>
      <c r="V52" s="492"/>
      <c r="W52" s="493" t="s">
        <v>182</v>
      </c>
      <c r="X52" s="494"/>
      <c r="Y52" s="494"/>
      <c r="Z52" s="494"/>
      <c r="AA52" s="494"/>
      <c r="AB52" s="494"/>
      <c r="AC52" s="494"/>
      <c r="AD52" s="494"/>
      <c r="AE52" s="494"/>
      <c r="AF52" s="494"/>
      <c r="AG52" s="494"/>
      <c r="AH52" s="494"/>
      <c r="AI52" s="494"/>
      <c r="AJ52" s="495"/>
      <c r="AK52" s="496"/>
    </row>
    <row r="53" ht="15.75" customHeight="1" spans="1:37" s="481" customFormat="1" x14ac:dyDescent="0.25">
      <c r="A53" s="497" t="s">
        <v>34</v>
      </c>
      <c r="B53" s="498"/>
      <c r="C53" s="498"/>
      <c r="D53" s="499"/>
      <c r="E53" s="500">
        <v>0.8020833333321207</v>
      </c>
      <c r="F53" s="501"/>
      <c r="G53" s="501"/>
      <c r="H53" s="501"/>
      <c r="I53" s="501"/>
      <c r="J53" s="502"/>
      <c r="K53" s="503">
        <v>0.9861111111094942</v>
      </c>
      <c r="L53" s="501"/>
      <c r="M53" s="501"/>
      <c r="N53" s="501"/>
      <c r="O53" s="501"/>
      <c r="P53" s="504"/>
      <c r="Q53" s="505">
        <f t="shared" si="7"/>
        <v>0.18402777777737356</v>
      </c>
      <c r="R53" s="506"/>
      <c r="S53" s="506"/>
      <c r="T53" s="506"/>
      <c r="U53" s="506"/>
      <c r="V53" s="507"/>
      <c r="W53" s="508" t="s">
        <v>183</v>
      </c>
      <c r="X53" s="509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10"/>
      <c r="AK53" s="496"/>
    </row>
    <row r="54" ht="15.75" customHeight="1" spans="1:37" s="481" customFormat="1" x14ac:dyDescent="0.25">
      <c r="A54" s="520"/>
      <c r="B54" s="521"/>
      <c r="C54" s="521"/>
      <c r="D54" s="522"/>
      <c r="E54" s="511"/>
      <c r="F54" s="512"/>
      <c r="G54" s="512"/>
      <c r="H54" s="512"/>
      <c r="I54" s="512"/>
      <c r="J54" s="513"/>
      <c r="K54" s="536">
        <v>0.9861111111094942</v>
      </c>
      <c r="L54" s="537"/>
      <c r="M54" s="537"/>
      <c r="N54" s="537"/>
      <c r="O54" s="537"/>
      <c r="P54" s="538"/>
      <c r="Q54" s="505">
        <f>IF(AND(NOT(ISBLANK(K54)),NOT(ISBLANK(E54))), IF(K54&gt;E54,K54-E54,24-E54+K54), "")</f>
      </c>
      <c r="R54" s="506"/>
      <c r="S54" s="506"/>
      <c r="T54" s="506"/>
      <c r="U54" s="506"/>
      <c r="V54" s="507"/>
      <c r="W54" s="514" t="s">
        <v>184</v>
      </c>
      <c r="X54" s="515"/>
      <c r="Y54" s="515"/>
      <c r="Z54" s="515"/>
      <c r="AA54" s="515"/>
      <c r="AB54" s="515"/>
      <c r="AC54" s="515"/>
      <c r="AD54" s="515"/>
      <c r="AE54" s="515"/>
      <c r="AF54" s="515"/>
      <c r="AG54" s="515"/>
      <c r="AH54" s="515"/>
      <c r="AI54" s="515"/>
      <c r="AJ54" s="516"/>
      <c r="AK54" s="496"/>
    </row>
    <row r="55" ht="15.75" customHeight="1" spans="1:37" s="481" customFormat="1" x14ac:dyDescent="0.25">
      <c r="A55" s="520"/>
      <c r="B55" s="521"/>
      <c r="C55" s="521"/>
      <c r="D55" s="522"/>
      <c r="E55" s="511"/>
      <c r="F55" s="512"/>
      <c r="G55" s="512"/>
      <c r="H55" s="512"/>
      <c r="I55" s="512"/>
      <c r="J55" s="513"/>
      <c r="K55" s="517"/>
      <c r="L55" s="518"/>
      <c r="M55" s="518"/>
      <c r="N55" s="518"/>
      <c r="O55" s="518"/>
      <c r="P55" s="519"/>
      <c r="Q55" s="505">
        <f t="shared" ref="Q55" si="8">IF(AND(NOT(ISBLANK(K55)),NOT(ISBLANK(E55))), IF(K55&gt;E55,K55-E55,24-E55+K55), "")</f>
      </c>
      <c r="R55" s="506"/>
      <c r="S55" s="506"/>
      <c r="T55" s="506"/>
      <c r="U55" s="506"/>
      <c r="V55" s="507"/>
      <c r="W55" s="508"/>
      <c r="X55" s="509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10"/>
      <c r="AK55" s="496"/>
    </row>
    <row r="56" ht="15.75" customHeight="1" spans="1:37" s="481" customFormat="1" x14ac:dyDescent="0.25">
      <c r="A56" s="520"/>
      <c r="B56" s="521"/>
      <c r="C56" s="521"/>
      <c r="D56" s="522"/>
      <c r="E56" s="511"/>
      <c r="F56" s="512"/>
      <c r="G56" s="512"/>
      <c r="H56" s="512"/>
      <c r="I56" s="512"/>
      <c r="J56" s="513"/>
      <c r="K56" s="517"/>
      <c r="L56" s="518"/>
      <c r="M56" s="518"/>
      <c r="N56" s="518"/>
      <c r="O56" s="518"/>
      <c r="P56" s="519"/>
      <c r="Q56" s="505">
        <f>IF(AND(NOT(ISBLANK(K56)),NOT(ISBLANK(E56))), IF(K56&gt;E56,K56-E56,24-E56+K56), "")</f>
      </c>
      <c r="R56" s="506"/>
      <c r="S56" s="506"/>
      <c r="T56" s="506"/>
      <c r="U56" s="506"/>
      <c r="V56" s="507"/>
      <c r="W56" s="514"/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16"/>
      <c r="AK56" s="496"/>
    </row>
    <row r="57" ht="15.75" customHeight="1" spans="1:37" s="481" customFormat="1" x14ac:dyDescent="0.25">
      <c r="A57" s="520"/>
      <c r="B57" s="521"/>
      <c r="C57" s="521"/>
      <c r="D57" s="522"/>
      <c r="E57" s="511"/>
      <c r="F57" s="512"/>
      <c r="G57" s="512"/>
      <c r="H57" s="512"/>
      <c r="I57" s="512"/>
      <c r="J57" s="513"/>
      <c r="K57" s="517"/>
      <c r="L57" s="518"/>
      <c r="M57" s="518"/>
      <c r="N57" s="518"/>
      <c r="O57" s="518"/>
      <c r="P57" s="519"/>
      <c r="Q57" s="505">
        <f t="shared" ref="Q57" si="9">IF(AND(NOT(ISBLANK(K57)),NOT(ISBLANK(E57))), IF(K57&gt;E57,K57-E57,24-E57+K57), "")</f>
      </c>
      <c r="R57" s="506"/>
      <c r="S57" s="506"/>
      <c r="T57" s="506"/>
      <c r="U57" s="506"/>
      <c r="V57" s="507"/>
      <c r="W57" s="508"/>
      <c r="X57" s="509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10"/>
      <c r="AK57" s="496"/>
    </row>
    <row r="58" ht="15.75" customHeight="1" spans="1:37" s="481" customFormat="1" x14ac:dyDescent="0.25">
      <c r="A58" s="520"/>
      <c r="B58" s="521"/>
      <c r="C58" s="521"/>
      <c r="D58" s="522"/>
      <c r="E58" s="485"/>
      <c r="F58" s="486"/>
      <c r="G58" s="486"/>
      <c r="H58" s="486"/>
      <c r="I58" s="486"/>
      <c r="J58" s="487"/>
      <c r="K58" s="503"/>
      <c r="L58" s="501"/>
      <c r="M58" s="501"/>
      <c r="N58" s="501"/>
      <c r="O58" s="501"/>
      <c r="P58" s="504"/>
      <c r="Q58" s="505"/>
      <c r="R58" s="506"/>
      <c r="S58" s="506"/>
      <c r="T58" s="506"/>
      <c r="U58" s="506"/>
      <c r="V58" s="507"/>
      <c r="W58" s="508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10"/>
      <c r="AK58" s="496"/>
    </row>
    <row r="59" ht="15.75" customHeight="1" spans="1:37" s="481" customFormat="1" x14ac:dyDescent="0.25">
      <c r="A59" s="520"/>
      <c r="B59" s="521"/>
      <c r="C59" s="521"/>
      <c r="D59" s="522"/>
      <c r="E59" s="485"/>
      <c r="F59" s="486"/>
      <c r="G59" s="486"/>
      <c r="H59" s="486"/>
      <c r="I59" s="486"/>
      <c r="J59" s="487"/>
      <c r="K59" s="503"/>
      <c r="L59" s="501"/>
      <c r="M59" s="501"/>
      <c r="N59" s="501"/>
      <c r="O59" s="501"/>
      <c r="P59" s="504"/>
      <c r="Q59" s="505"/>
      <c r="R59" s="506"/>
      <c r="S59" s="506"/>
      <c r="T59" s="506"/>
      <c r="U59" s="506"/>
      <c r="V59" s="507"/>
      <c r="W59" s="508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10"/>
      <c r="AK59" s="496"/>
    </row>
    <row r="60" ht="15.75" customHeight="1" hidden="1" spans="1:37" s="481" customFormat="1" x14ac:dyDescent="0.25">
      <c r="A60" s="497"/>
      <c r="B60" s="498"/>
      <c r="C60" s="498"/>
      <c r="D60" s="499"/>
      <c r="E60" s="485"/>
      <c r="F60" s="486"/>
      <c r="G60" s="486"/>
      <c r="H60" s="486"/>
      <c r="I60" s="486"/>
      <c r="J60" s="487"/>
      <c r="K60" s="503"/>
      <c r="L60" s="501"/>
      <c r="M60" s="501"/>
      <c r="N60" s="501"/>
      <c r="O60" s="501"/>
      <c r="P60" s="504"/>
      <c r="Q60" s="505"/>
      <c r="R60" s="506"/>
      <c r="S60" s="506"/>
      <c r="T60" s="506"/>
      <c r="U60" s="506"/>
      <c r="V60" s="507"/>
      <c r="W60" s="508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10"/>
      <c r="AK60" s="496"/>
    </row>
    <row r="61" ht="15.75" customHeight="1" hidden="1" spans="1:37" s="481" customFormat="1" x14ac:dyDescent="0.25">
      <c r="A61" s="520"/>
      <c r="B61" s="521"/>
      <c r="C61" s="521"/>
      <c r="D61" s="522"/>
      <c r="E61" s="500"/>
      <c r="F61" s="501"/>
      <c r="G61" s="501"/>
      <c r="H61" s="501"/>
      <c r="I61" s="501"/>
      <c r="J61" s="502"/>
      <c r="K61" s="503"/>
      <c r="L61" s="501"/>
      <c r="M61" s="501"/>
      <c r="N61" s="501"/>
      <c r="O61" s="501"/>
      <c r="P61" s="504"/>
      <c r="Q61" s="505">
        <f t="shared" ref="Q61:Q63" si="10">IF(AND(NOT(ISBLANK(K61)),NOT(ISBLANK(E61))), IF(K61&gt;E61,K61-E61,24-E61+K61), "")</f>
      </c>
      <c r="R61" s="506"/>
      <c r="S61" s="506"/>
      <c r="T61" s="506"/>
      <c r="U61" s="506"/>
      <c r="V61" s="507"/>
      <c r="W61" s="508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10"/>
      <c r="AK61" s="496"/>
    </row>
    <row r="62" ht="15.75" customHeight="1" hidden="1" spans="1:37" s="481" customFormat="1" x14ac:dyDescent="0.25">
      <c r="A62" s="520"/>
      <c r="B62" s="521"/>
      <c r="C62" s="521"/>
      <c r="D62" s="522"/>
      <c r="E62" s="500"/>
      <c r="F62" s="501"/>
      <c r="G62" s="501"/>
      <c r="H62" s="501"/>
      <c r="I62" s="501"/>
      <c r="J62" s="502"/>
      <c r="K62" s="503"/>
      <c r="L62" s="501"/>
      <c r="M62" s="501"/>
      <c r="N62" s="501"/>
      <c r="O62" s="501"/>
      <c r="P62" s="504"/>
      <c r="Q62" s="505">
        <f t="shared" si="10"/>
      </c>
      <c r="R62" s="506"/>
      <c r="S62" s="506"/>
      <c r="T62" s="506"/>
      <c r="U62" s="506"/>
      <c r="V62" s="507"/>
      <c r="W62" s="508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10"/>
      <c r="AK62" s="496"/>
    </row>
    <row r="63" ht="15.75" customHeight="1" hidden="1" spans="1:37" s="481" customFormat="1" x14ac:dyDescent="0.25">
      <c r="A63" s="520"/>
      <c r="B63" s="521"/>
      <c r="C63" s="521"/>
      <c r="D63" s="522"/>
      <c r="E63" s="500"/>
      <c r="F63" s="501"/>
      <c r="G63" s="501"/>
      <c r="H63" s="501"/>
      <c r="I63" s="501"/>
      <c r="J63" s="502"/>
      <c r="K63" s="503"/>
      <c r="L63" s="501"/>
      <c r="M63" s="501"/>
      <c r="N63" s="501"/>
      <c r="O63" s="501"/>
      <c r="P63" s="504"/>
      <c r="Q63" s="505">
        <f t="shared" si="10"/>
      </c>
      <c r="R63" s="506"/>
      <c r="S63" s="506"/>
      <c r="T63" s="506"/>
      <c r="U63" s="506"/>
      <c r="V63" s="507"/>
      <c r="W63" s="508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10"/>
      <c r="AK63" s="496"/>
    </row>
    <row r="64" ht="15.75" customHeight="1" hidden="1" spans="1:37" s="481" customFormat="1" x14ac:dyDescent="0.25">
      <c r="A64" s="520"/>
      <c r="B64" s="521"/>
      <c r="C64" s="521"/>
      <c r="D64" s="522"/>
      <c r="E64" s="500"/>
      <c r="F64" s="501"/>
      <c r="G64" s="501"/>
      <c r="H64" s="501"/>
      <c r="I64" s="501"/>
      <c r="J64" s="502"/>
      <c r="K64" s="501"/>
      <c r="L64" s="501"/>
      <c r="M64" s="501"/>
      <c r="N64" s="501"/>
      <c r="O64" s="501"/>
      <c r="P64" s="504"/>
      <c r="Q64" s="505">
        <f t="shared" ref="Q64:Q66" si="11">IF(AND(NOT(ISBLANK(K64)),NOT(ISBLANK(E64))), IF(K64&gt;E64,K64-E64,24-E64+K64), "")</f>
      </c>
      <c r="R64" s="506"/>
      <c r="S64" s="506"/>
      <c r="T64" s="506"/>
      <c r="U64" s="506"/>
      <c r="V64" s="507"/>
      <c r="W64" s="508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10"/>
      <c r="AK64" s="496"/>
    </row>
    <row r="65" ht="15.75" customHeight="1" hidden="1" spans="1:37" s="481" customFormat="1" x14ac:dyDescent="0.25">
      <c r="A65" s="520"/>
      <c r="B65" s="521"/>
      <c r="C65" s="521"/>
      <c r="D65" s="522"/>
      <c r="E65" s="500"/>
      <c r="F65" s="501"/>
      <c r="G65" s="501"/>
      <c r="H65" s="501"/>
      <c r="I65" s="501"/>
      <c r="J65" s="502"/>
      <c r="K65" s="501"/>
      <c r="L65" s="501"/>
      <c r="M65" s="501"/>
      <c r="N65" s="501"/>
      <c r="O65" s="501"/>
      <c r="P65" s="504"/>
      <c r="Q65" s="505">
        <f t="shared" si="11"/>
      </c>
      <c r="R65" s="506"/>
      <c r="S65" s="506"/>
      <c r="T65" s="506"/>
      <c r="U65" s="506"/>
      <c r="V65" s="507"/>
      <c r="W65" s="508" t="s">
        <v>35</v>
      </c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10"/>
      <c r="AK65" s="496"/>
    </row>
    <row r="66" ht="15.75" customHeight="1" hidden="1" spans="1:37" s="481" customFormat="1" x14ac:dyDescent="0.25">
      <c r="A66" s="520"/>
      <c r="B66" s="521"/>
      <c r="C66" s="521"/>
      <c r="D66" s="522"/>
      <c r="E66" s="500"/>
      <c r="F66" s="501"/>
      <c r="G66" s="501"/>
      <c r="H66" s="501"/>
      <c r="I66" s="501"/>
      <c r="J66" s="502"/>
      <c r="K66" s="501"/>
      <c r="L66" s="501"/>
      <c r="M66" s="501"/>
      <c r="N66" s="501"/>
      <c r="O66" s="501"/>
      <c r="P66" s="504"/>
      <c r="Q66" s="505">
        <f t="shared" si="11"/>
      </c>
      <c r="R66" s="506"/>
      <c r="S66" s="506"/>
      <c r="T66" s="506"/>
      <c r="U66" s="506"/>
      <c r="V66" s="507"/>
      <c r="W66" s="508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10"/>
      <c r="AK66" s="496"/>
    </row>
    <row r="67" ht="15.75" customHeight="1" hidden="1" spans="1:37" s="481" customFormat="1" x14ac:dyDescent="0.25">
      <c r="A67" s="520"/>
      <c r="B67" s="521"/>
      <c r="C67" s="521"/>
      <c r="D67" s="522"/>
      <c r="E67" s="500"/>
      <c r="F67" s="501"/>
      <c r="G67" s="501"/>
      <c r="H67" s="501"/>
      <c r="I67" s="501"/>
      <c r="J67" s="502"/>
      <c r="K67" s="501"/>
      <c r="L67" s="501"/>
      <c r="M67" s="501"/>
      <c r="N67" s="501"/>
      <c r="O67" s="501"/>
      <c r="P67" s="504"/>
      <c r="Q67" s="523"/>
      <c r="R67" s="524"/>
      <c r="S67" s="524"/>
      <c r="T67" s="524"/>
      <c r="U67" s="524"/>
      <c r="V67" s="525"/>
      <c r="W67" s="508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10"/>
      <c r="AK67" s="496"/>
    </row>
    <row r="68" ht="15.75" customHeight="1" spans="1:37" s="41" customFormat="1" x14ac:dyDescent="0.25">
      <c r="A68" s="526"/>
      <c r="B68" s="527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8"/>
      <c r="Q68" s="529">
        <f>SUM(Q52:V67)</f>
        <v>0.18402777777737356</v>
      </c>
      <c r="R68" s="530"/>
      <c r="S68" s="530"/>
      <c r="T68" s="530"/>
      <c r="U68" s="530"/>
      <c r="V68" s="531"/>
      <c r="W68" s="532"/>
      <c r="X68" s="533"/>
      <c r="Y68" s="533"/>
      <c r="Z68" s="533"/>
      <c r="AA68" s="533"/>
      <c r="AB68" s="533"/>
      <c r="AC68" s="533"/>
      <c r="AD68" s="533"/>
      <c r="AE68" s="533"/>
      <c r="AF68" s="533"/>
      <c r="AG68" s="533"/>
      <c r="AH68" s="533"/>
      <c r="AI68" s="533"/>
      <c r="AJ68" s="534"/>
      <c r="AK68" s="535"/>
    </row>
    <row r="69" ht="21" customHeight="1" hidden="1" spans="1:36" x14ac:dyDescent="0.25">
      <c r="A69" s="475" t="s">
        <v>177</v>
      </c>
      <c r="B69" s="476"/>
      <c r="C69" s="476"/>
      <c r="D69" s="477"/>
      <c r="E69" s="478" t="s">
        <v>178</v>
      </c>
      <c r="F69" s="479"/>
      <c r="G69" s="479"/>
      <c r="H69" s="479"/>
      <c r="I69" s="479"/>
      <c r="J69" s="479"/>
      <c r="K69" s="479" t="s">
        <v>179</v>
      </c>
      <c r="L69" s="479"/>
      <c r="M69" s="479"/>
      <c r="N69" s="479"/>
      <c r="O69" s="479"/>
      <c r="P69" s="480"/>
      <c r="Q69" s="478" t="s">
        <v>180</v>
      </c>
      <c r="R69" s="479"/>
      <c r="S69" s="479"/>
      <c r="T69" s="479"/>
      <c r="U69" s="479"/>
      <c r="V69" s="480"/>
      <c r="W69" s="478" t="s">
        <v>52</v>
      </c>
      <c r="X69" s="479"/>
      <c r="Y69" s="479"/>
      <c r="Z69" s="479"/>
      <c r="AA69" s="479"/>
      <c r="AB69" s="479"/>
      <c r="AC69" s="479"/>
      <c r="AD69" s="479"/>
      <c r="AE69" s="479"/>
      <c r="AF69" s="479"/>
      <c r="AG69" s="479"/>
      <c r="AH69" s="479"/>
      <c r="AI69" s="479"/>
      <c r="AJ69" s="480"/>
    </row>
    <row r="70" ht="15.75" customHeight="1" hidden="1" spans="1:37" s="481" customFormat="1" x14ac:dyDescent="0.25">
      <c r="A70" s="482" t="s">
        <v>186</v>
      </c>
      <c r="B70" s="483"/>
      <c r="C70" s="483"/>
      <c r="D70" s="484"/>
      <c r="E70" s="485"/>
      <c r="F70" s="486"/>
      <c r="G70" s="486"/>
      <c r="H70" s="486"/>
      <c r="I70" s="486"/>
      <c r="J70" s="487"/>
      <c r="K70" s="488"/>
      <c r="L70" s="486"/>
      <c r="M70" s="486"/>
      <c r="N70" s="486"/>
      <c r="O70" s="486"/>
      <c r="P70" s="489"/>
      <c r="Q70" s="490"/>
      <c r="R70" s="491"/>
      <c r="S70" s="491"/>
      <c r="T70" s="491"/>
      <c r="U70" s="491"/>
      <c r="V70" s="492"/>
      <c r="W70" s="493"/>
      <c r="X70" s="494"/>
      <c r="Y70" s="494"/>
      <c r="Z70" s="494"/>
      <c r="AA70" s="494"/>
      <c r="AB70" s="494"/>
      <c r="AC70" s="494"/>
      <c r="AD70" s="494"/>
      <c r="AE70" s="494"/>
      <c r="AF70" s="494"/>
      <c r="AG70" s="494"/>
      <c r="AH70" s="494"/>
      <c r="AI70" s="494"/>
      <c r="AJ70" s="495"/>
      <c r="AK70" s="496"/>
    </row>
    <row r="71" ht="15.75" customHeight="1" hidden="1" spans="1:37" s="481" customFormat="1" x14ac:dyDescent="0.25">
      <c r="A71" s="497"/>
      <c r="B71" s="498"/>
      <c r="C71" s="498"/>
      <c r="D71" s="499"/>
      <c r="E71" s="500"/>
      <c r="F71" s="501"/>
      <c r="G71" s="501"/>
      <c r="H71" s="501"/>
      <c r="I71" s="501"/>
      <c r="J71" s="502"/>
      <c r="K71" s="503"/>
      <c r="L71" s="501"/>
      <c r="M71" s="501"/>
      <c r="N71" s="501"/>
      <c r="O71" s="501"/>
      <c r="P71" s="504"/>
      <c r="Q71" s="505"/>
      <c r="R71" s="506"/>
      <c r="S71" s="506"/>
      <c r="T71" s="506"/>
      <c r="U71" s="506"/>
      <c r="V71" s="507"/>
      <c r="W71" s="508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10"/>
      <c r="AK71" s="496"/>
    </row>
    <row r="72" ht="15.75" customHeight="1" hidden="1" spans="1:37" s="481" customFormat="1" x14ac:dyDescent="0.25">
      <c r="A72" s="497"/>
      <c r="B72" s="498"/>
      <c r="C72" s="498"/>
      <c r="D72" s="499"/>
      <c r="E72" s="511"/>
      <c r="F72" s="512"/>
      <c r="G72" s="512"/>
      <c r="H72" s="512"/>
      <c r="I72" s="512"/>
      <c r="J72" s="513"/>
      <c r="K72" s="517"/>
      <c r="L72" s="518"/>
      <c r="M72" s="518"/>
      <c r="N72" s="518"/>
      <c r="O72" s="518"/>
      <c r="P72" s="519"/>
      <c r="Q72" s="505"/>
      <c r="R72" s="506"/>
      <c r="S72" s="506"/>
      <c r="T72" s="506"/>
      <c r="U72" s="506"/>
      <c r="V72" s="507"/>
      <c r="W72" s="539"/>
      <c r="X72" s="540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1"/>
      <c r="AK72" s="496"/>
    </row>
    <row r="73" ht="15.75" customHeight="1" hidden="1" spans="1:37" s="481" customFormat="1" x14ac:dyDescent="0.25">
      <c r="A73" s="497"/>
      <c r="B73" s="498"/>
      <c r="C73" s="498"/>
      <c r="D73" s="499"/>
      <c r="E73" s="511"/>
      <c r="F73" s="512"/>
      <c r="G73" s="512"/>
      <c r="H73" s="512"/>
      <c r="I73" s="512"/>
      <c r="J73" s="513"/>
      <c r="K73" s="517"/>
      <c r="L73" s="518"/>
      <c r="M73" s="518"/>
      <c r="N73" s="518"/>
      <c r="O73" s="518"/>
      <c r="P73" s="519"/>
      <c r="Q73" s="505"/>
      <c r="R73" s="506"/>
      <c r="S73" s="506"/>
      <c r="T73" s="506"/>
      <c r="U73" s="506"/>
      <c r="V73" s="507"/>
      <c r="W73" s="508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10"/>
      <c r="AK73" s="496"/>
    </row>
    <row r="74" ht="15.75" customHeight="1" hidden="1" spans="1:37" s="481" customFormat="1" x14ac:dyDescent="0.25">
      <c r="A74" s="520"/>
      <c r="B74" s="521"/>
      <c r="C74" s="521"/>
      <c r="D74" s="522"/>
      <c r="E74" s="485"/>
      <c r="F74" s="486"/>
      <c r="G74" s="486"/>
      <c r="H74" s="486"/>
      <c r="I74" s="486"/>
      <c r="J74" s="487"/>
      <c r="K74" s="503"/>
      <c r="L74" s="501"/>
      <c r="M74" s="501"/>
      <c r="N74" s="501"/>
      <c r="O74" s="501"/>
      <c r="P74" s="504"/>
      <c r="Q74" s="505"/>
      <c r="R74" s="506"/>
      <c r="S74" s="506"/>
      <c r="T74" s="506"/>
      <c r="U74" s="506"/>
      <c r="V74" s="507"/>
      <c r="W74" s="508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10"/>
      <c r="AK74" s="496"/>
    </row>
    <row r="75" ht="15.75" customHeight="1" hidden="1" spans="1:37" s="481" customFormat="1" x14ac:dyDescent="0.25">
      <c r="A75" s="520"/>
      <c r="B75" s="521"/>
      <c r="C75" s="521"/>
      <c r="D75" s="522"/>
      <c r="E75" s="485"/>
      <c r="F75" s="486"/>
      <c r="G75" s="486"/>
      <c r="H75" s="486"/>
      <c r="I75" s="486"/>
      <c r="J75" s="487"/>
      <c r="K75" s="503"/>
      <c r="L75" s="501"/>
      <c r="M75" s="501"/>
      <c r="N75" s="501"/>
      <c r="O75" s="501"/>
      <c r="P75" s="504"/>
      <c r="Q75" s="505"/>
      <c r="R75" s="506"/>
      <c r="S75" s="506"/>
      <c r="T75" s="506"/>
      <c r="U75" s="506"/>
      <c r="V75" s="507"/>
      <c r="W75" s="508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10"/>
      <c r="AK75" s="496"/>
    </row>
    <row r="76" ht="15.6" customHeight="1" hidden="1" spans="1:36" s="481" customFormat="1" x14ac:dyDescent="0.25">
      <c r="A76" s="520"/>
      <c r="B76" s="521"/>
      <c r="C76" s="521"/>
      <c r="D76" s="522"/>
      <c r="E76" s="500"/>
      <c r="F76" s="501"/>
      <c r="G76" s="501"/>
      <c r="H76" s="501"/>
      <c r="I76" s="501"/>
      <c r="J76" s="502"/>
      <c r="K76" s="503"/>
      <c r="L76" s="501"/>
      <c r="M76" s="501"/>
      <c r="N76" s="501"/>
      <c r="O76" s="501"/>
      <c r="P76" s="504"/>
      <c r="Q76" s="505">
        <f t="shared" ref="Q76:Q84" si="12">IF(AND(NOT(ISBLANK(K76)),NOT(ISBLANK(E76))), IF(K76&gt;E76,K76-E76,24-E76+K76), "")</f>
      </c>
      <c r="R76" s="506"/>
      <c r="S76" s="506"/>
      <c r="T76" s="506"/>
      <c r="U76" s="506"/>
      <c r="V76" s="507"/>
      <c r="W76" s="508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10"/>
    </row>
    <row r="77" ht="15.75" customHeight="1" hidden="1" spans="1:36" s="481" customFormat="1" x14ac:dyDescent="0.25">
      <c r="A77" s="520"/>
      <c r="B77" s="521"/>
      <c r="C77" s="521"/>
      <c r="D77" s="522"/>
      <c r="E77" s="500"/>
      <c r="F77" s="501"/>
      <c r="G77" s="501"/>
      <c r="H77" s="501"/>
      <c r="I77" s="501"/>
      <c r="J77" s="502"/>
      <c r="K77" s="503"/>
      <c r="L77" s="501"/>
      <c r="M77" s="501"/>
      <c r="N77" s="501"/>
      <c r="O77" s="501"/>
      <c r="P77" s="504"/>
      <c r="Q77" s="505">
        <f t="shared" si="12"/>
      </c>
      <c r="R77" s="506"/>
      <c r="S77" s="506"/>
      <c r="T77" s="506"/>
      <c r="U77" s="506"/>
      <c r="V77" s="507"/>
      <c r="W77" s="508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10"/>
    </row>
    <row r="78" ht="15.75" customHeight="1" hidden="1" spans="1:36" s="481" customFormat="1" x14ac:dyDescent="0.25">
      <c r="A78" s="520"/>
      <c r="B78" s="521"/>
      <c r="C78" s="521"/>
      <c r="D78" s="522"/>
      <c r="E78" s="500"/>
      <c r="F78" s="501"/>
      <c r="G78" s="501"/>
      <c r="H78" s="501"/>
      <c r="I78" s="501"/>
      <c r="J78" s="502"/>
      <c r="K78" s="503"/>
      <c r="L78" s="501"/>
      <c r="M78" s="501"/>
      <c r="N78" s="501"/>
      <c r="O78" s="501"/>
      <c r="P78" s="504"/>
      <c r="Q78" s="505">
        <f t="shared" si="12"/>
      </c>
      <c r="R78" s="506"/>
      <c r="S78" s="506"/>
      <c r="T78" s="506"/>
      <c r="U78" s="506"/>
      <c r="V78" s="507"/>
      <c r="W78" s="508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10"/>
    </row>
    <row r="79" ht="15.75" customHeight="1" hidden="1" spans="1:36" s="481" customFormat="1" x14ac:dyDescent="0.25">
      <c r="A79" s="520"/>
      <c r="B79" s="521"/>
      <c r="C79" s="521"/>
      <c r="D79" s="522"/>
      <c r="E79" s="500"/>
      <c r="F79" s="501"/>
      <c r="G79" s="501"/>
      <c r="H79" s="501"/>
      <c r="I79" s="501"/>
      <c r="J79" s="502"/>
      <c r="K79" s="503"/>
      <c r="L79" s="501"/>
      <c r="M79" s="501"/>
      <c r="N79" s="501"/>
      <c r="O79" s="501"/>
      <c r="P79" s="504"/>
      <c r="Q79" s="505">
        <f t="shared" si="12"/>
      </c>
      <c r="R79" s="506"/>
      <c r="S79" s="506"/>
      <c r="T79" s="506"/>
      <c r="U79" s="506"/>
      <c r="V79" s="507"/>
      <c r="W79" s="508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10"/>
    </row>
    <row r="80" ht="15.75" customHeight="1" hidden="1" spans="1:36" s="481" customFormat="1" x14ac:dyDescent="0.25">
      <c r="A80" s="520"/>
      <c r="B80" s="521"/>
      <c r="C80" s="521"/>
      <c r="D80" s="522"/>
      <c r="E80" s="500"/>
      <c r="F80" s="501"/>
      <c r="G80" s="501"/>
      <c r="H80" s="501"/>
      <c r="I80" s="501"/>
      <c r="J80" s="502"/>
      <c r="K80" s="503"/>
      <c r="L80" s="501"/>
      <c r="M80" s="501"/>
      <c r="N80" s="501"/>
      <c r="O80" s="501"/>
      <c r="P80" s="504"/>
      <c r="Q80" s="505">
        <f t="shared" si="12"/>
      </c>
      <c r="R80" s="506"/>
      <c r="S80" s="506"/>
      <c r="T80" s="506"/>
      <c r="U80" s="506"/>
      <c r="V80" s="507"/>
      <c r="W80" s="508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10"/>
    </row>
    <row r="81" ht="15.75" customHeight="1" hidden="1" spans="1:36" s="481" customFormat="1" x14ac:dyDescent="0.25">
      <c r="A81" s="520"/>
      <c r="B81" s="521"/>
      <c r="C81" s="521"/>
      <c r="D81" s="522"/>
      <c r="E81" s="500"/>
      <c r="F81" s="501"/>
      <c r="G81" s="501"/>
      <c r="H81" s="501"/>
      <c r="I81" s="501"/>
      <c r="J81" s="502"/>
      <c r="K81" s="503"/>
      <c r="L81" s="501"/>
      <c r="M81" s="501"/>
      <c r="N81" s="501"/>
      <c r="O81" s="501"/>
      <c r="P81" s="504"/>
      <c r="Q81" s="505">
        <f t="shared" si="12"/>
      </c>
      <c r="R81" s="506"/>
      <c r="S81" s="506"/>
      <c r="T81" s="506"/>
      <c r="U81" s="506"/>
      <c r="V81" s="507"/>
      <c r="W81" s="508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10"/>
    </row>
    <row r="82" ht="15.75" customHeight="1" hidden="1" spans="1:36" s="481" customFormat="1" x14ac:dyDescent="0.25">
      <c r="A82" s="520"/>
      <c r="B82" s="521"/>
      <c r="C82" s="521"/>
      <c r="D82" s="522"/>
      <c r="E82" s="500"/>
      <c r="F82" s="501"/>
      <c r="G82" s="501"/>
      <c r="H82" s="501"/>
      <c r="I82" s="501"/>
      <c r="J82" s="502"/>
      <c r="K82" s="503"/>
      <c r="L82" s="501"/>
      <c r="M82" s="501"/>
      <c r="N82" s="501"/>
      <c r="O82" s="501"/>
      <c r="P82" s="504"/>
      <c r="Q82" s="505">
        <f t="shared" si="12"/>
      </c>
      <c r="R82" s="506"/>
      <c r="S82" s="506"/>
      <c r="T82" s="506"/>
      <c r="U82" s="506"/>
      <c r="V82" s="507"/>
      <c r="W82" s="508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10"/>
    </row>
    <row r="83" ht="15.75" customHeight="1" hidden="1" spans="1:36" s="481" customFormat="1" x14ac:dyDescent="0.25">
      <c r="A83" s="520"/>
      <c r="B83" s="521"/>
      <c r="C83" s="521"/>
      <c r="D83" s="522"/>
      <c r="E83" s="500"/>
      <c r="F83" s="501"/>
      <c r="G83" s="501"/>
      <c r="H83" s="501"/>
      <c r="I83" s="501"/>
      <c r="J83" s="502"/>
      <c r="K83" s="503"/>
      <c r="L83" s="501"/>
      <c r="M83" s="501"/>
      <c r="N83" s="501"/>
      <c r="O83" s="501"/>
      <c r="P83" s="504"/>
      <c r="Q83" s="505">
        <f t="shared" si="12"/>
      </c>
      <c r="R83" s="506"/>
      <c r="S83" s="506"/>
      <c r="T83" s="506"/>
      <c r="U83" s="506"/>
      <c r="V83" s="507"/>
      <c r="W83" s="508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10"/>
    </row>
    <row r="84" ht="15.75" customHeight="1" hidden="1" spans="1:37" s="481" customFormat="1" x14ac:dyDescent="0.25">
      <c r="A84" s="520"/>
      <c r="B84" s="521"/>
      <c r="C84" s="521"/>
      <c r="D84" s="522"/>
      <c r="E84" s="500"/>
      <c r="F84" s="501"/>
      <c r="G84" s="501"/>
      <c r="H84" s="501"/>
      <c r="I84" s="501"/>
      <c r="J84" s="502"/>
      <c r="K84" s="501"/>
      <c r="L84" s="501"/>
      <c r="M84" s="501"/>
      <c r="N84" s="501"/>
      <c r="O84" s="501"/>
      <c r="P84" s="504"/>
      <c r="Q84" s="505">
        <f t="shared" si="12"/>
      </c>
      <c r="R84" s="506"/>
      <c r="S84" s="506"/>
      <c r="T84" s="506"/>
      <c r="U84" s="506"/>
      <c r="V84" s="507"/>
      <c r="W84" s="508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10"/>
      <c r="AK84" s="496"/>
    </row>
    <row r="85" ht="15.75" customHeight="1" hidden="1" spans="1:37" s="481" customFormat="1" x14ac:dyDescent="0.25">
      <c r="A85" s="520"/>
      <c r="B85" s="521"/>
      <c r="C85" s="521"/>
      <c r="D85" s="522"/>
      <c r="E85" s="500"/>
      <c r="F85" s="501"/>
      <c r="G85" s="501"/>
      <c r="H85" s="501"/>
      <c r="I85" s="501"/>
      <c r="J85" s="502"/>
      <c r="K85" s="501"/>
      <c r="L85" s="501"/>
      <c r="M85" s="501"/>
      <c r="N85" s="501"/>
      <c r="O85" s="501"/>
      <c r="P85" s="504"/>
      <c r="Q85" s="523"/>
      <c r="R85" s="524"/>
      <c r="S85" s="524"/>
      <c r="T85" s="524"/>
      <c r="U85" s="524"/>
      <c r="V85" s="525"/>
      <c r="W85" s="508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10"/>
      <c r="AK85" s="496"/>
    </row>
    <row r="86" ht="15.75" customHeight="1" hidden="1" spans="1:37" s="41" customFormat="1" x14ac:dyDescent="0.25">
      <c r="A86" s="526"/>
      <c r="B86" s="527"/>
      <c r="C86" s="527"/>
      <c r="D86" s="527"/>
      <c r="E86" s="527"/>
      <c r="F86" s="527"/>
      <c r="G86" s="527"/>
      <c r="H86" s="527"/>
      <c r="I86" s="527"/>
      <c r="J86" s="527"/>
      <c r="K86" s="527"/>
      <c r="L86" s="527"/>
      <c r="M86" s="527"/>
      <c r="N86" s="527"/>
      <c r="O86" s="527"/>
      <c r="P86" s="528"/>
      <c r="Q86" s="529">
        <f>SUM(Q70:V85)</f>
        <v>0</v>
      </c>
      <c r="R86" s="530"/>
      <c r="S86" s="530"/>
      <c r="T86" s="530"/>
      <c r="U86" s="530"/>
      <c r="V86" s="531"/>
      <c r="W86" s="532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4"/>
      <c r="AK86" s="535"/>
    </row>
    <row r="87" ht="15.75" customHeight="1" hidden="1" spans="1:37" s="481" customFormat="1" x14ac:dyDescent="0.25">
      <c r="A87" s="482" t="s">
        <v>186</v>
      </c>
      <c r="B87" s="483"/>
      <c r="C87" s="483"/>
      <c r="D87" s="484"/>
      <c r="E87" s="485">
        <v>0.3333333333321207</v>
      </c>
      <c r="F87" s="486"/>
      <c r="G87" s="486"/>
      <c r="H87" s="486"/>
      <c r="I87" s="486"/>
      <c r="J87" s="487"/>
      <c r="K87" s="488"/>
      <c r="L87" s="486"/>
      <c r="M87" s="486"/>
      <c r="N87" s="486"/>
      <c r="O87" s="486"/>
      <c r="P87" s="489"/>
      <c r="Q87" s="490">
        <f t="shared" ref="Q87:Q88" si="13">IF(AND(NOT(ISBLANK(K87)),NOT(ISBLANK(E87))), IF(K87&gt;E87,K87-E87,24-E87+K87), "")</f>
      </c>
      <c r="R87" s="491"/>
      <c r="S87" s="491"/>
      <c r="T87" s="491"/>
      <c r="U87" s="491"/>
      <c r="V87" s="492"/>
      <c r="W87" s="493" t="s">
        <v>182</v>
      </c>
      <c r="X87" s="494"/>
      <c r="Y87" s="494"/>
      <c r="Z87" s="494"/>
      <c r="AA87" s="494"/>
      <c r="AB87" s="494"/>
      <c r="AC87" s="494"/>
      <c r="AD87" s="494"/>
      <c r="AE87" s="494"/>
      <c r="AF87" s="494"/>
      <c r="AG87" s="494"/>
      <c r="AH87" s="494"/>
      <c r="AI87" s="494"/>
      <c r="AJ87" s="495"/>
      <c r="AK87" s="496"/>
    </row>
    <row r="88" ht="15.75" customHeight="1" hidden="1" spans="1:37" s="481" customFormat="1" x14ac:dyDescent="0.25">
      <c r="A88" s="497" t="s">
        <v>187</v>
      </c>
      <c r="B88" s="498"/>
      <c r="C88" s="498"/>
      <c r="D88" s="499"/>
      <c r="E88" s="500">
        <f>E87</f>
        <v>0.3333333333321207</v>
      </c>
      <c r="F88" s="501"/>
      <c r="G88" s="501"/>
      <c r="H88" s="501"/>
      <c r="I88" s="501"/>
      <c r="J88" s="502"/>
      <c r="K88" s="503">
        <v>0.3819444444452529</v>
      </c>
      <c r="L88" s="501"/>
      <c r="M88" s="501"/>
      <c r="N88" s="501"/>
      <c r="O88" s="501"/>
      <c r="P88" s="504"/>
      <c r="Q88" s="505">
        <f t="shared" si="13"/>
        <v>0.04861111110949423</v>
      </c>
      <c r="R88" s="506"/>
      <c r="S88" s="506"/>
      <c r="T88" s="506"/>
      <c r="U88" s="506"/>
      <c r="V88" s="507"/>
      <c r="W88" s="508" t="s">
        <v>183</v>
      </c>
      <c r="X88" s="509"/>
      <c r="Y88" s="509"/>
      <c r="Z88" s="509"/>
      <c r="AA88" s="509"/>
      <c r="AB88" s="509"/>
      <c r="AC88" s="509"/>
      <c r="AD88" s="509"/>
      <c r="AE88" s="509"/>
      <c r="AF88" s="509"/>
      <c r="AG88" s="509"/>
      <c r="AH88" s="509"/>
      <c r="AI88" s="509"/>
      <c r="AJ88" s="510"/>
      <c r="AK88" s="496"/>
    </row>
    <row r="89" ht="15.75" customHeight="1" hidden="1" spans="1:37" s="481" customFormat="1" x14ac:dyDescent="0.25">
      <c r="A89" s="520"/>
      <c r="B89" s="521"/>
      <c r="C89" s="521"/>
      <c r="D89" s="522"/>
      <c r="E89" s="511"/>
      <c r="F89" s="512"/>
      <c r="G89" s="512"/>
      <c r="H89" s="512"/>
      <c r="I89" s="512"/>
      <c r="J89" s="513"/>
      <c r="K89" s="542">
        <v>0.3819444444452529</v>
      </c>
      <c r="L89" s="512"/>
      <c r="M89" s="512"/>
      <c r="N89" s="512"/>
      <c r="O89" s="512"/>
      <c r="P89" s="543"/>
      <c r="Q89" s="505"/>
      <c r="R89" s="506"/>
      <c r="S89" s="506"/>
      <c r="T89" s="506"/>
      <c r="U89" s="506"/>
      <c r="V89" s="507"/>
      <c r="W89" s="539" t="s">
        <v>188</v>
      </c>
      <c r="X89" s="540"/>
      <c r="Y89" s="540"/>
      <c r="Z89" s="540"/>
      <c r="AA89" s="540"/>
      <c r="AB89" s="540"/>
      <c r="AC89" s="540"/>
      <c r="AD89" s="540"/>
      <c r="AE89" s="540"/>
      <c r="AF89" s="540"/>
      <c r="AG89" s="540"/>
      <c r="AH89" s="540"/>
      <c r="AI89" s="540"/>
      <c r="AJ89" s="541"/>
      <c r="AK89" s="496"/>
    </row>
    <row r="90" ht="15.75" customHeight="1" hidden="1" spans="1:37" s="481" customFormat="1" x14ac:dyDescent="0.25">
      <c r="A90" s="520"/>
      <c r="B90" s="521"/>
      <c r="C90" s="521"/>
      <c r="D90" s="522"/>
      <c r="E90" s="485">
        <v>0.40972222222262644</v>
      </c>
      <c r="F90" s="486"/>
      <c r="G90" s="486"/>
      <c r="H90" s="486"/>
      <c r="I90" s="486"/>
      <c r="J90" s="487"/>
      <c r="K90" s="488"/>
      <c r="L90" s="486"/>
      <c r="M90" s="486"/>
      <c r="N90" s="486"/>
      <c r="O90" s="486"/>
      <c r="P90" s="489"/>
      <c r="Q90" s="490">
        <f t="shared" ref="Q90:Q91" si="14">IF(AND(NOT(ISBLANK(K90)),NOT(ISBLANK(E90))), IF(K90&gt;E90,K90-E90,24-E90+K90), "")</f>
      </c>
      <c r="R90" s="491"/>
      <c r="S90" s="491"/>
      <c r="T90" s="491"/>
      <c r="U90" s="491"/>
      <c r="V90" s="492"/>
      <c r="W90" s="493" t="s">
        <v>189</v>
      </c>
      <c r="X90" s="494"/>
      <c r="Y90" s="494"/>
      <c r="Z90" s="494"/>
      <c r="AA90" s="494"/>
      <c r="AB90" s="494"/>
      <c r="AC90" s="494"/>
      <c r="AD90" s="494"/>
      <c r="AE90" s="494"/>
      <c r="AF90" s="494"/>
      <c r="AG90" s="494"/>
      <c r="AH90" s="494"/>
      <c r="AI90" s="494"/>
      <c r="AJ90" s="495"/>
      <c r="AK90" s="496"/>
    </row>
    <row r="91" ht="15.75" customHeight="1" hidden="1" spans="1:37" s="481" customFormat="1" x14ac:dyDescent="0.25">
      <c r="A91" s="520"/>
      <c r="B91" s="521"/>
      <c r="C91" s="521"/>
      <c r="D91" s="522"/>
      <c r="E91" s="500">
        <f>E90</f>
        <v>0.40972222222262644</v>
      </c>
      <c r="F91" s="501"/>
      <c r="G91" s="501"/>
      <c r="H91" s="501"/>
      <c r="I91" s="501"/>
      <c r="J91" s="502"/>
      <c r="K91" s="503">
        <v>0.4583333333321207</v>
      </c>
      <c r="L91" s="501"/>
      <c r="M91" s="501"/>
      <c r="N91" s="501"/>
      <c r="O91" s="501"/>
      <c r="P91" s="504"/>
      <c r="Q91" s="505">
        <f t="shared" si="14"/>
        <v>0.04861111110949423</v>
      </c>
      <c r="R91" s="506"/>
      <c r="S91" s="506"/>
      <c r="T91" s="506"/>
      <c r="U91" s="506"/>
      <c r="V91" s="507"/>
      <c r="W91" s="508" t="s">
        <v>190</v>
      </c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10"/>
      <c r="AK91" s="496"/>
    </row>
    <row r="92" ht="15.75" customHeight="1" hidden="1" spans="1:37" s="481" customFormat="1" x14ac:dyDescent="0.25">
      <c r="A92" s="520"/>
      <c r="B92" s="521"/>
      <c r="C92" s="521"/>
      <c r="D92" s="522"/>
      <c r="E92" s="500">
        <v>0.4583333333321207</v>
      </c>
      <c r="F92" s="501"/>
      <c r="G92" s="501"/>
      <c r="H92" s="501"/>
      <c r="I92" s="501"/>
      <c r="J92" s="502"/>
      <c r="K92" s="503">
        <v>0.4791666666678793</v>
      </c>
      <c r="L92" s="501"/>
      <c r="M92" s="501"/>
      <c r="N92" s="501"/>
      <c r="O92" s="501"/>
      <c r="P92" s="504"/>
      <c r="Q92" s="505">
        <f t="shared" ref="Q92" si="15">IF(AND(NOT(ISBLANK(K92)),NOT(ISBLANK(E92))), IF(K92&gt;E92,K92-E92,24-E92+K92), "")</f>
        <v>0.020833333332120674</v>
      </c>
      <c r="R92" s="506"/>
      <c r="S92" s="506"/>
      <c r="T92" s="506"/>
      <c r="U92" s="506"/>
      <c r="V92" s="507"/>
      <c r="W92" s="508" t="s">
        <v>183</v>
      </c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10"/>
      <c r="AK92" s="496"/>
    </row>
    <row r="93" ht="15.75" customHeight="1" hidden="1" spans="1:37" s="481" customFormat="1" x14ac:dyDescent="0.25">
      <c r="A93" s="520"/>
      <c r="B93" s="521"/>
      <c r="C93" s="521"/>
      <c r="D93" s="522"/>
      <c r="E93" s="511"/>
      <c r="F93" s="512"/>
      <c r="G93" s="512"/>
      <c r="H93" s="512"/>
      <c r="I93" s="512"/>
      <c r="J93" s="513"/>
      <c r="K93" s="517">
        <v>0.4791666666678793</v>
      </c>
      <c r="L93" s="518"/>
      <c r="M93" s="518"/>
      <c r="N93" s="518"/>
      <c r="O93" s="518"/>
      <c r="P93" s="519"/>
      <c r="Q93" s="505"/>
      <c r="R93" s="506"/>
      <c r="S93" s="506"/>
      <c r="T93" s="506"/>
      <c r="U93" s="506"/>
      <c r="V93" s="507"/>
      <c r="W93" s="539" t="s">
        <v>188</v>
      </c>
      <c r="X93" s="540"/>
      <c r="Y93" s="540"/>
      <c r="Z93" s="540"/>
      <c r="AA93" s="540"/>
      <c r="AB93" s="540"/>
      <c r="AC93" s="540"/>
      <c r="AD93" s="540"/>
      <c r="AE93" s="540"/>
      <c r="AF93" s="540"/>
      <c r="AG93" s="540"/>
      <c r="AH93" s="540"/>
      <c r="AI93" s="540"/>
      <c r="AJ93" s="541"/>
      <c r="AK93" s="496"/>
    </row>
    <row r="94" ht="15.75" customHeight="1" hidden="1" spans="1:37" s="481" customFormat="1" x14ac:dyDescent="0.25">
      <c r="A94" s="520"/>
      <c r="B94" s="521"/>
      <c r="C94" s="521"/>
      <c r="D94" s="522"/>
      <c r="E94" s="485"/>
      <c r="F94" s="486"/>
      <c r="G94" s="486"/>
      <c r="H94" s="486"/>
      <c r="I94" s="486"/>
      <c r="J94" s="487"/>
      <c r="K94" s="503"/>
      <c r="L94" s="501"/>
      <c r="M94" s="501"/>
      <c r="N94" s="501"/>
      <c r="O94" s="501"/>
      <c r="P94" s="504"/>
      <c r="Q94" s="505"/>
      <c r="R94" s="506"/>
      <c r="S94" s="506"/>
      <c r="T94" s="506"/>
      <c r="U94" s="506"/>
      <c r="V94" s="507"/>
      <c r="W94" s="508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10"/>
      <c r="AK94" s="496"/>
    </row>
    <row r="95" ht="15.75" customHeight="1" hidden="1" spans="1:37" s="481" customFormat="1" x14ac:dyDescent="0.25">
      <c r="A95" s="497"/>
      <c r="B95" s="498"/>
      <c r="C95" s="498"/>
      <c r="D95" s="499"/>
      <c r="E95" s="485"/>
      <c r="F95" s="486"/>
      <c r="G95" s="486"/>
      <c r="H95" s="486"/>
      <c r="I95" s="486"/>
      <c r="J95" s="487"/>
      <c r="K95" s="503"/>
      <c r="L95" s="501"/>
      <c r="M95" s="501"/>
      <c r="N95" s="501"/>
      <c r="O95" s="501"/>
      <c r="P95" s="504"/>
      <c r="Q95" s="505"/>
      <c r="R95" s="506"/>
      <c r="S95" s="506"/>
      <c r="T95" s="506"/>
      <c r="U95" s="506"/>
      <c r="V95" s="507"/>
      <c r="W95" s="508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10"/>
      <c r="AK95" s="496"/>
    </row>
    <row r="96" ht="15.75" customHeight="1" hidden="1" spans="1:37" s="481" customFormat="1" x14ac:dyDescent="0.25">
      <c r="A96" s="520"/>
      <c r="B96" s="521"/>
      <c r="C96" s="521"/>
      <c r="D96" s="522"/>
      <c r="E96" s="500"/>
      <c r="F96" s="501"/>
      <c r="G96" s="501"/>
      <c r="H96" s="501"/>
      <c r="I96" s="501"/>
      <c r="J96" s="502"/>
      <c r="K96" s="503"/>
      <c r="L96" s="501"/>
      <c r="M96" s="501"/>
      <c r="N96" s="501"/>
      <c r="O96" s="501"/>
      <c r="P96" s="504"/>
      <c r="Q96" s="505">
        <f t="shared" ref="Q96:Q101" si="16">IF(AND(NOT(ISBLANK(K96)),NOT(ISBLANK(E96))), IF(K96&gt;E96,K96-E96,24-E96+K96), "")</f>
      </c>
      <c r="R96" s="506"/>
      <c r="S96" s="506"/>
      <c r="T96" s="506"/>
      <c r="U96" s="506"/>
      <c r="V96" s="507"/>
      <c r="W96" s="508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10"/>
      <c r="AK96" s="496"/>
    </row>
    <row r="97" ht="15.75" customHeight="1" hidden="1" spans="1:37" s="481" customFormat="1" x14ac:dyDescent="0.25">
      <c r="A97" s="520"/>
      <c r="B97" s="521"/>
      <c r="C97" s="521"/>
      <c r="D97" s="522"/>
      <c r="E97" s="500"/>
      <c r="F97" s="501"/>
      <c r="G97" s="501"/>
      <c r="H97" s="501"/>
      <c r="I97" s="501"/>
      <c r="J97" s="502"/>
      <c r="K97" s="503"/>
      <c r="L97" s="501"/>
      <c r="M97" s="501"/>
      <c r="N97" s="501"/>
      <c r="O97" s="501"/>
      <c r="P97" s="504"/>
      <c r="Q97" s="505">
        <f t="shared" si="16"/>
      </c>
      <c r="R97" s="506"/>
      <c r="S97" s="506"/>
      <c r="T97" s="506"/>
      <c r="U97" s="506"/>
      <c r="V97" s="507"/>
      <c r="W97" s="508"/>
      <c r="X97" s="509"/>
      <c r="Y97" s="509"/>
      <c r="Z97" s="509"/>
      <c r="AA97" s="509"/>
      <c r="AB97" s="509"/>
      <c r="AC97" s="509"/>
      <c r="AD97" s="509"/>
      <c r="AE97" s="509"/>
      <c r="AF97" s="509"/>
      <c r="AG97" s="509"/>
      <c r="AH97" s="509"/>
      <c r="AI97" s="509"/>
      <c r="AJ97" s="510"/>
      <c r="AK97" s="496"/>
    </row>
    <row r="98" ht="15.75" customHeight="1" hidden="1" spans="1:37" s="481" customFormat="1" x14ac:dyDescent="0.25">
      <c r="A98" s="520"/>
      <c r="B98" s="521"/>
      <c r="C98" s="521"/>
      <c r="D98" s="522"/>
      <c r="E98" s="500"/>
      <c r="F98" s="501"/>
      <c r="G98" s="501"/>
      <c r="H98" s="501"/>
      <c r="I98" s="501"/>
      <c r="J98" s="502"/>
      <c r="K98" s="503"/>
      <c r="L98" s="501"/>
      <c r="M98" s="501"/>
      <c r="N98" s="501"/>
      <c r="O98" s="501"/>
      <c r="P98" s="504"/>
      <c r="Q98" s="505">
        <f t="shared" si="16"/>
      </c>
      <c r="R98" s="506"/>
      <c r="S98" s="506"/>
      <c r="T98" s="506"/>
      <c r="U98" s="506"/>
      <c r="V98" s="507"/>
      <c r="W98" s="508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10"/>
      <c r="AK98" s="496"/>
    </row>
    <row r="99" ht="15.75" customHeight="1" hidden="1" spans="1:37" s="481" customFormat="1" x14ac:dyDescent="0.25">
      <c r="A99" s="520"/>
      <c r="B99" s="521"/>
      <c r="C99" s="521"/>
      <c r="D99" s="522"/>
      <c r="E99" s="500"/>
      <c r="F99" s="501"/>
      <c r="G99" s="501"/>
      <c r="H99" s="501"/>
      <c r="I99" s="501"/>
      <c r="J99" s="502"/>
      <c r="K99" s="501"/>
      <c r="L99" s="501"/>
      <c r="M99" s="501"/>
      <c r="N99" s="501"/>
      <c r="O99" s="501"/>
      <c r="P99" s="504"/>
      <c r="Q99" s="505">
        <f t="shared" si="16"/>
      </c>
      <c r="R99" s="506"/>
      <c r="S99" s="506"/>
      <c r="T99" s="506"/>
      <c r="U99" s="506"/>
      <c r="V99" s="507"/>
      <c r="W99" s="508"/>
      <c r="X99" s="509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10"/>
      <c r="AK99" s="496"/>
    </row>
    <row r="100" ht="15.75" customHeight="1" hidden="1" spans="1:37" s="481" customFormat="1" x14ac:dyDescent="0.25">
      <c r="A100" s="520"/>
      <c r="B100" s="521"/>
      <c r="C100" s="521"/>
      <c r="D100" s="522"/>
      <c r="E100" s="500"/>
      <c r="F100" s="501"/>
      <c r="G100" s="501"/>
      <c r="H100" s="501"/>
      <c r="I100" s="501"/>
      <c r="J100" s="502"/>
      <c r="K100" s="501"/>
      <c r="L100" s="501"/>
      <c r="M100" s="501"/>
      <c r="N100" s="501"/>
      <c r="O100" s="501"/>
      <c r="P100" s="504"/>
      <c r="Q100" s="505">
        <f t="shared" si="16"/>
      </c>
      <c r="R100" s="506"/>
      <c r="S100" s="506"/>
      <c r="T100" s="506"/>
      <c r="U100" s="506"/>
      <c r="V100" s="507"/>
      <c r="W100" s="508" t="s">
        <v>35</v>
      </c>
      <c r="X100" s="509"/>
      <c r="Y100" s="509"/>
      <c r="Z100" s="509"/>
      <c r="AA100" s="509"/>
      <c r="AB100" s="509"/>
      <c r="AC100" s="509"/>
      <c r="AD100" s="509"/>
      <c r="AE100" s="509"/>
      <c r="AF100" s="509"/>
      <c r="AG100" s="509"/>
      <c r="AH100" s="509"/>
      <c r="AI100" s="509"/>
      <c r="AJ100" s="510"/>
      <c r="AK100" s="496"/>
    </row>
    <row r="101" ht="15.75" customHeight="1" hidden="1" spans="1:37" s="481" customFormat="1" x14ac:dyDescent="0.25">
      <c r="A101" s="520"/>
      <c r="B101" s="521"/>
      <c r="C101" s="521"/>
      <c r="D101" s="522"/>
      <c r="E101" s="500"/>
      <c r="F101" s="501"/>
      <c r="G101" s="501"/>
      <c r="H101" s="501"/>
      <c r="I101" s="501"/>
      <c r="J101" s="502"/>
      <c r="K101" s="501">
        <v>0.7083333333321207</v>
      </c>
      <c r="L101" s="501"/>
      <c r="M101" s="501"/>
      <c r="N101" s="501"/>
      <c r="O101" s="501"/>
      <c r="P101" s="504"/>
      <c r="Q101" s="505">
        <f t="shared" si="16"/>
      </c>
      <c r="R101" s="506"/>
      <c r="S101" s="506"/>
      <c r="T101" s="506"/>
      <c r="U101" s="506"/>
      <c r="V101" s="507"/>
      <c r="W101" s="508" t="s">
        <v>191</v>
      </c>
      <c r="X101" s="509"/>
      <c r="Y101" s="509"/>
      <c r="Z101" s="509"/>
      <c r="AA101" s="509"/>
      <c r="AB101" s="509"/>
      <c r="AC101" s="509"/>
      <c r="AD101" s="509"/>
      <c r="AE101" s="509"/>
      <c r="AF101" s="509"/>
      <c r="AG101" s="509"/>
      <c r="AH101" s="509"/>
      <c r="AI101" s="509"/>
      <c r="AJ101" s="510"/>
      <c r="AK101" s="496"/>
    </row>
    <row r="102" ht="15.75" customHeight="1" hidden="1" spans="1:37" s="481" customFormat="1" x14ac:dyDescent="0.25">
      <c r="A102" s="520"/>
      <c r="B102" s="521"/>
      <c r="C102" s="521"/>
      <c r="D102" s="522"/>
      <c r="E102" s="500"/>
      <c r="F102" s="501"/>
      <c r="G102" s="501"/>
      <c r="H102" s="501"/>
      <c r="I102" s="501"/>
      <c r="J102" s="502"/>
      <c r="K102" s="501"/>
      <c r="L102" s="501"/>
      <c r="M102" s="501"/>
      <c r="N102" s="501"/>
      <c r="O102" s="501"/>
      <c r="P102" s="504"/>
      <c r="Q102" s="523"/>
      <c r="R102" s="524"/>
      <c r="S102" s="524"/>
      <c r="T102" s="524"/>
      <c r="U102" s="524"/>
      <c r="V102" s="525"/>
      <c r="W102" s="508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10"/>
      <c r="AK102" s="496"/>
    </row>
    <row r="103" ht="15.75" customHeight="1" hidden="1" spans="1:37" s="41" customFormat="1" x14ac:dyDescent="0.25">
      <c r="A103" s="526"/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7"/>
      <c r="N103" s="527"/>
      <c r="O103" s="527"/>
      <c r="P103" s="528"/>
      <c r="Q103" s="529">
        <f>SUM(Q87:V102)</f>
        <v>0.11805555555474712</v>
      </c>
      <c r="R103" s="530"/>
      <c r="S103" s="530"/>
      <c r="T103" s="530"/>
      <c r="U103" s="530"/>
      <c r="V103" s="531"/>
      <c r="W103" s="532"/>
      <c r="X103" s="533"/>
      <c r="Y103" s="533"/>
      <c r="Z103" s="533"/>
      <c r="AA103" s="533"/>
      <c r="AB103" s="533"/>
      <c r="AC103" s="533"/>
      <c r="AD103" s="533"/>
      <c r="AE103" s="533"/>
      <c r="AF103" s="533"/>
      <c r="AG103" s="533"/>
      <c r="AH103" s="533"/>
      <c r="AI103" s="533"/>
      <c r="AJ103" s="534"/>
      <c r="AK103" s="535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</sheetData>
  <mergeCells count="45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P103"/>
    <mergeCell ref="Q103:V103"/>
    <mergeCell ref="W103:AJ103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5" t="s">
        <v>36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06" t="s">
        <v>38</v>
      </c>
      <c r="C6" s="3"/>
      <c r="D6" s="3"/>
      <c r="E6" s="3"/>
      <c r="F6" s="3"/>
      <c r="G6" s="3" t="s">
        <v>39</v>
      </c>
      <c r="H6" s="8"/>
      <c r="I6" s="8"/>
      <c r="J6" s="3"/>
      <c r="K6" s="3" t="s">
        <v>40</v>
      </c>
      <c r="L6" s="207"/>
      <c r="M6" s="8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8"/>
      <c r="I7" s="20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6" t="s">
        <v>41</v>
      </c>
      <c r="B8" s="3" t="s">
        <v>25</v>
      </c>
      <c r="C8" s="3"/>
      <c r="D8" s="3"/>
      <c r="E8" s="3"/>
      <c r="F8" s="3"/>
      <c r="G8" s="3" t="s">
        <v>42</v>
      </c>
      <c r="H8" s="8"/>
      <c r="I8" s="8"/>
      <c r="J8" s="3"/>
      <c r="K8" s="206" t="s">
        <v>43</v>
      </c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09" t="s">
        <v>44</v>
      </c>
      <c r="B10" s="210" t="s">
        <v>45</v>
      </c>
      <c r="C10" s="211"/>
      <c r="D10" s="209" t="s">
        <v>46</v>
      </c>
      <c r="E10" s="209"/>
      <c r="F10" s="209"/>
      <c r="G10" s="212" t="s">
        <v>47</v>
      </c>
      <c r="H10" s="209" t="s">
        <v>48</v>
      </c>
      <c r="I10" s="209"/>
      <c r="J10" s="212" t="s">
        <v>49</v>
      </c>
      <c r="K10" s="209" t="s">
        <v>50</v>
      </c>
      <c r="L10" s="209" t="s">
        <v>51</v>
      </c>
      <c r="M10" s="209" t="s">
        <v>52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3"/>
      <c r="B11" s="214"/>
      <c r="C11" s="215"/>
      <c r="D11" s="213"/>
      <c r="E11" s="213"/>
      <c r="F11" s="213"/>
      <c r="G11" s="216" t="s">
        <v>53</v>
      </c>
      <c r="H11" s="213"/>
      <c r="I11" s="213"/>
      <c r="J11" s="216"/>
      <c r="K11" s="213"/>
      <c r="L11" s="213"/>
      <c r="M11" s="21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17"/>
      <c r="B12" s="218"/>
      <c r="C12" s="219"/>
      <c r="D12" s="218"/>
      <c r="E12" s="220"/>
      <c r="F12" s="221"/>
      <c r="G12" s="217"/>
      <c r="H12" s="222"/>
      <c r="I12" s="223"/>
      <c r="J12" s="224"/>
      <c r="K12" s="217"/>
      <c r="L12" s="217"/>
      <c r="M12" s="22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8" customHeight="1" hidden="1" spans="1:25" x14ac:dyDescent="0.25">
      <c r="A13" s="54"/>
      <c r="B13" s="226"/>
      <c r="C13" s="177"/>
      <c r="D13" s="185"/>
      <c r="E13" s="227"/>
      <c r="F13" s="228"/>
      <c r="G13" s="54"/>
      <c r="H13" s="229"/>
      <c r="I13" s="230"/>
      <c r="J13" s="231"/>
      <c r="K13" s="54"/>
      <c r="L13" s="54"/>
      <c r="M13" s="23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3"/>
      <c r="B14" s="226"/>
      <c r="C14" s="177"/>
      <c r="D14" s="226"/>
      <c r="E14" s="234"/>
      <c r="F14" s="235"/>
      <c r="G14" s="233"/>
      <c r="H14" s="236"/>
      <c r="I14" s="237"/>
      <c r="J14" s="236"/>
      <c r="K14" s="233"/>
      <c r="L14" s="233"/>
      <c r="M14" s="23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54"/>
      <c r="B15" s="185"/>
      <c r="C15" s="57"/>
      <c r="D15" s="185"/>
      <c r="E15" s="227"/>
      <c r="F15" s="228"/>
      <c r="G15" s="54"/>
      <c r="H15" s="239"/>
      <c r="I15" s="240"/>
      <c r="J15" s="231"/>
      <c r="K15" s="54"/>
      <c r="L15" s="54"/>
      <c r="M15" s="23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hidden="1" spans="1:25" x14ac:dyDescent="0.25">
      <c r="A16" s="54"/>
      <c r="B16" s="226"/>
      <c r="C16" s="177"/>
      <c r="D16" s="185"/>
      <c r="E16" s="227"/>
      <c r="F16" s="228"/>
      <c r="G16" s="54"/>
      <c r="H16" s="229"/>
      <c r="I16" s="230"/>
      <c r="J16" s="231"/>
      <c r="K16" s="54"/>
      <c r="L16" s="54"/>
      <c r="M16" s="23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3"/>
      <c r="B17" s="226"/>
      <c r="C17" s="177"/>
      <c r="D17" s="226"/>
      <c r="E17" s="234"/>
      <c r="F17" s="235"/>
      <c r="G17" s="233"/>
      <c r="H17" s="236"/>
      <c r="I17" s="237"/>
      <c r="J17" s="236"/>
      <c r="K17" s="233"/>
      <c r="L17" s="233"/>
      <c r="M17" s="23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41"/>
      <c r="B18" s="30"/>
      <c r="C18" s="28"/>
      <c r="D18" s="242" t="s">
        <v>54</v>
      </c>
      <c r="E18" s="243"/>
      <c r="F18" s="244"/>
      <c r="G18" s="245" t="s">
        <v>55</v>
      </c>
      <c r="H18" s="246">
        <f>SUM(H12:I17)</f>
        <v>251</v>
      </c>
      <c r="I18" s="247"/>
      <c r="J18" s="248">
        <f>SUM(J12:J17)</f>
        <v>251</v>
      </c>
      <c r="K18" s="245" t="s">
        <v>56</v>
      </c>
      <c r="L18" s="245" t="s">
        <v>56</v>
      </c>
      <c r="M18" s="24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3"/>
      <c r="B19" s="226"/>
      <c r="C19" s="177"/>
      <c r="D19" s="226"/>
      <c r="E19" s="234"/>
      <c r="F19" s="235"/>
      <c r="G19" s="233"/>
      <c r="H19" s="236"/>
      <c r="I19" s="236"/>
      <c r="J19" s="236"/>
      <c r="K19" s="233"/>
      <c r="L19" s="233"/>
      <c r="M19" s="23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3"/>
      <c r="B20" s="226"/>
      <c r="C20" s="177"/>
      <c r="D20" s="226"/>
      <c r="E20" s="234"/>
      <c r="F20" s="235"/>
      <c r="G20" s="233"/>
      <c r="H20" s="229"/>
      <c r="I20" s="250"/>
      <c r="J20" s="236"/>
      <c r="K20" s="233"/>
      <c r="L20" s="233"/>
      <c r="M20" s="23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3"/>
      <c r="B21" s="226"/>
      <c r="C21" s="177"/>
      <c r="D21" s="226"/>
      <c r="E21" s="234"/>
      <c r="F21" s="235"/>
      <c r="G21" s="233"/>
      <c r="H21" s="229"/>
      <c r="I21" s="250"/>
      <c r="J21" s="236"/>
      <c r="K21" s="233"/>
      <c r="L21" s="233"/>
      <c r="M21" s="23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51"/>
      <c r="B22" s="252"/>
      <c r="C22" s="253"/>
      <c r="D22" s="185"/>
      <c r="E22" s="227"/>
      <c r="F22" s="228"/>
      <c r="G22" s="54"/>
      <c r="H22" s="239"/>
      <c r="I22" s="254"/>
      <c r="J22" s="231"/>
      <c r="K22" s="54"/>
      <c r="L22" s="54"/>
      <c r="M22" s="23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3"/>
      <c r="B23" s="226"/>
      <c r="C23" s="177"/>
      <c r="D23" s="226"/>
      <c r="E23" s="234"/>
      <c r="F23" s="235"/>
      <c r="G23" s="233"/>
      <c r="H23" s="236"/>
      <c r="I23" s="236"/>
      <c r="J23" s="236"/>
      <c r="K23" s="233"/>
      <c r="L23" s="233"/>
      <c r="M23" s="2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5" customHeight="1" spans="1:25" x14ac:dyDescent="0.25">
      <c r="A24" s="255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5" customHeight="1" spans="1:25" x14ac:dyDescent="0.25">
      <c r="A25" s="252"/>
      <c r="B25" s="258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5" customHeight="1" spans="1:25" x14ac:dyDescent="0.25">
      <c r="A26" s="260"/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5" customHeight="1" spans="1:25" x14ac:dyDescent="0.25">
      <c r="A27" s="260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60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60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1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4.25" customHeight="1" spans="1:25" x14ac:dyDescent="0.25">
      <c r="A31" s="41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4.25" customHeight="1" spans="1:25" x14ac:dyDescent="0.25">
      <c r="A32" s="41"/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202"/>
      <c r="B34" s="202"/>
      <c r="C34" s="202"/>
      <c r="D34" s="3"/>
      <c r="E34" s="3"/>
      <c r="F34" s="3"/>
      <c r="G34" s="202"/>
      <c r="H34" s="202"/>
      <c r="I34" s="202"/>
      <c r="J34" s="3"/>
      <c r="K34" s="3"/>
      <c r="L34" s="202"/>
      <c r="M34" s="20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203" t="s">
        <v>22</v>
      </c>
      <c r="B35" s="203"/>
      <c r="C35" s="203"/>
      <c r="D35" s="3"/>
      <c r="E35" s="3"/>
      <c r="F35" s="3"/>
      <c r="G35" s="203" t="s">
        <v>57</v>
      </c>
      <c r="H35" s="203"/>
      <c r="I35" s="203"/>
      <c r="J35" s="3"/>
      <c r="K35" s="3"/>
      <c r="L35" s="203" t="s">
        <v>23</v>
      </c>
      <c r="M35" s="20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8:C18"/>
    <mergeCell ref="D18:F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A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4" t="s">
        <v>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3"/>
      <c r="T1" s="3"/>
      <c r="U1" s="3"/>
      <c r="V1" s="3"/>
      <c r="W1" s="3"/>
      <c r="X1" s="3"/>
      <c r="Y1" s="3"/>
    </row>
    <row r="2" ht="12" customHeight="1" spans="1:25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5" t="s">
        <v>58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06" t="s">
        <v>59</v>
      </c>
      <c r="B6" s="206" t="s">
        <v>38</v>
      </c>
      <c r="C6" s="3"/>
      <c r="D6" s="3"/>
      <c r="E6" s="3"/>
      <c r="F6" s="3"/>
      <c r="G6" s="3"/>
      <c r="H6" s="8" t="s">
        <v>60</v>
      </c>
      <c r="I6" s="8"/>
      <c r="J6" s="8" t="s">
        <v>61</v>
      </c>
      <c r="K6" s="8"/>
      <c r="L6" s="3"/>
      <c r="M6" s="3"/>
      <c r="N6" s="3"/>
      <c r="O6" s="206" t="s">
        <v>62</v>
      </c>
      <c r="P6" s="207">
        <v>46229</v>
      </c>
      <c r="Q6" s="8"/>
      <c r="R6" s="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6" t="s">
        <v>63</v>
      </c>
      <c r="B8" s="206" t="s">
        <v>25</v>
      </c>
      <c r="C8" s="206"/>
      <c r="D8" s="206"/>
      <c r="E8" s="206"/>
      <c r="F8" s="3"/>
      <c r="G8" s="3"/>
      <c r="H8" s="8" t="s">
        <v>64</v>
      </c>
      <c r="I8" s="8"/>
      <c r="J8" s="8" t="s">
        <v>65</v>
      </c>
      <c r="K8" s="8"/>
      <c r="L8" s="3"/>
      <c r="M8" s="3"/>
      <c r="N8" s="3"/>
      <c r="O8" s="206" t="s">
        <v>66</v>
      </c>
      <c r="P8" s="8">
        <v>16</v>
      </c>
      <c r="Q8" s="8"/>
      <c r="R8" s="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9" t="s">
        <v>11</v>
      </c>
      <c r="B10" s="209" t="s">
        <v>44</v>
      </c>
      <c r="C10" s="262" t="s">
        <v>67</v>
      </c>
      <c r="D10" s="203"/>
      <c r="E10" s="263"/>
      <c r="F10" s="209" t="s">
        <v>68</v>
      </c>
      <c r="G10" s="209"/>
      <c r="H10" s="209"/>
      <c r="I10" s="209"/>
      <c r="J10" s="212" t="s">
        <v>69</v>
      </c>
      <c r="K10" s="209" t="s">
        <v>70</v>
      </c>
      <c r="L10" s="209" t="s">
        <v>71</v>
      </c>
      <c r="M10" s="209"/>
      <c r="N10" s="209"/>
      <c r="O10" s="209"/>
      <c r="P10" s="209"/>
      <c r="Q10" s="209"/>
      <c r="R10" s="209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3"/>
      <c r="B11" s="213"/>
      <c r="C11" s="264"/>
      <c r="D11" s="265"/>
      <c r="E11" s="266"/>
      <c r="F11" s="213"/>
      <c r="G11" s="213"/>
      <c r="H11" s="213"/>
      <c r="I11" s="213"/>
      <c r="J11" s="216" t="s">
        <v>53</v>
      </c>
      <c r="K11" s="213"/>
      <c r="L11" s="213"/>
      <c r="M11" s="213"/>
      <c r="N11" s="213"/>
      <c r="O11" s="213"/>
      <c r="P11" s="213"/>
      <c r="Q11" s="213"/>
      <c r="R11" s="213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4"/>
      <c r="B12" s="54"/>
      <c r="C12" s="218"/>
      <c r="D12" s="267"/>
      <c r="E12" s="219"/>
      <c r="F12" s="218"/>
      <c r="G12" s="267"/>
      <c r="H12" s="267"/>
      <c r="I12" s="219"/>
      <c r="J12" s="217"/>
      <c r="K12" s="217"/>
      <c r="L12" s="268"/>
      <c r="M12" s="269"/>
      <c r="N12" s="269"/>
      <c r="O12" s="269"/>
      <c r="P12" s="269"/>
      <c r="Q12" s="269"/>
      <c r="R12" s="270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71"/>
      <c r="B13" s="271"/>
      <c r="C13" s="168"/>
      <c r="D13" s="272"/>
      <c r="E13" s="177"/>
      <c r="F13" s="168"/>
      <c r="G13" s="272"/>
      <c r="H13" s="272"/>
      <c r="I13" s="177"/>
      <c r="J13" s="271"/>
      <c r="K13" s="271"/>
      <c r="L13" s="273"/>
      <c r="M13" s="273"/>
      <c r="N13" s="273"/>
      <c r="O13" s="273"/>
      <c r="P13" s="273"/>
      <c r="Q13" s="273"/>
      <c r="R13" s="273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71"/>
      <c r="B14" s="271"/>
      <c r="C14" s="168"/>
      <c r="D14" s="272"/>
      <c r="E14" s="177"/>
      <c r="F14" s="168"/>
      <c r="G14" s="272"/>
      <c r="H14" s="272"/>
      <c r="I14" s="177"/>
      <c r="J14" s="271"/>
      <c r="K14" s="271"/>
      <c r="L14" s="273"/>
      <c r="M14" s="273"/>
      <c r="N14" s="273"/>
      <c r="O14" s="273"/>
      <c r="P14" s="273"/>
      <c r="Q14" s="273"/>
      <c r="R14" s="273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71"/>
      <c r="B15" s="271"/>
      <c r="C15" s="168"/>
      <c r="D15" s="272"/>
      <c r="E15" s="177"/>
      <c r="F15" s="168"/>
      <c r="G15" s="272"/>
      <c r="H15" s="272"/>
      <c r="I15" s="177"/>
      <c r="J15" s="271"/>
      <c r="K15" s="271"/>
      <c r="L15" s="273"/>
      <c r="M15" s="273"/>
      <c r="N15" s="273"/>
      <c r="O15" s="273"/>
      <c r="P15" s="273"/>
      <c r="Q15" s="273"/>
      <c r="R15" s="273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71"/>
      <c r="B16" s="271"/>
      <c r="C16" s="168"/>
      <c r="D16" s="272"/>
      <c r="E16" s="177"/>
      <c r="F16" s="168"/>
      <c r="G16" s="272"/>
      <c r="H16" s="272"/>
      <c r="I16" s="177"/>
      <c r="J16" s="271"/>
      <c r="K16" s="271"/>
      <c r="L16" s="273"/>
      <c r="M16" s="273"/>
      <c r="N16" s="273"/>
      <c r="O16" s="273"/>
      <c r="P16" s="273"/>
      <c r="Q16" s="273"/>
      <c r="R16" s="273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71"/>
      <c r="B17" s="271"/>
      <c r="C17" s="168"/>
      <c r="D17" s="272"/>
      <c r="E17" s="177"/>
      <c r="F17" s="168"/>
      <c r="G17" s="272"/>
      <c r="H17" s="272"/>
      <c r="I17" s="177"/>
      <c r="J17" s="271"/>
      <c r="K17" s="271"/>
      <c r="L17" s="273"/>
      <c r="M17" s="273"/>
      <c r="N17" s="273"/>
      <c r="O17" s="273"/>
      <c r="P17" s="273"/>
      <c r="Q17" s="273"/>
      <c r="R17" s="273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71"/>
      <c r="B18" s="271"/>
      <c r="C18" s="168"/>
      <c r="D18" s="272"/>
      <c r="E18" s="177"/>
      <c r="F18" s="168"/>
      <c r="G18" s="272"/>
      <c r="H18" s="272"/>
      <c r="I18" s="177"/>
      <c r="J18" s="271"/>
      <c r="K18" s="271"/>
      <c r="L18" s="273"/>
      <c r="M18" s="273"/>
      <c r="N18" s="273"/>
      <c r="O18" s="273"/>
      <c r="P18" s="273"/>
      <c r="Q18" s="273"/>
      <c r="R18" s="273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71"/>
      <c r="B19" s="271"/>
      <c r="C19" s="168"/>
      <c r="D19" s="272"/>
      <c r="E19" s="177"/>
      <c r="F19" s="168"/>
      <c r="G19" s="272"/>
      <c r="H19" s="272"/>
      <c r="I19" s="177"/>
      <c r="J19" s="271"/>
      <c r="K19" s="271"/>
      <c r="L19" s="273"/>
      <c r="M19" s="273"/>
      <c r="N19" s="273"/>
      <c r="O19" s="273"/>
      <c r="P19" s="273"/>
      <c r="Q19" s="273"/>
      <c r="R19" s="273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71"/>
      <c r="B20" s="271"/>
      <c r="C20" s="168"/>
      <c r="D20" s="272"/>
      <c r="E20" s="177"/>
      <c r="F20" s="168"/>
      <c r="G20" s="272"/>
      <c r="H20" s="272"/>
      <c r="I20" s="177"/>
      <c r="J20" s="271"/>
      <c r="K20" s="271"/>
      <c r="L20" s="273"/>
      <c r="M20" s="273"/>
      <c r="N20" s="273"/>
      <c r="O20" s="273"/>
      <c r="P20" s="273"/>
      <c r="Q20" s="273"/>
      <c r="R20" s="273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71"/>
      <c r="B21" s="271"/>
      <c r="C21" s="168"/>
      <c r="D21" s="272"/>
      <c r="E21" s="177"/>
      <c r="F21" s="168"/>
      <c r="G21" s="272"/>
      <c r="H21" s="272"/>
      <c r="I21" s="177"/>
      <c r="J21" s="271"/>
      <c r="K21" s="271"/>
      <c r="L21" s="273"/>
      <c r="M21" s="273"/>
      <c r="N21" s="273"/>
      <c r="O21" s="273"/>
      <c r="P21" s="273"/>
      <c r="Q21" s="273"/>
      <c r="R21" s="273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71"/>
      <c r="B22" s="271"/>
      <c r="C22" s="168"/>
      <c r="D22" s="272"/>
      <c r="E22" s="177"/>
      <c r="F22" s="168"/>
      <c r="G22" s="272"/>
      <c r="H22" s="272"/>
      <c r="I22" s="177"/>
      <c r="J22" s="271"/>
      <c r="K22" s="271"/>
      <c r="L22" s="273"/>
      <c r="M22" s="273"/>
      <c r="N22" s="273"/>
      <c r="O22" s="273"/>
      <c r="P22" s="273"/>
      <c r="Q22" s="273"/>
      <c r="R22" s="273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71"/>
      <c r="B23" s="271"/>
      <c r="C23" s="168"/>
      <c r="D23" s="272"/>
      <c r="E23" s="177"/>
      <c r="F23" s="168"/>
      <c r="G23" s="272"/>
      <c r="H23" s="272"/>
      <c r="I23" s="177"/>
      <c r="J23" s="271"/>
      <c r="K23" s="271"/>
      <c r="L23" s="273"/>
      <c r="M23" s="273"/>
      <c r="N23" s="273"/>
      <c r="O23" s="273"/>
      <c r="P23" s="273"/>
      <c r="Q23" s="273"/>
      <c r="R23" s="273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71"/>
      <c r="B24" s="271"/>
      <c r="C24" s="168"/>
      <c r="D24" s="272"/>
      <c r="E24" s="177"/>
      <c r="F24" s="168"/>
      <c r="G24" s="272"/>
      <c r="H24" s="272"/>
      <c r="I24" s="177"/>
      <c r="J24" s="271"/>
      <c r="K24" s="271"/>
      <c r="L24" s="273"/>
      <c r="M24" s="273"/>
      <c r="N24" s="273"/>
      <c r="O24" s="273"/>
      <c r="P24" s="273"/>
      <c r="Q24" s="273"/>
      <c r="R24" s="273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71"/>
      <c r="B25" s="271"/>
      <c r="C25" s="168"/>
      <c r="D25" s="272"/>
      <c r="E25" s="177"/>
      <c r="F25" s="168"/>
      <c r="G25" s="272"/>
      <c r="H25" s="272"/>
      <c r="I25" s="177"/>
      <c r="J25" s="271"/>
      <c r="K25" s="271"/>
      <c r="L25" s="273"/>
      <c r="M25" s="273"/>
      <c r="N25" s="273"/>
      <c r="O25" s="273"/>
      <c r="P25" s="273"/>
      <c r="Q25" s="273"/>
      <c r="R25" s="273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71"/>
      <c r="B26" s="271"/>
      <c r="C26" s="168"/>
      <c r="D26" s="272"/>
      <c r="E26" s="177"/>
      <c r="F26" s="168"/>
      <c r="G26" s="272"/>
      <c r="H26" s="272"/>
      <c r="I26" s="177"/>
      <c r="J26" s="271"/>
      <c r="K26" s="271"/>
      <c r="L26" s="273"/>
      <c r="M26" s="273"/>
      <c r="N26" s="273"/>
      <c r="O26" s="273"/>
      <c r="P26" s="273"/>
      <c r="Q26" s="273"/>
      <c r="R26" s="273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71"/>
      <c r="B27" s="271"/>
      <c r="C27" s="168"/>
      <c r="D27" s="272"/>
      <c r="E27" s="177"/>
      <c r="F27" s="168"/>
      <c r="G27" s="272"/>
      <c r="H27" s="272"/>
      <c r="I27" s="177"/>
      <c r="J27" s="271"/>
      <c r="K27" s="271"/>
      <c r="L27" s="273"/>
      <c r="M27" s="273"/>
      <c r="N27" s="273"/>
      <c r="O27" s="273"/>
      <c r="P27" s="273"/>
      <c r="Q27" s="273"/>
      <c r="R27" s="27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202"/>
      <c r="B31" s="202"/>
      <c r="C31" s="202"/>
      <c r="D31" s="202"/>
      <c r="E31" s="3"/>
      <c r="F31" s="3"/>
      <c r="G31" s="3"/>
      <c r="H31" s="3"/>
      <c r="I31" s="202"/>
      <c r="J31" s="202"/>
      <c r="K31" s="202"/>
      <c r="L31" s="3"/>
      <c r="M31" s="3"/>
      <c r="N31" s="3"/>
      <c r="O31" s="202"/>
      <c r="P31" s="202"/>
      <c r="Q31" s="202"/>
      <c r="R31" s="202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3" t="s">
        <v>22</v>
      </c>
      <c r="B32" s="203"/>
      <c r="C32" s="203"/>
      <c r="D32" s="203"/>
      <c r="E32" s="3"/>
      <c r="F32" s="3"/>
      <c r="G32" s="3"/>
      <c r="H32" s="3"/>
      <c r="I32" s="203" t="s">
        <v>57</v>
      </c>
      <c r="J32" s="203"/>
      <c r="K32" s="203"/>
      <c r="L32" s="3"/>
      <c r="M32" s="3"/>
      <c r="N32" s="3"/>
      <c r="O32" s="203" t="s">
        <v>23</v>
      </c>
      <c r="P32" s="203"/>
      <c r="Q32" s="203"/>
      <c r="R32" s="20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Work</vt:lpstr>
      <vt:lpstr>Time Sheet</vt:lpstr>
      <vt:lpstr>OS-IN</vt:lpstr>
      <vt:lpstr>DM-IN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2026-07-26T14:41:54Z</cp:lastPrinted>
  <dcterms:created xsi:type="dcterms:W3CDTF">2016-08-02T06:12:57Z</dcterms:created>
  <dcterms:modified xsi:type="dcterms:W3CDTF">2026-07-26T14:48:58Z</dcterms:modified>
</cp:coreProperties>
</file>