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5" name="OS-OUT" state="visible" r:id="rId6"/>
    <sheet sheetId="14" name="OS-IN" state="hidden" r:id="rId7"/>
    <sheet sheetId="15" name="DM-IN" state="hidden" r:id="rId8"/>
    <sheet sheetId="11" name="DM-OUT" state="visible" r:id="rId9"/>
    <sheet sheetId="9" name="Act. Cntr-Seal No List" state="visible" r:id="rId10"/>
    <sheet sheetId="10" name="RF Condition Report" state="visible" r:id="rId11"/>
    <sheet sheetId="13" name="Performance" state="visible" r:id="rId12"/>
    <sheet sheetId="16" name="SHIFTING" state="hidden" r:id="rId13"/>
  </sheets>
  <calcPr calcId="171027"/>
</workbook>
</file>

<file path=xl/sharedStrings.xml><?xml version="1.0" encoding="utf-8"?>
<sst xmlns="http://schemas.openxmlformats.org/spreadsheetml/2006/main" count="367" uniqueCount="159">
  <si>
    <t xml:space="preserve">GREEN  MARINE  CO.,  LTD.  </t>
  </si>
  <si>
    <t>FINAL  WORKING  REPORT (VOUCHER)</t>
  </si>
  <si>
    <t xml:space="preserve">M/V  : </t>
  </si>
  <si>
    <t>SAWASDEE SPICA</t>
  </si>
  <si>
    <t>VOY # :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</si>
  <si>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</si>
  <si>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</si>
  <si>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</si>
  <si>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</si>
  <si>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</si>
  <si>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</si>
  <si>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</si>
  <si>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</si>
  <si>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</si>
  <si>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</si>
  <si>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</si>
  <si>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</si>
  <si>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</si>
  <si>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</si>
  <si>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</si>
  <si>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</si>
  <si>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</si>
  <si>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</si>
  <si>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</si>
  <si>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</si>
  <si>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</si>
  <si>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</si>
  <si>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</si>
  <si>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</si>
  <si>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</si>
  <si>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</si>
  <si>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</si>
  <si>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</si>
  <si>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</si>
  <si>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10th</t>
  </si>
  <si>
    <t>11th</t>
  </si>
  <si>
    <t xml:space="preserve"> CARGO  OVERAGE &amp; SHORTAGE  REPORT  (LOAD)</t>
  </si>
  <si>
    <r>
      <t xml:space="preserve">M / V 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</si>
  <si>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</si>
  <si>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</si>
  <si>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</si>
  <si>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</si>
  <si>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</si>
  <si>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</si>
  <si>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</si>
  <si>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</si>
  <si>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</si>
  <si>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</si>
  <si>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LOADED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</si>
  <si>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</si>
  <si>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</si>
  <si>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</si>
  <si>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</si>
  <si>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</si>
  <si>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</si>
  <si>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</si>
  <si>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</si>
  <si>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OVERAGE &amp; SHORTAGE  REPORT  (DISCH)</t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</si>
  <si>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</si>
  <si>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DISCHARGED</t>
  </si>
  <si>
    <t xml:space="preserve"> CARGO  DAMAGE  REPORT 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</si>
  <si>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</si>
  <si>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</si>
  <si>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</si>
  <si>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</si>
  <si>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</si>
  <si>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</si>
  <si>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>BERTH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</si>
  <si>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</si>
  <si>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</si>
  <si>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</si>
  <si>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</si>
  <si>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</si>
  <si>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</si>
  <si>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</si>
  <si>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</si>
  <si>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</si>
  <si>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</si>
  <si>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 xml:space="preserve"> </t>
  </si>
  <si>
    <t>PORT  :</t>
  </si>
  <si>
    <t>ACTUAL CONTAINER &amp; SEAL NUMBER LIST</t>
  </si>
  <si>
    <t>LOAD'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</si>
  <si>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</si>
  <si>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</si>
  <si>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</si>
  <si>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</si>
  <si>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</si>
  <si>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</si>
  <si>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</si>
  <si>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</si>
  <si>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</si>
  <si>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</si>
  <si>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</si>
  <si>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t>GREEN MARINE O., LTD.</t>
  </si>
  <si>
    <t>REEFER  ONTAINER  ONDITION  REPORT</t>
  </si>
  <si>
    <t>Disharging  /  Loading</t>
  </si>
  <si>
    <t>( 1/1 )</t>
  </si>
  <si>
    <t>M/V  : SAWASDEE SPICA</t>
  </si>
  <si>
    <t>PIER   : PCTC</t>
  </si>
  <si>
    <r>
      <t xml:space="preserve"> </t>
    </r>
    <r>
      <rPr>
        <u/>
        <charset val="129"/>
        <family val="3"/>
        <scheme val="minor"/>
        <sz val="11"/>
        <rFont val="맑은 고딕"/>
      </rPr>
      <t>PYEONGTAEK, KOREA</t>
    </r>
  </si>
  <si>
    <t>ONTAINER NO.</t>
  </si>
  <si>
    <t>LOATION</t>
  </si>
  <si>
    <t>TEMPERATURE</t>
  </si>
  <si>
    <t>TIME</t>
  </si>
  <si>
    <t>Bay/Slot/Tier</t>
  </si>
  <si>
    <t>Setting</t>
  </si>
  <si>
    <t>Atual</t>
  </si>
  <si>
    <t>Plug In / Out</t>
  </si>
  <si>
    <t>GREEN MARINE CO., LTD</t>
  </si>
  <si>
    <t>PERFORMANCE  REPORT</t>
  </si>
  <si>
    <r>
      <t xml:space="preserve">M / V 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</si>
  <si>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</si>
  <si>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</si>
  <si>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</si>
  <si>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</si>
  <si>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</si>
  <si>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</si>
  <si>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S-TOTAL</t>
  </si>
  <si>
    <t>OUT BOUND</t>
  </si>
  <si>
    <t>20'DG x 3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</si>
  <si>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</si>
  <si>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</si>
  <si>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</si>
  <si>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</si>
  <si>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</si>
  <si>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</si>
  <si>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</si>
  <si>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</si>
  <si>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</si>
  <si>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</si>
  <si>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30th</t>
  </si>
  <si>
    <t>DISCH. OF CONT'R</t>
  </si>
  <si>
    <t>MEAL TIME</t>
  </si>
  <si>
    <t>COMPLETED DISCH.</t>
  </si>
  <si>
    <t>COMMENCED LOAD.</t>
  </si>
  <si>
    <t>LOAD. OF CONT'R</t>
  </si>
  <si>
    <t>COMPLETED LOAD. &amp; GANG K/OFF</t>
  </si>
  <si>
    <t>K/OFF</t>
  </si>
  <si>
    <t>#2 (G/C)</t>
  </si>
  <si>
    <t>#3 (G/C)</t>
  </si>
  <si>
    <t>#4 (G/C)</t>
  </si>
  <si>
    <t>SHIFTING REPORT</t>
  </si>
  <si>
    <t>M.V. :  SAWASDEE SPICA</t>
  </si>
  <si>
    <r>
      <t xml:space="preserve">VOY </t>
    </r>
    <r>
      <rPr>
        <b/>
        <u/>
        <charset val="129"/>
        <family val="3"/>
        <vertAlign val="superscript"/>
        <scheme val="minor"/>
        <sz val="14"/>
        <rFont val="맑은 고딕"/>
      </rPr>
      <t>#</t>
    </r>
    <r>
      <rPr>
        <b/>
        <u/>
        <charset val="129"/>
        <family val="3"/>
        <scheme val="minor"/>
        <sz val="14"/>
        <rFont val="맑은 고딕"/>
      </rPr>
      <t xml:space="preserve"> : 2514N/2514N</t>
    </r>
  </si>
  <si>
    <t>DATE : 2026-01-31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</si>
  <si>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</si>
  <si>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</si>
  <si>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</si>
  <si>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</si>
  <si>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</si>
  <si>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</si>
  <si>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</si>
  <si>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</si>
  <si>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</si>
  <si>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</si>
  <si>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</si>
  <si>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</si>
  <si>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REMARK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</si>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</sst>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0.0"/>
    <numFmt numFmtId="173" formatCode="000000"/>
    <numFmt numFmtId="174" formatCode="#,##0_ "/>
  </numFmts>
  <fonts count="31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color theme="1"/>
      <family val="3"/>
      <scheme val="minor"/>
      <sz val="22"/>
      <name val="맑은 고딕"/>
    </font>
    <font>
      <b/>
      <u/>
      <charset val="129"/>
      <family val="3"/>
      <scheme val="minor"/>
      <sz val="20"/>
      <name val="맑은 고딕"/>
    </font>
    <font>
      <b/>
      <u/>
      <charset val="129"/>
      <family val="3"/>
      <scheme val="minor"/>
      <sz val="14"/>
      <name val="맑은 고딕"/>
    </font>
    <font>
      <b/>
      <u/>
      <charset val="129"/>
      <family val="3"/>
      <scheme val="minor"/>
      <sz val="11"/>
      <name val="맑은 고딕"/>
    </font>
    <font>
      <b/>
      <u/>
      <charset val="129"/>
      <family val="3"/>
      <scheme val="minor"/>
      <sz val="12"/>
      <name val="맑은 고딕"/>
    </font>
    <font>
      <b/>
      <u/>
      <charset val="129"/>
      <color theme="1"/>
      <family val="3"/>
      <scheme val="minor"/>
      <sz val="12"/>
      <name val="맑은 고딕"/>
    </font>
    <font>
      <charset val="129"/>
      <family val="3"/>
      <scheme val="minor"/>
      <sz val="18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41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61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 shrinkToFit="1"/>
    </xf>
    <xf numFmtId="164" fontId="7" fillId="0" borderId="59" xfId="0" applyNumberFormat="1" applyFont="1" applyBorder="1" applyAlignment="1">
      <alignment horizontal="center" vertical="center" shrinkToFit="1"/>
    </xf>
    <xf numFmtId="0" fontId="7" fillId="0" borderId="57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 shrinkToFit="1"/>
    </xf>
    <xf numFmtId="164" fontId="7" fillId="0" borderId="65" xfId="0" applyNumberFormat="1" applyFont="1" applyBorder="1" applyAlignment="1">
      <alignment horizontal="center" vertical="center" shrinkToFit="1"/>
    </xf>
    <xf numFmtId="164" fontId="7" fillId="0" borderId="66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71" xfId="0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wrapText="1" shrinkToFit="1"/>
    </xf>
    <xf numFmtId="0" fontId="7" fillId="0" borderId="67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0" fontId="7" fillId="0" borderId="7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 shrinkToFit="1"/>
    </xf>
    <xf numFmtId="164" fontId="7" fillId="0" borderId="79" xfId="0" applyNumberFormat="1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165" fontId="7" fillId="0" borderId="89" xfId="0" applyNumberFormat="1" applyFont="1" applyBorder="1" applyAlignment="1">
      <alignment horizontal="center" vertical="center"/>
    </xf>
    <xf numFmtId="165" fontId="7" fillId="0" borderId="90" xfId="0" applyNumberFormat="1" applyFont="1" applyBorder="1" applyAlignment="1">
      <alignment horizontal="center" vertical="center"/>
    </xf>
    <xf numFmtId="165" fontId="7" fillId="0" borderId="92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58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8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8" xfId="0" applyNumberFormat="1" applyFont="1" applyBorder="1" applyAlignment="1">
      <alignment horizontal="center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61" xfId="0" applyNumberFormat="1" applyFont="1" applyBorder="1" applyAlignment="1">
      <alignment horizontal="left" vertical="center" shrinkToFit="1"/>
    </xf>
    <xf numFmtId="164" fontId="7" fillId="0" borderId="62" xfId="0" applyNumberFormat="1" applyFont="1" applyBorder="1" applyAlignment="1">
      <alignment horizontal="left" vertical="center" shrinkToFit="1"/>
    </xf>
    <xf numFmtId="0" fontId="1" fillId="0" borderId="35" xfId="0" applyFont="1" applyBorder="1"/>
    <xf numFmtId="164" fontId="2" fillId="0" borderId="35" xfId="0" applyNumberFormat="1" applyFont="1" applyBorder="1"/>
    <xf numFmtId="0" fontId="5" fillId="0" borderId="103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20" fontId="7" fillId="0" borderId="8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104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center" vertical="center"/>
    </xf>
    <xf numFmtId="20" fontId="7" fillId="0" borderId="37" xfId="0" applyNumberFormat="1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37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166" fontId="7" fillId="0" borderId="104" xfId="0" applyNumberFormat="1" applyFont="1" applyBorder="1" applyAlignment="1">
      <alignment horizontal="center" vertical="center"/>
    </xf>
    <xf numFmtId="49" fontId="7" fillId="0" borderId="107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20" fontId="7" fillId="0" borderId="94" xfId="0" applyNumberFormat="1" applyFont="1" applyBorder="1" applyAlignment="1">
      <alignment horizontal="center" vertical="center"/>
    </xf>
    <xf numFmtId="0" fontId="7" fillId="0" borderId="91" xfId="0" applyFont="1" applyBorder="1" applyAlignment="1">
      <alignment horizontal="left" vertical="center" indent="1"/>
    </xf>
    <xf numFmtId="0" fontId="7" fillId="0" borderId="92" xfId="0" applyFont="1" applyBorder="1" applyAlignment="1">
      <alignment horizontal="left" vertical="center" indent="1"/>
    </xf>
    <xf numFmtId="0" fontId="7" fillId="0" borderId="94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58" xfId="0" applyFont="1" applyBorder="1" applyAlignment="1">
      <alignment horizontal="left" vertical="center" indent="1"/>
    </xf>
    <xf numFmtId="166" fontId="7" fillId="0" borderId="66" xfId="0" applyNumberFormat="1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103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110" xfId="0" applyFont="1" applyBorder="1" applyAlignment="1">
      <alignment horizontal="center" vertical="center"/>
    </xf>
    <xf numFmtId="0" fontId="5" fillId="0" borderId="107" xfId="0" applyFont="1" applyBorder="1" applyAlignment="1">
      <alignment horizontal="center" vertical="center" shrinkToFit="1"/>
    </xf>
    <xf numFmtId="0" fontId="5" fillId="0" borderId="111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horizontal="center" vertical="center" wrapText="1" shrinkToFit="1"/>
    </xf>
    <xf numFmtId="164" fontId="5" fillId="0" borderId="31" xfId="0" applyNumberFormat="1" applyFont="1" applyBorder="1" applyAlignment="1">
      <alignment horizontal="center" vertical="center" wrapText="1" shrinkToFit="1"/>
    </xf>
    <xf numFmtId="0" fontId="5" fillId="0" borderId="34" xfId="0" applyFont="1" applyBorder="1" applyAlignment="1">
      <alignment horizontal="left" vertical="center" shrinkToFit="1"/>
    </xf>
    <xf numFmtId="0" fontId="5" fillId="0" borderId="7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5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6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 wrapText="1" shrinkToFit="1"/>
    </xf>
    <xf numFmtId="0" fontId="13" fillId="0" borderId="34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shrinkToFit="1" indent="1"/>
    </xf>
    <xf numFmtId="0" fontId="8" fillId="0" borderId="6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64" fontId="8" fillId="0" borderId="34" xfId="0" applyNumberFormat="1" applyFont="1" applyBorder="1" applyAlignment="1">
      <alignment horizontal="center" vertical="center" wrapText="1" shrinkToFit="1"/>
    </xf>
    <xf numFmtId="0" fontId="10" fillId="0" borderId="34" xfId="0" applyFont="1" applyBorder="1" applyAlignment="1">
      <alignment horizontal="left" vertical="center" shrinkToFit="1" indent="1"/>
    </xf>
    <xf numFmtId="0" fontId="7" fillId="0" borderId="3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7" fillId="0" borderId="103" xfId="0" applyFont="1" applyBorder="1" applyAlignment="1">
      <alignment horizontal="center" vertical="center" shrinkToFit="1"/>
    </xf>
    <xf numFmtId="0" fontId="7" fillId="0" borderId="10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/>
    </xf>
    <xf numFmtId="0" fontId="7" fillId="0" borderId="85" xfId="0" applyFont="1" applyBorder="1" applyAlignment="1">
      <alignment horizontal="left" vertical="center"/>
    </xf>
    <xf numFmtId="0" fontId="7" fillId="0" borderId="87" xfId="0" applyFont="1" applyBorder="1" applyAlignment="1">
      <alignment horizontal="left" vertical="center"/>
    </xf>
    <xf numFmtId="164" fontId="8" fillId="0" borderId="112" xfId="0" applyNumberFormat="1" applyFont="1" applyBorder="1" applyAlignment="1">
      <alignment horizontal="center" vertical="center" wrapText="1" shrinkToFit="1"/>
    </xf>
    <xf numFmtId="0" fontId="8" fillId="0" borderId="113" xfId="0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left" vertical="center" shrinkToFit="1"/>
    </xf>
    <xf numFmtId="0" fontId="7" fillId="0" borderId="67" xfId="0" applyFont="1" applyBorder="1" applyAlignment="1">
      <alignment vertical="center"/>
    </xf>
    <xf numFmtId="0" fontId="7" fillId="0" borderId="11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66" xfId="0" applyNumberFormat="1" applyFont="1" applyBorder="1" applyAlignment="1">
      <alignment horizontal="center" vertical="center" wrapText="1" shrinkToFit="1"/>
    </xf>
    <xf numFmtId="0" fontId="7" fillId="0" borderId="37" xfId="0" applyFont="1" applyBorder="1" applyAlignment="1">
      <alignment horizontal="center" vertical="center" wrapText="1" shrinkToFit="1"/>
    </xf>
    <xf numFmtId="0" fontId="10" fillId="0" borderId="67" xfId="0" applyFont="1" applyBorder="1" applyAlignment="1">
      <alignment horizontal="left" vertical="center" shrinkToFit="1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/>
    </xf>
    <xf numFmtId="0" fontId="5" fillId="0" borderId="31" xfId="0" applyFont="1" applyBorder="1" applyAlignment="1">
      <alignment horizontal="left" vertical="center" shrinkToFit="1"/>
    </xf>
    <xf numFmtId="164" fontId="5" fillId="0" borderId="107" xfId="0" applyNumberFormat="1" applyFont="1" applyBorder="1" applyAlignment="1">
      <alignment horizontal="center" vertical="center" wrapText="1" shrinkToFit="1"/>
    </xf>
    <xf numFmtId="0" fontId="5" fillId="0" borderId="111" xfId="0" applyFont="1" applyBorder="1" applyAlignment="1">
      <alignment horizontal="center" vertical="center" wrapText="1" shrinkToFit="1"/>
    </xf>
    <xf numFmtId="0" fontId="5" fillId="0" borderId="114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164" fontId="5" fillId="0" borderId="91" xfId="0" applyNumberFormat="1" applyFont="1" applyBorder="1" applyAlignment="1">
      <alignment horizontal="center" vertical="center" wrapText="1" shrinkToFit="1"/>
    </xf>
    <xf numFmtId="0" fontId="5" fillId="0" borderId="94" xfId="0" applyFont="1" applyBorder="1" applyAlignment="1">
      <alignment horizontal="center" vertical="center" wrapText="1" shrinkToFit="1"/>
    </xf>
    <xf numFmtId="0" fontId="5" fillId="0" borderId="67" xfId="0" applyFont="1" applyBorder="1" applyAlignment="1">
      <alignment horizontal="left" vertical="center" shrinkToFit="1"/>
    </xf>
    <xf numFmtId="0" fontId="7" fillId="0" borderId="5" xfId="0" applyFont="1" applyBorder="1" applyAlignment="1">
      <alignment vertical="center"/>
    </xf>
    <xf numFmtId="0" fontId="5" fillId="0" borderId="115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3" fillId="0" borderId="11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66" xfId="0" applyNumberFormat="1" applyFont="1" applyBorder="1" applyAlignment="1">
      <alignment horizontal="center" vertical="center" wrapText="1" shrinkToFit="1"/>
    </xf>
    <xf numFmtId="164" fontId="13" fillId="0" borderId="37" xfId="0" applyNumberFormat="1" applyFont="1" applyBorder="1" applyAlignment="1">
      <alignment horizontal="center" vertical="center" wrapText="1" shrinkToFit="1"/>
    </xf>
    <xf numFmtId="164" fontId="13" fillId="0" borderId="5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left" vertical="center" shrinkToFit="1" indent="1"/>
    </xf>
    <xf numFmtId="0" fontId="8" fillId="0" borderId="3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 wrapText="1" shrinkToFit="1"/>
    </xf>
    <xf numFmtId="164" fontId="13" fillId="0" borderId="3" xfId="0" applyNumberFormat="1" applyFont="1" applyBorder="1" applyAlignment="1">
      <alignment horizontal="center" vertical="center" wrapText="1" shrinkToFit="1"/>
    </xf>
    <xf numFmtId="164" fontId="13" fillId="0" borderId="31" xfId="0" applyNumberFormat="1" applyFont="1" applyBorder="1" applyAlignment="1">
      <alignment horizontal="center" vertical="center" wrapText="1" shrinkToFit="1"/>
    </xf>
    <xf numFmtId="0" fontId="13" fillId="0" borderId="31" xfId="0" applyFont="1" applyBorder="1" applyAlignment="1">
      <alignment horizontal="left" vertical="center" shrinkToFit="1" inden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31" xfId="0" applyNumberFormat="1" applyFont="1" applyBorder="1" applyAlignment="1">
      <alignment horizontal="center" vertical="center" wrapText="1" shrinkToFit="1"/>
    </xf>
    <xf numFmtId="0" fontId="14" fillId="0" borderId="31" xfId="0" applyFont="1" applyBorder="1" applyAlignment="1">
      <alignment horizontal="left" vertical="center" shrinkToFit="1" indent="1"/>
    </xf>
    <xf numFmtId="0" fontId="1" fillId="0" borderId="80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4" xfId="0" applyFont="1" applyBorder="1" applyAlignment="1">
      <alignment horizontal="left" vertical="center" indent="1"/>
    </xf>
    <xf numFmtId="0" fontId="7" fillId="0" borderId="85" xfId="0" applyFont="1" applyBorder="1" applyAlignment="1">
      <alignment horizontal="left" vertical="center" indent="1"/>
    </xf>
    <xf numFmtId="0" fontId="7" fillId="0" borderId="87" xfId="0" applyFont="1" applyBorder="1" applyAlignment="1">
      <alignment horizontal="left" vertical="center" indent="1"/>
    </xf>
    <xf numFmtId="0" fontId="7" fillId="0" borderId="1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0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164" fontId="1" fillId="0" borderId="8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49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49" fontId="5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49" fontId="17" fillId="0" borderId="58" xfId="0" applyNumberFormat="1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/>
    </xf>
    <xf numFmtId="49" fontId="17" fillId="0" borderId="67" xfId="0" applyNumberFormat="1" applyFont="1" applyBorder="1" applyAlignment="1">
      <alignment horizontal="center" vertical="center" wrapText="1"/>
    </xf>
    <xf numFmtId="0" fontId="17" fillId="0" borderId="67" xfId="0" applyFont="1" applyBorder="1" applyAlignment="1">
      <alignment horizontal="center" vertical="center" wrapText="1"/>
    </xf>
    <xf numFmtId="49" fontId="17" fillId="0" borderId="3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 wrapText="1"/>
    </xf>
    <xf numFmtId="49" fontId="17" fillId="2" borderId="31" xfId="0" applyNumberFormat="1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49" fontId="10" fillId="0" borderId="58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77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6" fillId="3" borderId="23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167" fontId="16" fillId="3" borderId="31" xfId="0" applyNumberFormat="1" applyFont="1" applyFill="1" applyBorder="1" applyAlignment="1">
      <alignment horizontal="center" vertical="center"/>
    </xf>
    <xf numFmtId="167" fontId="17" fillId="0" borderId="117" xfId="0" applyNumberFormat="1" applyFont="1" applyBorder="1" applyAlignment="1">
      <alignment horizontal="center" vertical="center" wrapText="1"/>
    </xf>
    <xf numFmtId="168" fontId="7" fillId="0" borderId="23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49" fontId="16" fillId="3" borderId="31" xfId="0" applyNumberFormat="1" applyFont="1" applyFill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 wrapText="1"/>
    </xf>
    <xf numFmtId="20" fontId="7" fillId="0" borderId="110" xfId="0" applyNumberFormat="1" applyFont="1" applyBorder="1" applyAlignment="1">
      <alignment horizontal="center" vertical="center"/>
    </xf>
    <xf numFmtId="0" fontId="19" fillId="0" borderId="110" xfId="0" applyFont="1" applyBorder="1" applyAlignment="1">
      <alignment horizontal="center" vertical="center" wrapText="1"/>
    </xf>
    <xf numFmtId="49" fontId="16" fillId="3" borderId="90" xfId="0" applyNumberFormat="1" applyFont="1" applyFill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/>
    </xf>
    <xf numFmtId="167" fontId="16" fillId="3" borderId="90" xfId="0" applyNumberFormat="1" applyFont="1" applyFill="1" applyBorder="1" applyAlignment="1">
      <alignment horizontal="center" vertical="center"/>
    </xf>
    <xf numFmtId="20" fontId="7" fillId="0" borderId="90" xfId="0" applyNumberFormat="1" applyFont="1" applyBorder="1" applyAlignment="1">
      <alignment horizontal="center" vertical="center"/>
    </xf>
    <xf numFmtId="0" fontId="19" fillId="0" borderId="90" xfId="0" applyFont="1" applyBorder="1" applyAlignment="1">
      <alignment horizontal="center" vertical="center" wrapText="1"/>
    </xf>
    <xf numFmtId="49" fontId="16" fillId="3" borderId="34" xfId="0" applyNumberFormat="1" applyFont="1" applyFill="1" applyBorder="1" applyAlignment="1">
      <alignment horizontal="center" vertical="center"/>
    </xf>
    <xf numFmtId="0" fontId="17" fillId="0" borderId="34" xfId="0" applyFont="1" applyBorder="1" applyAlignment="1">
      <alignment horizontal="center" vertical="center" wrapText="1"/>
    </xf>
    <xf numFmtId="167" fontId="16" fillId="3" borderId="34" xfId="0" applyNumberFormat="1" applyFont="1" applyFill="1" applyBorder="1" applyAlignment="1">
      <alignment horizontal="center" vertical="center"/>
    </xf>
    <xf numFmtId="167" fontId="20" fillId="4" borderId="34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 wrapText="1"/>
    </xf>
    <xf numFmtId="0" fontId="7" fillId="4" borderId="110" xfId="0" applyFont="1" applyFill="1" applyBorder="1" applyAlignment="1">
      <alignment horizontal="center" vertical="center" wrapText="1"/>
    </xf>
    <xf numFmtId="0" fontId="10" fillId="4" borderId="110" xfId="0" applyFont="1" applyFill="1" applyBorder="1" applyAlignment="1">
      <alignment horizontal="center" vertical="center" wrapText="1"/>
    </xf>
    <xf numFmtId="0" fontId="10" fillId="4" borderId="90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20" fontId="7" fillId="0" borderId="34" xfId="0" applyNumberFormat="1" applyFont="1" applyBorder="1" applyAlignment="1">
      <alignment horizontal="center" vertical="center"/>
    </xf>
    <xf numFmtId="0" fontId="10" fillId="4" borderId="77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9" fillId="0" borderId="110" xfId="0" applyFont="1" applyBorder="1" applyAlignment="1">
      <alignment horizontal="center" vertical="center"/>
    </xf>
    <xf numFmtId="0" fontId="10" fillId="0" borderId="11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61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18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80" xfId="0" applyFont="1" applyBorder="1" applyAlignment="1">
      <alignment horizontal="left" vertical="center"/>
    </xf>
    <xf numFmtId="0" fontId="7" fillId="0" borderId="119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 wrapText="1"/>
    </xf>
    <xf numFmtId="0" fontId="7" fillId="0" borderId="121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165" fontId="7" fillId="0" borderId="33" xfId="0" applyNumberFormat="1" applyFont="1" applyBorder="1" applyAlignment="1">
      <alignment horizontal="center" vertical="center"/>
    </xf>
    <xf numFmtId="165" fontId="7" fillId="0" borderId="37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169" fontId="22" fillId="0" borderId="120" xfId="0" applyNumberFormat="1" applyFont="1" applyBorder="1" applyAlignment="1">
      <alignment horizontal="left" vertical="center" shrinkToFit="1"/>
    </xf>
    <xf numFmtId="169" fontId="22" fillId="0" borderId="121" xfId="0" applyNumberFormat="1" applyFont="1" applyBorder="1" applyAlignment="1">
      <alignment horizontal="left" vertical="center" shrinkToFit="1"/>
    </xf>
    <xf numFmtId="169" fontId="22" fillId="0" borderId="123" xfId="0" applyNumberFormat="1" applyFont="1" applyBorder="1" applyAlignment="1">
      <alignment horizontal="left" vertical="center" shrinkToFit="1"/>
    </xf>
    <xf numFmtId="0" fontId="7" fillId="0" borderId="10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4" xfId="0" applyFont="1" applyBorder="1" applyAlignment="1">
      <alignment horizontal="center" vertical="center"/>
    </xf>
    <xf numFmtId="165" fontId="7" fillId="0" borderId="31" xfId="0" applyNumberFormat="1" applyFont="1" applyBorder="1" applyAlignment="1">
      <alignment horizontal="center" vertical="center"/>
    </xf>
    <xf numFmtId="165" fontId="7" fillId="0" borderId="34" xfId="0" applyNumberFormat="1" applyFont="1" applyBorder="1" applyAlignment="1">
      <alignment horizontal="center" vertical="center"/>
    </xf>
    <xf numFmtId="165" fontId="7" fillId="0" borderId="125" xfId="0" applyNumberFormat="1" applyFont="1" applyBorder="1" applyAlignment="1">
      <alignment horizontal="center" vertical="center"/>
    </xf>
    <xf numFmtId="165" fontId="7" fillId="0" borderId="126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left" vertical="center" shrinkToFit="1"/>
    </xf>
    <xf numFmtId="0" fontId="22" fillId="0" borderId="77" xfId="0" applyFont="1" applyBorder="1" applyAlignment="1">
      <alignment horizontal="left" vertical="center" shrinkToFit="1"/>
    </xf>
    <xf numFmtId="0" fontId="22" fillId="0" borderId="127" xfId="0" applyFont="1" applyBorder="1" applyAlignment="1">
      <alignment horizontal="left" vertical="center" shrinkToFit="1"/>
    </xf>
    <xf numFmtId="165" fontId="7" fillId="0" borderId="128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124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165" fontId="7" fillId="0" borderId="21" xfId="0" applyNumberFormat="1" applyFont="1" applyBorder="1" applyAlignment="1">
      <alignment horizontal="center" vertical="center"/>
    </xf>
    <xf numFmtId="165" fontId="7" fillId="0" borderId="76" xfId="0" applyNumberFormat="1" applyFont="1" applyBorder="1" applyAlignment="1">
      <alignment horizontal="center" vertical="center"/>
    </xf>
    <xf numFmtId="165" fontId="7" fillId="0" borderId="77" xfId="0" applyNumberFormat="1" applyFont="1" applyBorder="1" applyAlignment="1">
      <alignment horizontal="center" vertical="center"/>
    </xf>
    <xf numFmtId="165" fontId="7" fillId="0" borderId="127" xfId="0" applyNumberFormat="1" applyFont="1" applyBorder="1" applyAlignment="1">
      <alignment horizontal="center" vertical="center"/>
    </xf>
    <xf numFmtId="169" fontId="22" fillId="0" borderId="17" xfId="0" applyNumberFormat="1" applyFont="1" applyBorder="1" applyAlignment="1">
      <alignment horizontal="left" vertical="center" shrinkToFit="1"/>
    </xf>
    <xf numFmtId="169" fontId="22" fillId="0" borderId="18" xfId="0" applyNumberFormat="1" applyFont="1" applyBorder="1" applyAlignment="1">
      <alignment horizontal="left" vertical="center" shrinkToFit="1"/>
    </xf>
    <xf numFmtId="169" fontId="22" fillId="0" borderId="119" xfId="0" applyNumberFormat="1" applyFont="1" applyBorder="1" applyAlignment="1">
      <alignment horizontal="left" vertical="center" shrinkToFit="1"/>
    </xf>
    <xf numFmtId="0" fontId="7" fillId="0" borderId="102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0" fontId="7" fillId="0" borderId="129" xfId="0" applyFont="1" applyBorder="1" applyAlignment="1">
      <alignment horizontal="center" vertical="center"/>
    </xf>
    <xf numFmtId="165" fontId="14" fillId="0" borderId="57" xfId="0" applyNumberFormat="1" applyFont="1" applyBorder="1" applyAlignment="1">
      <alignment horizontal="center" vertical="center"/>
    </xf>
    <xf numFmtId="165" fontId="14" fillId="0" borderId="60" xfId="0" applyNumberFormat="1" applyFont="1" applyBorder="1" applyAlignment="1">
      <alignment horizontal="center" vertical="center"/>
    </xf>
    <xf numFmtId="165" fontId="14" fillId="0" borderId="112" xfId="0" applyNumberFormat="1" applyFont="1" applyBorder="1" applyAlignment="1">
      <alignment horizontal="center" vertical="center"/>
    </xf>
    <xf numFmtId="165" fontId="14" fillId="0" borderId="113" xfId="0" applyNumberFormat="1" applyFont="1" applyBorder="1" applyAlignment="1">
      <alignment horizontal="center" vertical="center"/>
    </xf>
    <xf numFmtId="165" fontId="14" fillId="0" borderId="130" xfId="0" applyNumberFormat="1" applyFont="1" applyBorder="1" applyAlignment="1">
      <alignment horizontal="center" vertical="center"/>
    </xf>
    <xf numFmtId="165" fontId="14" fillId="0" borderId="129" xfId="0" applyNumberFormat="1" applyFont="1" applyBorder="1" applyAlignment="1">
      <alignment horizontal="center" vertical="center"/>
    </xf>
    <xf numFmtId="165" fontId="14" fillId="0" borderId="131" xfId="0" applyNumberFormat="1" applyFont="1" applyBorder="1" applyAlignment="1">
      <alignment horizontal="center" vertical="center"/>
    </xf>
    <xf numFmtId="165" fontId="14" fillId="0" borderId="132" xfId="0" applyNumberFormat="1" applyFont="1" applyBorder="1" applyAlignment="1">
      <alignment horizontal="center" vertical="center"/>
    </xf>
    <xf numFmtId="165" fontId="14" fillId="0" borderId="133" xfId="0" applyNumberFormat="1" applyFont="1" applyBorder="1" applyAlignment="1">
      <alignment horizontal="center" vertical="center"/>
    </xf>
    <xf numFmtId="0" fontId="22" fillId="0" borderId="131" xfId="0" applyFont="1" applyBorder="1" applyAlignment="1">
      <alignment horizontal="left" vertical="center" shrinkToFit="1"/>
    </xf>
    <xf numFmtId="0" fontId="22" fillId="0" borderId="132" xfId="0" applyFont="1" applyBorder="1" applyAlignment="1">
      <alignment horizontal="left" vertical="center" shrinkToFit="1"/>
    </xf>
    <xf numFmtId="0" fontId="22" fillId="0" borderId="133" xfId="0" applyFont="1" applyBorder="1" applyAlignment="1">
      <alignment horizontal="left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16" xfId="0" applyFont="1" applyBorder="1" applyAlignment="1">
      <alignment horizontal="center" vertical="center" wrapText="1"/>
    </xf>
    <xf numFmtId="165" fontId="7" fillId="0" borderId="118" xfId="0" applyNumberFormat="1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169" fontId="22" fillId="0" borderId="101" xfId="0" applyNumberFormat="1" applyFont="1" applyBorder="1" applyAlignment="1">
      <alignment horizontal="left" vertical="center" shrinkToFit="1"/>
    </xf>
    <xf numFmtId="169" fontId="22" fillId="0" borderId="0" xfId="0" applyNumberFormat="1" applyFont="1" applyAlignment="1">
      <alignment horizontal="left" vertical="center" shrinkToFit="1"/>
    </xf>
    <xf numFmtId="169" fontId="22" fillId="0" borderId="68" xfId="0" applyNumberFormat="1" applyFont="1" applyBorder="1" applyAlignment="1">
      <alignment horizontal="left" vertical="center" shrinkToFit="1"/>
    </xf>
    <xf numFmtId="0" fontId="7" fillId="0" borderId="69" xfId="0" applyFont="1" applyBorder="1" applyAlignment="1">
      <alignment horizontal="center" vertical="center" wrapText="1"/>
    </xf>
    <xf numFmtId="0" fontId="22" fillId="0" borderId="76" xfId="0" applyFont="1" applyBorder="1" applyAlignment="1">
      <alignment vertical="center" shrinkToFit="1"/>
    </xf>
    <xf numFmtId="0" fontId="22" fillId="0" borderId="77" xfId="0" applyFont="1" applyBorder="1" applyAlignment="1">
      <alignment vertical="center" shrinkToFit="1"/>
    </xf>
    <xf numFmtId="0" fontId="22" fillId="0" borderId="127" xfId="0" applyFont="1" applyBorder="1" applyAlignment="1">
      <alignment vertical="center" shrinkToFit="1"/>
    </xf>
    <xf numFmtId="0" fontId="7" fillId="0" borderId="103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22" fillId="0" borderId="76" xfId="0" applyFont="1" applyBorder="1" applyAlignment="1">
      <alignment horizontal="left" vertical="center" shrinkToFit="1" indent="1"/>
    </xf>
    <xf numFmtId="0" fontId="22" fillId="0" borderId="77" xfId="0" applyFont="1" applyBorder="1" applyAlignment="1">
      <alignment horizontal="left" vertical="center" shrinkToFit="1" indent="1"/>
    </xf>
    <xf numFmtId="0" fontId="22" fillId="0" borderId="127" xfId="0" applyFont="1" applyBorder="1" applyAlignment="1">
      <alignment horizontal="left" vertical="center" shrinkToFit="1" indent="1"/>
    </xf>
    <xf numFmtId="49" fontId="22" fillId="0" borderId="76" xfId="0" applyNumberFormat="1" applyFont="1" applyBorder="1" applyAlignment="1">
      <alignment horizontal="left" vertical="center" shrinkToFit="1" indent="1"/>
    </xf>
    <xf numFmtId="49" fontId="22" fillId="0" borderId="77" xfId="0" applyNumberFormat="1" applyFont="1" applyBorder="1" applyAlignment="1">
      <alignment horizontal="left" vertical="center" shrinkToFit="1" indent="1"/>
    </xf>
    <xf numFmtId="49" fontId="22" fillId="0" borderId="127" xfId="0" applyNumberFormat="1" applyFont="1" applyBorder="1" applyAlignment="1">
      <alignment horizontal="left" vertical="center" shrinkToFit="1" indent="1"/>
    </xf>
    <xf numFmtId="0" fontId="7" fillId="0" borderId="63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22" fillId="0" borderId="113" xfId="0" applyFont="1" applyBorder="1" applyAlignment="1">
      <alignment horizontal="left" vertical="center" shrinkToFit="1" indent="1"/>
    </xf>
    <xf numFmtId="0" fontId="22" fillId="0" borderId="132" xfId="0" applyFont="1" applyBorder="1" applyAlignment="1">
      <alignment horizontal="left" vertical="center" shrinkToFit="1" indent="1"/>
    </xf>
    <xf numFmtId="0" fontId="22" fillId="0" borderId="133" xfId="0" applyFont="1" applyBorder="1" applyAlignment="1">
      <alignment horizontal="left" vertical="center" shrinkToFit="1" indent="1"/>
    </xf>
    <xf numFmtId="165" fontId="7" fillId="0" borderId="12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 vertical="center"/>
    </xf>
    <xf numFmtId="165" fontId="7" fillId="0" borderId="32" xfId="0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left" vertical="center" shrinkToFit="1" indent="1"/>
    </xf>
    <xf numFmtId="0" fontId="22" fillId="0" borderId="34" xfId="0" applyFont="1" applyBorder="1" applyAlignment="1">
      <alignment horizontal="left" vertical="center" shrinkToFit="1" indent="1"/>
    </xf>
    <xf numFmtId="0" fontId="22" fillId="0" borderId="32" xfId="0" applyFont="1" applyBorder="1" applyAlignment="1">
      <alignment horizontal="left" vertical="center" shrinkToFit="1" indent="1"/>
    </xf>
    <xf numFmtId="165" fontId="7" fillId="0" borderId="119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shrinkToFit="1" indent="1"/>
    </xf>
    <xf numFmtId="0" fontId="22" fillId="0" borderId="18" xfId="0" applyFont="1" applyBorder="1" applyAlignment="1">
      <alignment horizontal="left" vertical="center" shrinkToFit="1" indent="1"/>
    </xf>
    <xf numFmtId="0" fontId="22" fillId="0" borderId="119" xfId="0" applyFont="1" applyBorder="1" applyAlignment="1">
      <alignment horizontal="left" vertical="center" shrinkToFit="1" indent="1"/>
    </xf>
    <xf numFmtId="0" fontId="7" fillId="0" borderId="59" xfId="0" applyFont="1" applyBorder="1" applyAlignment="1">
      <alignment horizontal="center" vertical="center"/>
    </xf>
    <xf numFmtId="165" fontId="14" fillId="0" borderId="63" xfId="0" applyNumberFormat="1" applyFont="1" applyBorder="1" applyAlignment="1">
      <alignment horizontal="center" vertical="center"/>
    </xf>
    <xf numFmtId="0" fontId="22" fillId="0" borderId="63" xfId="0" applyFont="1" applyBorder="1" applyAlignment="1">
      <alignment horizontal="left" vertical="center" shrinkToFit="1" indent="1"/>
    </xf>
    <xf numFmtId="0" fontId="22" fillId="0" borderId="60" xfId="0" applyFont="1" applyBorder="1" applyAlignment="1">
      <alignment horizontal="left" vertical="center" shrinkToFit="1" indent="1"/>
    </xf>
    <xf numFmtId="0" fontId="22" fillId="0" borderId="129" xfId="0" applyFont="1" applyBorder="1" applyAlignment="1">
      <alignment horizontal="left" vertical="center" shrinkToFit="1" indent="1"/>
    </xf>
    <xf numFmtId="0" fontId="23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11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70" fontId="10" fillId="0" borderId="138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37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1" fontId="10" fillId="0" borderId="138" xfId="0" applyNumberFormat="1" applyFont="1" applyBorder="1" applyAlignment="1">
      <alignment horizontal="center" vertical="center"/>
    </xf>
    <xf numFmtId="171" fontId="10" fillId="0" borderId="35" xfId="0" applyNumberFormat="1" applyFont="1" applyBorder="1" applyAlignment="1">
      <alignment horizontal="center" vertical="center"/>
    </xf>
    <xf numFmtId="171" fontId="10" fillId="0" borderId="36" xfId="0" applyNumberFormat="1" applyFont="1" applyBorder="1" applyAlignment="1">
      <alignment horizontal="center" vertical="center"/>
    </xf>
    <xf numFmtId="0" fontId="10" fillId="0" borderId="138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36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9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0" fontId="10" fillId="0" borderId="134" xfId="0" applyFont="1" applyBorder="1" applyAlignment="1">
      <alignment horizontal="center" vertical="center"/>
    </xf>
    <xf numFmtId="170" fontId="10" fillId="0" borderId="128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4" xfId="0" applyNumberFormat="1" applyFont="1" applyBorder="1" applyAlignment="1">
      <alignment horizontal="center" vertical="center"/>
    </xf>
    <xf numFmtId="171" fontId="10" fillId="0" borderId="128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24" xfId="0" applyNumberFormat="1" applyFont="1" applyBorder="1" applyAlignment="1">
      <alignment horizontal="center" vertical="center"/>
    </xf>
    <xf numFmtId="0" fontId="10" fillId="0" borderId="128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4" xfId="0" applyFont="1" applyBorder="1" applyAlignment="1">
      <alignment horizontal="left" vertical="center" shrinkToFit="1" indent="1"/>
    </xf>
    <xf numFmtId="0" fontId="10" fillId="0" borderId="1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4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14" fillId="0" borderId="96" xfId="0" applyNumberFormat="1" applyFont="1" applyBorder="1" applyAlignment="1">
      <alignment horizontal="center" vertical="center"/>
    </xf>
    <xf numFmtId="171" fontId="14" fillId="0" borderId="97" xfId="0" applyNumberFormat="1" applyFont="1" applyBorder="1" applyAlignment="1">
      <alignment horizontal="center" vertical="center"/>
    </xf>
    <xf numFmtId="171" fontId="14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10" fillId="0" borderId="93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170" fontId="10" fillId="0" borderId="93" xfId="0" applyNumberFormat="1" applyFont="1" applyBorder="1" applyAlignment="1">
      <alignment horizontal="center" vertical="center"/>
    </xf>
    <xf numFmtId="170" fontId="10" fillId="0" borderId="92" xfId="0" applyNumberFormat="1" applyFont="1" applyBorder="1" applyAlignment="1">
      <alignment horizontal="center" vertical="center"/>
    </xf>
    <xf numFmtId="170" fontId="10" fillId="0" borderId="94" xfId="0" applyNumberFormat="1" applyFont="1" applyBorder="1" applyAlignment="1">
      <alignment horizontal="center" vertical="center"/>
    </xf>
    <xf numFmtId="170" fontId="10" fillId="0" borderId="95" xfId="0" applyNumberFormat="1" applyFont="1" applyBorder="1" applyAlignment="1">
      <alignment horizontal="center" vertical="center"/>
    </xf>
    <xf numFmtId="171" fontId="10" fillId="0" borderId="93" xfId="0" applyNumberFormat="1" applyFont="1" applyBorder="1" applyAlignment="1">
      <alignment horizontal="center" vertical="center"/>
    </xf>
    <xf numFmtId="171" fontId="10" fillId="0" borderId="92" xfId="0" applyNumberFormat="1" applyFont="1" applyBorder="1" applyAlignment="1">
      <alignment horizontal="center" vertical="center"/>
    </xf>
    <xf numFmtId="171" fontId="10" fillId="0" borderId="95" xfId="0" applyNumberFormat="1" applyFont="1" applyBorder="1" applyAlignment="1">
      <alignment horizontal="center" vertical="center"/>
    </xf>
    <xf numFmtId="0" fontId="10" fillId="0" borderId="93" xfId="0" applyFont="1" applyBorder="1" applyAlignment="1">
      <alignment horizontal="left" vertical="center" shrinkToFit="1" indent="1"/>
    </xf>
    <xf numFmtId="0" fontId="10" fillId="0" borderId="92" xfId="0" applyFont="1" applyBorder="1" applyAlignment="1">
      <alignment horizontal="left" vertical="center" shrinkToFit="1" indent="1"/>
    </xf>
    <xf numFmtId="0" fontId="10" fillId="0" borderId="95" xfId="0" applyFont="1" applyBorder="1" applyAlignment="1">
      <alignment horizontal="left" vertical="center" shrinkToFit="1" indent="1"/>
    </xf>
    <xf numFmtId="0" fontId="10" fillId="0" borderId="96" xfId="0" applyFont="1" applyBorder="1" applyAlignment="1">
      <alignment horizontal="left" vertical="center" shrinkToFit="1" indent="1"/>
    </xf>
    <xf numFmtId="0" fontId="10" fillId="0" borderId="97" xfId="0" applyFont="1" applyBorder="1" applyAlignment="1">
      <alignment horizontal="left" vertical="center" shrinkToFit="1" indent="1"/>
    </xf>
    <xf numFmtId="0" fontId="10" fillId="0" borderId="98" xfId="0" applyFont="1" applyBorder="1" applyAlignment="1">
      <alignment horizontal="left" vertical="center" shrinkToFit="1" indent="1"/>
    </xf>
    <xf numFmtId="0" fontId="20" fillId="0" borderId="0" xfId="0" applyFont="1" applyAlignment="1">
      <alignment vertical="center"/>
    </xf>
    <xf numFmtId="172" fontId="20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25" fillId="4" borderId="140" xfId="0" applyFont="1" applyFill="1" applyBorder="1" applyAlignment="1" applyProtection="1">
      <alignment horizontal="center" vertical="center"/>
      <protection hidden="1"/>
    </xf>
    <xf numFmtId="0" fontId="25" fillId="4" borderId="0" xfId="0" applyFont="1" applyFill="1" applyAlignment="1" applyProtection="1">
      <alignment horizontal="center" vertical="center"/>
      <protection hidden="1"/>
    </xf>
    <xf numFmtId="173" fontId="12" fillId="4" borderId="0" xfId="0" applyNumberFormat="1" applyFont="1" applyFill="1" applyAlignment="1" applyProtection="1">
      <alignment horizontal="center"/>
      <protection hidden="1"/>
    </xf>
    <xf numFmtId="0" fontId="4" fillId="4" borderId="0" xfId="0" applyFont="1" applyFill="1" applyProtection="1">
      <protection hidden="1"/>
    </xf>
    <xf numFmtId="0" fontId="20" fillId="4" borderId="0" xfId="0" applyFont="1" applyFill="1" applyAlignment="1">
      <alignment vertical="center"/>
    </xf>
    <xf numFmtId="0" fontId="20" fillId="0" borderId="0" xfId="0" applyFont="1"/>
    <xf numFmtId="0" fontId="26" fillId="4" borderId="0" xfId="0" applyFont="1" applyFill="1" applyProtection="1">
      <protection locked="0"/>
    </xf>
    <xf numFmtId="0" fontId="27" fillId="4" borderId="0" xfId="0" applyFont="1" applyFill="1" applyProtection="1">
      <protection locked="0"/>
    </xf>
    <xf numFmtId="0" fontId="23" fillId="4" borderId="0" xfId="0" applyFont="1" applyFill="1" applyProtection="1">
      <protection locked="0"/>
    </xf>
    <xf numFmtId="172" fontId="23" fillId="4" borderId="0" xfId="0" applyNumberFormat="1" applyFont="1" applyFill="1" applyProtection="1">
      <protection locked="0"/>
    </xf>
    <xf numFmtId="49" fontId="26" fillId="4" borderId="0" xfId="0" applyNumberFormat="1" applyFont="1" applyFill="1" applyProtection="1">
      <protection locked="0"/>
    </xf>
    <xf numFmtId="49" fontId="13" fillId="4" borderId="0" xfId="0" applyNumberFormat="1" applyFont="1" applyFill="1"/>
    <xf numFmtId="0" fontId="5" fillId="4" borderId="0" xfId="0" applyFont="1" applyFill="1" applyProtection="1">
      <protection locked="0"/>
    </xf>
    <xf numFmtId="0" fontId="28" fillId="4" borderId="0" xfId="0" applyFont="1" applyFill="1" applyProtection="1">
      <protection locked="0"/>
    </xf>
    <xf numFmtId="0" fontId="5" fillId="4" borderId="0" xfId="0" applyFont="1" applyFill="1"/>
    <xf numFmtId="0" fontId="29" fillId="4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49" fontId="20" fillId="0" borderId="0" xfId="0" applyNumberFormat="1" applyFont="1"/>
    <xf numFmtId="0" fontId="30" fillId="4" borderId="0" xfId="0" applyFont="1" applyFill="1" applyProtection="1">
      <protection hidden="1"/>
    </xf>
    <xf numFmtId="0" fontId="5" fillId="4" borderId="0" xfId="0" applyFont="1" applyFill="1" applyProtection="1">
      <protection hidden="1"/>
    </xf>
    <xf numFmtId="172" fontId="5" fillId="4" borderId="0" xfId="0" applyNumberFormat="1" applyFont="1" applyFill="1" applyProtection="1">
      <protection hidden="1"/>
    </xf>
    <xf numFmtId="49" fontId="5" fillId="4" borderId="0" xfId="0" applyNumberFormat="1" applyFont="1" applyFill="1" applyProtection="1">
      <protection hidden="1"/>
    </xf>
    <xf numFmtId="0" fontId="5" fillId="4" borderId="0" xfId="0" applyFont="1" applyFill="1" applyAlignment="1" applyProtection="1">
      <alignment horizontal="left" vertical="center"/>
      <protection hidden="1"/>
    </xf>
    <xf numFmtId="0" fontId="8" fillId="5" borderId="31" xfId="0" applyFont="1" applyFill="1" applyBorder="1" applyAlignment="1" applyProtection="1">
      <alignment horizontal="center" vertical="center" wrapText="1"/>
      <protection hidden="1"/>
    </xf>
    <xf numFmtId="172" fontId="8" fillId="5" borderId="31" xfId="0" applyNumberFormat="1" applyFont="1" applyFill="1" applyBorder="1" applyAlignment="1" applyProtection="1">
      <alignment horizontal="center" vertical="center" wrapText="1"/>
      <protection hidden="1"/>
    </xf>
    <xf numFmtId="49" fontId="8" fillId="5" borderId="31" xfId="0" applyNumberFormat="1" applyFont="1" applyFill="1" applyBorder="1" applyAlignment="1" applyProtection="1">
      <alignment horizontal="center" vertical="center" wrapText="1"/>
      <protection hidden="1"/>
    </xf>
    <xf numFmtId="0" fontId="7" fillId="5" borderId="31" xfId="0" applyFont="1" applyFill="1" applyBorder="1" applyProtection="1">
      <protection hidden="1"/>
    </xf>
    <xf numFmtId="172" fontId="7" fillId="5" borderId="31" xfId="0" applyNumberFormat="1" applyFont="1" applyFill="1" applyBorder="1" applyProtection="1"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17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8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56" t="s">
        <v>25</v>
      </c>
      <c r="B2" s="156"/>
      <c r="C2" s="156"/>
      <c r="D2" s="156"/>
      <c r="E2" s="156"/>
      <c r="F2" s="156"/>
      <c r="G2" s="156"/>
      <c r="H2" s="15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7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8"/>
      <c r="B5" s="158"/>
      <c r="C5" s="158"/>
      <c r="D5" s="158"/>
      <c r="E5" s="158"/>
      <c r="F5" s="158"/>
      <c r="G5" s="158"/>
      <c r="H5" s="15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159"/>
      <c r="C6" s="160" t="s">
        <v>4</v>
      </c>
      <c r="D6" s="14"/>
      <c r="E6" s="14"/>
      <c r="F6" s="9"/>
      <c r="G6" s="161" t="s">
        <v>5</v>
      </c>
      <c r="H6" s="162">
        <f>'Final Work'!선적종료일</f>
        <v>46214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163"/>
      <c r="C8" s="160" t="s">
        <v>29</v>
      </c>
      <c r="D8" s="14"/>
      <c r="E8" s="14"/>
      <c r="F8" s="160"/>
      <c r="G8" s="164" t="s">
        <v>30</v>
      </c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60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65" t="s">
        <v>32</v>
      </c>
      <c r="B12" s="166"/>
      <c r="C12" s="167" t="s">
        <v>33</v>
      </c>
      <c r="D12" s="167"/>
      <c r="E12" s="167"/>
      <c r="F12" s="167"/>
      <c r="G12" s="167"/>
      <c r="H12" s="166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" customHeight="1" spans="1:25" s="9" customFormat="1" x14ac:dyDescent="0.25">
      <c r="A13" s="168" t="s">
        <v>34</v>
      </c>
      <c r="B13" s="169"/>
      <c r="C13" s="170"/>
      <c r="D13" s="170"/>
      <c r="E13" s="170"/>
      <c r="F13" s="170"/>
      <c r="G13" s="170"/>
      <c r="H13" s="170"/>
      <c r="I13" s="17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" customHeight="1" spans="1:25" x14ac:dyDescent="0.25">
      <c r="A14" s="172"/>
      <c r="B14" s="173"/>
      <c r="C14" s="174"/>
      <c r="D14" s="175"/>
      <c r="E14" s="175"/>
      <c r="F14" s="175"/>
      <c r="G14" s="175"/>
      <c r="H14" s="176"/>
      <c r="I14" s="17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172"/>
      <c r="B15" s="173"/>
      <c r="C15" s="177"/>
      <c r="D15" s="177"/>
      <c r="E15" s="177"/>
      <c r="F15" s="177"/>
      <c r="G15" s="177"/>
      <c r="H15" s="17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172"/>
      <c r="B16" s="173"/>
      <c r="C16" s="177"/>
      <c r="D16" s="177"/>
      <c r="E16" s="177"/>
      <c r="F16" s="177"/>
      <c r="G16" s="177"/>
      <c r="H16" s="177"/>
      <c r="I16" s="17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178"/>
      <c r="B17" s="179"/>
      <c r="C17" s="180"/>
      <c r="D17" s="181"/>
      <c r="E17" s="181"/>
      <c r="F17" s="181"/>
      <c r="G17" s="181"/>
      <c r="H17" s="182"/>
      <c r="I17" s="17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183"/>
      <c r="B18" s="184"/>
      <c r="C18" s="185"/>
      <c r="D18" s="185"/>
      <c r="E18" s="185"/>
      <c r="F18" s="185"/>
      <c r="G18" s="185"/>
      <c r="H18" s="18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186"/>
      <c r="B19" s="179"/>
      <c r="C19" s="180"/>
      <c r="D19" s="181"/>
      <c r="E19" s="181"/>
      <c r="F19" s="181"/>
      <c r="G19" s="181"/>
      <c r="H19" s="182"/>
      <c r="I19" s="17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172"/>
      <c r="B20" s="179"/>
      <c r="C20" s="174"/>
      <c r="D20" s="175"/>
      <c r="E20" s="175"/>
      <c r="F20" s="175"/>
      <c r="G20" s="175"/>
      <c r="H20" s="17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187"/>
      <c r="B21" s="179"/>
      <c r="C21" s="174"/>
      <c r="D21" s="175"/>
      <c r="E21" s="175"/>
      <c r="F21" s="175"/>
      <c r="G21" s="175"/>
      <c r="H21" s="176"/>
      <c r="I21" s="17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188"/>
      <c r="B22" s="189"/>
      <c r="C22" s="190"/>
      <c r="D22" s="191"/>
      <c r="E22" s="191"/>
      <c r="F22" s="191"/>
      <c r="G22" s="191"/>
      <c r="H22" s="19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183"/>
      <c r="B23" s="179"/>
      <c r="C23" s="193"/>
      <c r="D23" s="193"/>
      <c r="E23" s="193"/>
      <c r="F23" s="193"/>
      <c r="G23" s="193"/>
      <c r="H23" s="193"/>
      <c r="I23" s="17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186"/>
      <c r="B24" s="179"/>
      <c r="C24" s="174"/>
      <c r="D24" s="175"/>
      <c r="E24" s="175"/>
      <c r="F24" s="175"/>
      <c r="G24" s="175"/>
      <c r="H24" s="176"/>
      <c r="I24" s="171"/>
      <c r="J24" s="3"/>
      <c r="K24" s="3"/>
      <c r="L24" s="3"/>
      <c r="M24" s="19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172"/>
      <c r="B25" s="179"/>
      <c r="C25" s="174"/>
      <c r="D25" s="175"/>
      <c r="E25" s="175"/>
      <c r="F25" s="175"/>
      <c r="G25" s="175"/>
      <c r="H25" s="176"/>
      <c r="I25" s="17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195"/>
      <c r="B26" s="179"/>
      <c r="C26" s="180"/>
      <c r="D26" s="181"/>
      <c r="E26" s="181"/>
      <c r="F26" s="181"/>
      <c r="G26" s="181"/>
      <c r="H26" s="182"/>
      <c r="I26" s="171"/>
      <c r="J26" s="3"/>
      <c r="K26" s="3"/>
      <c r="L26" s="3"/>
      <c r="M26" s="19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188"/>
      <c r="B27" s="179"/>
      <c r="C27" s="196"/>
      <c r="D27" s="196"/>
      <c r="E27" s="196"/>
      <c r="F27" s="196"/>
      <c r="G27" s="196"/>
      <c r="H27" s="196"/>
      <c r="I27" s="17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197"/>
      <c r="B28" s="184"/>
      <c r="C28" s="180"/>
      <c r="D28" s="181"/>
      <c r="E28" s="181"/>
      <c r="F28" s="181"/>
      <c r="G28" s="181"/>
      <c r="H28" s="182"/>
      <c r="I28" s="17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195"/>
      <c r="B29" s="179"/>
      <c r="C29" s="174"/>
      <c r="D29" s="175"/>
      <c r="E29" s="175"/>
      <c r="F29" s="175"/>
      <c r="G29" s="175"/>
      <c r="H29" s="176"/>
      <c r="I29" s="17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198"/>
      <c r="B30" s="179"/>
      <c r="C30" s="174"/>
      <c r="D30" s="175"/>
      <c r="E30" s="175"/>
      <c r="F30" s="175"/>
      <c r="G30" s="175"/>
      <c r="H30" s="176"/>
      <c r="I30" s="17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172"/>
      <c r="B31" s="179"/>
      <c r="C31" s="180"/>
      <c r="D31" s="181"/>
      <c r="E31" s="181"/>
      <c r="F31" s="181"/>
      <c r="G31" s="181"/>
      <c r="H31" s="182"/>
      <c r="I31" s="17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172" t="s">
        <v>35</v>
      </c>
      <c r="B32" s="179"/>
      <c r="C32" s="174"/>
      <c r="D32" s="175"/>
      <c r="E32" s="175"/>
      <c r="F32" s="175"/>
      <c r="G32" s="175"/>
      <c r="H32" s="176"/>
      <c r="I32" s="17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9"/>
      <c r="B33" s="184"/>
      <c r="C33" s="199"/>
      <c r="D33" s="200"/>
      <c r="E33" s="200"/>
      <c r="F33" s="200"/>
      <c r="G33" s="200"/>
      <c r="H33" s="201"/>
      <c r="I33" s="17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" customHeight="1" spans="1:25" x14ac:dyDescent="0.25">
      <c r="A34" s="172"/>
      <c r="B34" s="173"/>
      <c r="C34" s="174"/>
      <c r="D34" s="175"/>
      <c r="E34" s="175"/>
      <c r="F34" s="175"/>
      <c r="G34" s="175"/>
      <c r="H34" s="176"/>
      <c r="I34" s="17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" customHeight="1" spans="1:25" x14ac:dyDescent="0.25">
      <c r="A35" s="202"/>
      <c r="B35" s="179"/>
      <c r="C35" s="193"/>
      <c r="D35" s="193"/>
      <c r="E35" s="193"/>
      <c r="F35" s="193"/>
      <c r="G35" s="193"/>
      <c r="H35" s="193"/>
      <c r="I35" s="17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" customHeight="1" spans="1:25" x14ac:dyDescent="0.25">
      <c r="A36" s="203"/>
      <c r="B36" s="179"/>
      <c r="C36" s="180"/>
      <c r="D36" s="181"/>
      <c r="E36" s="181"/>
      <c r="F36" s="181"/>
      <c r="G36" s="181"/>
      <c r="H36" s="182"/>
      <c r="I36" s="17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" customHeight="1" spans="1:25" x14ac:dyDescent="0.25">
      <c r="A37" s="204"/>
      <c r="B37" s="205"/>
      <c r="C37" s="190"/>
      <c r="D37" s="191"/>
      <c r="E37" s="191"/>
      <c r="F37" s="191"/>
      <c r="G37" s="191"/>
      <c r="H37" s="192"/>
      <c r="I37" s="17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8" customHeight="1" spans="1:25" x14ac:dyDescent="0.25">
      <c r="A38" s="206"/>
      <c r="B38" s="27"/>
      <c r="C38" s="199"/>
      <c r="D38" s="200"/>
      <c r="E38" s="200"/>
      <c r="F38" s="200"/>
      <c r="G38" s="200"/>
      <c r="H38" s="201"/>
      <c r="I38" s="17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03"/>
      <c r="B39" s="56"/>
      <c r="C39" s="177"/>
      <c r="D39" s="177"/>
      <c r="E39" s="177"/>
      <c r="F39" s="177"/>
      <c r="G39" s="177"/>
      <c r="H39" s="177"/>
      <c r="I39" s="17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203"/>
      <c r="B40" s="173"/>
      <c r="C40" s="174"/>
      <c r="D40" s="175"/>
      <c r="E40" s="175"/>
      <c r="F40" s="175"/>
      <c r="G40" s="175"/>
      <c r="H40" s="17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spans="1:25" x14ac:dyDescent="0.25">
      <c r="A41" s="172"/>
      <c r="B41" s="207"/>
      <c r="C41" s="174"/>
      <c r="D41" s="175"/>
      <c r="E41" s="175"/>
      <c r="F41" s="175"/>
      <c r="G41" s="175"/>
      <c r="H41" s="176"/>
      <c r="I41" s="17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spans="1:25" x14ac:dyDescent="0.25">
      <c r="A42" s="172"/>
      <c r="B42" s="56"/>
      <c r="C42" s="180"/>
      <c r="D42" s="181"/>
      <c r="E42" s="181"/>
      <c r="F42" s="181"/>
      <c r="G42" s="181"/>
      <c r="H42" s="182"/>
      <c r="I42" s="17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9" customHeight="1" spans="1:25" x14ac:dyDescent="0.25">
      <c r="A43" s="3"/>
      <c r="B43" s="90"/>
      <c r="C43" s="40"/>
      <c r="D43" s="40"/>
      <c r="E43" s="40"/>
      <c r="F43" s="40"/>
      <c r="G43" s="40"/>
      <c r="H43" s="4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6.9" customHeight="1" spans="1:25" x14ac:dyDescent="0.25">
      <c r="A44" s="3"/>
      <c r="B44" s="90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6.9" customHeight="1" spans="1:25" x14ac:dyDescent="0.25">
      <c r="A45" s="208"/>
      <c r="B45" s="20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9" t="s">
        <v>22</v>
      </c>
      <c r="B46" s="210"/>
      <c r="C46" s="9"/>
      <c r="D46" s="9"/>
      <c r="E46" s="9"/>
      <c r="F46" s="3"/>
      <c r="G46" s="194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48" width="9" style="3" customWidth="1"/>
    <col min="249" max="249" width="9.25" style="3" customWidth="1"/>
    <col min="250" max="250" width="7" style="3" customWidth="1"/>
    <col min="251" max="251" width="7.625" style="3" customWidth="1"/>
    <col min="252" max="254" width="9.125" style="3" customWidth="1"/>
    <col min="255" max="255" width="10.125" style="3" customWidth="1"/>
    <col min="256" max="257" width="7.875" style="3" customWidth="1"/>
    <col min="258" max="258" width="15" style="3" customWidth="1"/>
    <col min="259" max="260" width="9.875" style="3" customWidth="1"/>
    <col min="261" max="261" width="18.75" style="3" customWidth="1"/>
    <col min="262" max="504" width="9" style="3" customWidth="1"/>
    <col min="505" max="505" width="9.25" style="3" customWidth="1"/>
    <col min="506" max="506" width="7" style="3" customWidth="1"/>
    <col min="507" max="507" width="7.625" style="3" customWidth="1"/>
    <col min="508" max="510" width="9.125" style="3" customWidth="1"/>
    <col min="511" max="511" width="10.125" style="3" customWidth="1"/>
    <col min="512" max="513" width="7.875" style="3" customWidth="1"/>
    <col min="514" max="514" width="15" style="3" customWidth="1"/>
    <col min="515" max="516" width="9.875" style="3" customWidth="1"/>
    <col min="517" max="517" width="18.75" style="3" customWidth="1"/>
    <col min="518" max="760" width="9" style="3" customWidth="1"/>
    <col min="761" max="761" width="9.25" style="3" customWidth="1"/>
    <col min="762" max="762" width="7" style="3" customWidth="1"/>
    <col min="763" max="763" width="7.625" style="3" customWidth="1"/>
    <col min="764" max="766" width="9.125" style="3" customWidth="1"/>
    <col min="767" max="767" width="10.125" style="3" customWidth="1"/>
    <col min="768" max="769" width="7.875" style="3" customWidth="1"/>
    <col min="770" max="770" width="15" style="3" customWidth="1"/>
    <col min="771" max="772" width="9.875" style="3" customWidth="1"/>
    <col min="773" max="773" width="18.75" style="3" customWidth="1"/>
    <col min="774" max="1016" width="9" style="3" customWidth="1"/>
    <col min="1017" max="1017" width="9.25" style="3" customWidth="1"/>
    <col min="1018" max="1018" width="7" style="3" customWidth="1"/>
    <col min="1019" max="1019" width="7.625" style="3" customWidth="1"/>
    <col min="1020" max="1022" width="9.125" style="3" customWidth="1"/>
    <col min="1023" max="1023" width="10.125" style="3" customWidth="1"/>
    <col min="1024" max="1025" width="7.875" style="3" customWidth="1"/>
    <col min="1026" max="1026" width="15" style="3" customWidth="1"/>
    <col min="1027" max="1028" width="9.875" style="3" customWidth="1"/>
    <col min="1029" max="1029" width="18.75" style="3" customWidth="1"/>
    <col min="1030" max="1272" width="9" style="3" customWidth="1"/>
    <col min="1273" max="1273" width="9.25" style="3" customWidth="1"/>
    <col min="1274" max="1274" width="7" style="3" customWidth="1"/>
    <col min="1275" max="1275" width="7.625" style="3" customWidth="1"/>
    <col min="1276" max="1278" width="9.125" style="3" customWidth="1"/>
    <col min="1279" max="1279" width="10.125" style="3" customWidth="1"/>
    <col min="1280" max="1281" width="7.875" style="3" customWidth="1"/>
    <col min="1282" max="1282" width="15" style="3" customWidth="1"/>
    <col min="1283" max="1284" width="9.875" style="3" customWidth="1"/>
    <col min="1285" max="1285" width="18.75" style="3" customWidth="1"/>
    <col min="1286" max="1528" width="9" style="3" customWidth="1"/>
    <col min="1529" max="1529" width="9.25" style="3" customWidth="1"/>
    <col min="1530" max="1530" width="7" style="3" customWidth="1"/>
    <col min="1531" max="1531" width="7.625" style="3" customWidth="1"/>
    <col min="1532" max="1534" width="9.125" style="3" customWidth="1"/>
    <col min="1535" max="1535" width="10.125" style="3" customWidth="1"/>
    <col min="1536" max="1537" width="7.875" style="3" customWidth="1"/>
    <col min="1538" max="1538" width="15" style="3" customWidth="1"/>
    <col min="1539" max="1540" width="9.875" style="3" customWidth="1"/>
    <col min="1541" max="1541" width="18.75" style="3" customWidth="1"/>
    <col min="1542" max="1784" width="9" style="3" customWidth="1"/>
    <col min="1785" max="1785" width="9.25" style="3" customWidth="1"/>
    <col min="1786" max="1786" width="7" style="3" customWidth="1"/>
    <col min="1787" max="1787" width="7.625" style="3" customWidth="1"/>
    <col min="1788" max="1790" width="9.125" style="3" customWidth="1"/>
    <col min="1791" max="1791" width="10.125" style="3" customWidth="1"/>
    <col min="1792" max="1793" width="7.875" style="3" customWidth="1"/>
    <col min="1794" max="1794" width="15" style="3" customWidth="1"/>
    <col min="1795" max="1796" width="9.875" style="3" customWidth="1"/>
    <col min="1797" max="1797" width="18.75" style="3" customWidth="1"/>
    <col min="1798" max="2040" width="9" style="3" customWidth="1"/>
    <col min="2041" max="2041" width="9.25" style="3" customWidth="1"/>
    <col min="2042" max="2042" width="7" style="3" customWidth="1"/>
    <col min="2043" max="2043" width="7.625" style="3" customWidth="1"/>
    <col min="2044" max="2046" width="9.125" style="3" customWidth="1"/>
    <col min="2047" max="2047" width="10.125" style="3" customWidth="1"/>
    <col min="2048" max="2049" width="7.875" style="3" customWidth="1"/>
    <col min="2050" max="2050" width="15" style="3" customWidth="1"/>
    <col min="2051" max="2052" width="9.875" style="3" customWidth="1"/>
    <col min="2053" max="2053" width="18.75" style="3" customWidth="1"/>
    <col min="2054" max="2296" width="9" style="3" customWidth="1"/>
    <col min="2297" max="2297" width="9.25" style="3" customWidth="1"/>
    <col min="2298" max="2298" width="7" style="3" customWidth="1"/>
    <col min="2299" max="2299" width="7.625" style="3" customWidth="1"/>
    <col min="2300" max="2302" width="9.125" style="3" customWidth="1"/>
    <col min="2303" max="2303" width="10.125" style="3" customWidth="1"/>
    <col min="2304" max="2305" width="7.875" style="3" customWidth="1"/>
    <col min="2306" max="2306" width="15" style="3" customWidth="1"/>
    <col min="2307" max="2308" width="9.875" style="3" customWidth="1"/>
    <col min="2309" max="2309" width="18.75" style="3" customWidth="1"/>
    <col min="2310" max="2552" width="9" style="3" customWidth="1"/>
    <col min="2553" max="2553" width="9.25" style="3" customWidth="1"/>
    <col min="2554" max="2554" width="7" style="3" customWidth="1"/>
    <col min="2555" max="2555" width="7.625" style="3" customWidth="1"/>
    <col min="2556" max="2558" width="9.125" style="3" customWidth="1"/>
    <col min="2559" max="2559" width="10.125" style="3" customWidth="1"/>
    <col min="2560" max="2561" width="7.875" style="3" customWidth="1"/>
    <col min="2562" max="2562" width="15" style="3" customWidth="1"/>
    <col min="2563" max="2564" width="9.875" style="3" customWidth="1"/>
    <col min="2565" max="2565" width="18.75" style="3" customWidth="1"/>
    <col min="2566" max="2808" width="9" style="3" customWidth="1"/>
    <col min="2809" max="2809" width="9.25" style="3" customWidth="1"/>
    <col min="2810" max="2810" width="7" style="3" customWidth="1"/>
    <col min="2811" max="2811" width="7.625" style="3" customWidth="1"/>
    <col min="2812" max="2814" width="9.125" style="3" customWidth="1"/>
    <col min="2815" max="2815" width="10.125" style="3" customWidth="1"/>
    <col min="2816" max="2817" width="7.875" style="3" customWidth="1"/>
    <col min="2818" max="2818" width="15" style="3" customWidth="1"/>
    <col min="2819" max="2820" width="9.875" style="3" customWidth="1"/>
    <col min="2821" max="2821" width="18.75" style="3" customWidth="1"/>
    <col min="2822" max="3064" width="9" style="3" customWidth="1"/>
    <col min="3065" max="3065" width="9.25" style="3" customWidth="1"/>
    <col min="3066" max="3066" width="7" style="3" customWidth="1"/>
    <col min="3067" max="3067" width="7.625" style="3" customWidth="1"/>
    <col min="3068" max="3070" width="9.125" style="3" customWidth="1"/>
    <col min="3071" max="3071" width="10.125" style="3" customWidth="1"/>
    <col min="3072" max="3073" width="7.875" style="3" customWidth="1"/>
    <col min="3074" max="3074" width="15" style="3" customWidth="1"/>
    <col min="3075" max="3076" width="9.875" style="3" customWidth="1"/>
    <col min="3077" max="3077" width="18.75" style="3" customWidth="1"/>
    <col min="3078" max="3320" width="9" style="3" customWidth="1"/>
    <col min="3321" max="3321" width="9.25" style="3" customWidth="1"/>
    <col min="3322" max="3322" width="7" style="3" customWidth="1"/>
    <col min="3323" max="3323" width="7.625" style="3" customWidth="1"/>
    <col min="3324" max="3326" width="9.125" style="3" customWidth="1"/>
    <col min="3327" max="3327" width="10.125" style="3" customWidth="1"/>
    <col min="3328" max="3329" width="7.875" style="3" customWidth="1"/>
    <col min="3330" max="3330" width="15" style="3" customWidth="1"/>
    <col min="3331" max="3332" width="9.875" style="3" customWidth="1"/>
    <col min="3333" max="3333" width="18.75" style="3" customWidth="1"/>
    <col min="3334" max="3576" width="9" style="3" customWidth="1"/>
    <col min="3577" max="3577" width="9.25" style="3" customWidth="1"/>
    <col min="3578" max="3578" width="7" style="3" customWidth="1"/>
    <col min="3579" max="3579" width="7.625" style="3" customWidth="1"/>
    <col min="3580" max="3582" width="9.125" style="3" customWidth="1"/>
    <col min="3583" max="3583" width="10.125" style="3" customWidth="1"/>
    <col min="3584" max="3585" width="7.875" style="3" customWidth="1"/>
    <col min="3586" max="3586" width="15" style="3" customWidth="1"/>
    <col min="3587" max="3588" width="9.875" style="3" customWidth="1"/>
    <col min="3589" max="3589" width="18.75" style="3" customWidth="1"/>
    <col min="3590" max="3832" width="9" style="3" customWidth="1"/>
    <col min="3833" max="3833" width="9.25" style="3" customWidth="1"/>
    <col min="3834" max="3834" width="7" style="3" customWidth="1"/>
    <col min="3835" max="3835" width="7.625" style="3" customWidth="1"/>
    <col min="3836" max="3838" width="9.125" style="3" customWidth="1"/>
    <col min="3839" max="3839" width="10.125" style="3" customWidth="1"/>
    <col min="3840" max="3841" width="7.875" style="3" customWidth="1"/>
    <col min="3842" max="3842" width="15" style="3" customWidth="1"/>
    <col min="3843" max="3844" width="9.875" style="3" customWidth="1"/>
    <col min="3845" max="3845" width="18.75" style="3" customWidth="1"/>
    <col min="3846" max="4088" width="9" style="3" customWidth="1"/>
    <col min="4089" max="4089" width="9.25" style="3" customWidth="1"/>
    <col min="4090" max="4090" width="7" style="3" customWidth="1"/>
    <col min="4091" max="4091" width="7.625" style="3" customWidth="1"/>
    <col min="4092" max="4094" width="9.125" style="3" customWidth="1"/>
    <col min="4095" max="4095" width="10.125" style="3" customWidth="1"/>
    <col min="4096" max="4097" width="7.875" style="3" customWidth="1"/>
    <col min="4098" max="4098" width="15" style="3" customWidth="1"/>
    <col min="4099" max="4100" width="9.875" style="3" customWidth="1"/>
    <col min="4101" max="4101" width="18.75" style="3" customWidth="1"/>
    <col min="4102" max="4344" width="9" style="3" customWidth="1"/>
    <col min="4345" max="4345" width="9.25" style="3" customWidth="1"/>
    <col min="4346" max="4346" width="7" style="3" customWidth="1"/>
    <col min="4347" max="4347" width="7.625" style="3" customWidth="1"/>
    <col min="4348" max="4350" width="9.125" style="3" customWidth="1"/>
    <col min="4351" max="4351" width="10.125" style="3" customWidth="1"/>
    <col min="4352" max="4353" width="7.875" style="3" customWidth="1"/>
    <col min="4354" max="4354" width="15" style="3" customWidth="1"/>
    <col min="4355" max="4356" width="9.875" style="3" customWidth="1"/>
    <col min="4357" max="4357" width="18.75" style="3" customWidth="1"/>
    <col min="4358" max="4600" width="9" style="3" customWidth="1"/>
    <col min="4601" max="4601" width="9.25" style="3" customWidth="1"/>
    <col min="4602" max="4602" width="7" style="3" customWidth="1"/>
    <col min="4603" max="4603" width="7.625" style="3" customWidth="1"/>
    <col min="4604" max="4606" width="9.125" style="3" customWidth="1"/>
    <col min="4607" max="4607" width="10.125" style="3" customWidth="1"/>
    <col min="4608" max="4609" width="7.875" style="3" customWidth="1"/>
    <col min="4610" max="4610" width="15" style="3" customWidth="1"/>
    <col min="4611" max="4612" width="9.875" style="3" customWidth="1"/>
    <col min="4613" max="4613" width="18.75" style="3" customWidth="1"/>
    <col min="4614" max="4856" width="9" style="3" customWidth="1"/>
    <col min="4857" max="4857" width="9.25" style="3" customWidth="1"/>
    <col min="4858" max="4858" width="7" style="3" customWidth="1"/>
    <col min="4859" max="4859" width="7.625" style="3" customWidth="1"/>
    <col min="4860" max="4862" width="9.125" style="3" customWidth="1"/>
    <col min="4863" max="4863" width="10.125" style="3" customWidth="1"/>
    <col min="4864" max="4865" width="7.875" style="3" customWidth="1"/>
    <col min="4866" max="4866" width="15" style="3" customWidth="1"/>
    <col min="4867" max="4868" width="9.875" style="3" customWidth="1"/>
    <col min="4869" max="4869" width="18.75" style="3" customWidth="1"/>
    <col min="4870" max="5112" width="9" style="3" customWidth="1"/>
    <col min="5113" max="5113" width="9.25" style="3" customWidth="1"/>
    <col min="5114" max="5114" width="7" style="3" customWidth="1"/>
    <col min="5115" max="5115" width="7.625" style="3" customWidth="1"/>
    <col min="5116" max="5118" width="9.125" style="3" customWidth="1"/>
    <col min="5119" max="5119" width="10.125" style="3" customWidth="1"/>
    <col min="5120" max="5121" width="7.875" style="3" customWidth="1"/>
    <col min="5122" max="5122" width="15" style="3" customWidth="1"/>
    <col min="5123" max="5124" width="9.875" style="3" customWidth="1"/>
    <col min="5125" max="5125" width="18.75" style="3" customWidth="1"/>
    <col min="5126" max="5368" width="9" style="3" customWidth="1"/>
    <col min="5369" max="5369" width="9.25" style="3" customWidth="1"/>
    <col min="5370" max="5370" width="7" style="3" customWidth="1"/>
    <col min="5371" max="5371" width="7.625" style="3" customWidth="1"/>
    <col min="5372" max="5374" width="9.125" style="3" customWidth="1"/>
    <col min="5375" max="5375" width="10.125" style="3" customWidth="1"/>
    <col min="5376" max="5377" width="7.875" style="3" customWidth="1"/>
    <col min="5378" max="5378" width="15" style="3" customWidth="1"/>
    <col min="5379" max="5380" width="9.875" style="3" customWidth="1"/>
    <col min="5381" max="5381" width="18.75" style="3" customWidth="1"/>
    <col min="5382" max="5624" width="9" style="3" customWidth="1"/>
    <col min="5625" max="5625" width="9.25" style="3" customWidth="1"/>
    <col min="5626" max="5626" width="7" style="3" customWidth="1"/>
    <col min="5627" max="5627" width="7.625" style="3" customWidth="1"/>
    <col min="5628" max="5630" width="9.125" style="3" customWidth="1"/>
    <col min="5631" max="5631" width="10.125" style="3" customWidth="1"/>
    <col min="5632" max="5633" width="7.875" style="3" customWidth="1"/>
    <col min="5634" max="5634" width="15" style="3" customWidth="1"/>
    <col min="5635" max="5636" width="9.875" style="3" customWidth="1"/>
    <col min="5637" max="5637" width="18.75" style="3" customWidth="1"/>
    <col min="5638" max="5880" width="9" style="3" customWidth="1"/>
    <col min="5881" max="5881" width="9.25" style="3" customWidth="1"/>
    <col min="5882" max="5882" width="7" style="3" customWidth="1"/>
    <col min="5883" max="5883" width="7.625" style="3" customWidth="1"/>
    <col min="5884" max="5886" width="9.125" style="3" customWidth="1"/>
    <col min="5887" max="5887" width="10.125" style="3" customWidth="1"/>
    <col min="5888" max="5889" width="7.875" style="3" customWidth="1"/>
    <col min="5890" max="5890" width="15" style="3" customWidth="1"/>
    <col min="5891" max="5892" width="9.875" style="3" customWidth="1"/>
    <col min="5893" max="5893" width="18.75" style="3" customWidth="1"/>
    <col min="5894" max="6136" width="9" style="3" customWidth="1"/>
    <col min="6137" max="6137" width="9.25" style="3" customWidth="1"/>
    <col min="6138" max="6138" width="7" style="3" customWidth="1"/>
    <col min="6139" max="6139" width="7.625" style="3" customWidth="1"/>
    <col min="6140" max="6142" width="9.125" style="3" customWidth="1"/>
    <col min="6143" max="6143" width="10.125" style="3" customWidth="1"/>
    <col min="6144" max="6145" width="7.875" style="3" customWidth="1"/>
    <col min="6146" max="6146" width="15" style="3" customWidth="1"/>
    <col min="6147" max="6148" width="9.875" style="3" customWidth="1"/>
    <col min="6149" max="6149" width="18.75" style="3" customWidth="1"/>
    <col min="6150" max="6392" width="9" style="3" customWidth="1"/>
    <col min="6393" max="6393" width="9.25" style="3" customWidth="1"/>
    <col min="6394" max="6394" width="7" style="3" customWidth="1"/>
    <col min="6395" max="6395" width="7.625" style="3" customWidth="1"/>
    <col min="6396" max="6398" width="9.125" style="3" customWidth="1"/>
    <col min="6399" max="6399" width="10.125" style="3" customWidth="1"/>
    <col min="6400" max="6401" width="7.875" style="3" customWidth="1"/>
    <col min="6402" max="6402" width="15" style="3" customWidth="1"/>
    <col min="6403" max="6404" width="9.875" style="3" customWidth="1"/>
    <col min="6405" max="6405" width="18.75" style="3" customWidth="1"/>
    <col min="6406" max="6648" width="9" style="3" customWidth="1"/>
    <col min="6649" max="6649" width="9.25" style="3" customWidth="1"/>
    <col min="6650" max="6650" width="7" style="3" customWidth="1"/>
    <col min="6651" max="6651" width="7.625" style="3" customWidth="1"/>
    <col min="6652" max="6654" width="9.125" style="3" customWidth="1"/>
    <col min="6655" max="6655" width="10.125" style="3" customWidth="1"/>
    <col min="6656" max="6657" width="7.875" style="3" customWidth="1"/>
    <col min="6658" max="6658" width="15" style="3" customWidth="1"/>
    <col min="6659" max="6660" width="9.875" style="3" customWidth="1"/>
    <col min="6661" max="6661" width="18.75" style="3" customWidth="1"/>
    <col min="6662" max="6904" width="9" style="3" customWidth="1"/>
    <col min="6905" max="6905" width="9.25" style="3" customWidth="1"/>
    <col min="6906" max="6906" width="7" style="3" customWidth="1"/>
    <col min="6907" max="6907" width="7.625" style="3" customWidth="1"/>
    <col min="6908" max="6910" width="9.125" style="3" customWidth="1"/>
    <col min="6911" max="6911" width="10.125" style="3" customWidth="1"/>
    <col min="6912" max="6913" width="7.875" style="3" customWidth="1"/>
    <col min="6914" max="6914" width="15" style="3" customWidth="1"/>
    <col min="6915" max="6916" width="9.875" style="3" customWidth="1"/>
    <col min="6917" max="6917" width="18.75" style="3" customWidth="1"/>
    <col min="6918" max="7160" width="9" style="3" customWidth="1"/>
    <col min="7161" max="7161" width="9.25" style="3" customWidth="1"/>
    <col min="7162" max="7162" width="7" style="3" customWidth="1"/>
    <col min="7163" max="7163" width="7.625" style="3" customWidth="1"/>
    <col min="7164" max="7166" width="9.125" style="3" customWidth="1"/>
    <col min="7167" max="7167" width="10.125" style="3" customWidth="1"/>
    <col min="7168" max="7169" width="7.875" style="3" customWidth="1"/>
    <col min="7170" max="7170" width="15" style="3" customWidth="1"/>
    <col min="7171" max="7172" width="9.875" style="3" customWidth="1"/>
    <col min="7173" max="7173" width="18.75" style="3" customWidth="1"/>
    <col min="7174" max="7416" width="9" style="3" customWidth="1"/>
    <col min="7417" max="7417" width="9.25" style="3" customWidth="1"/>
    <col min="7418" max="7418" width="7" style="3" customWidth="1"/>
    <col min="7419" max="7419" width="7.625" style="3" customWidth="1"/>
    <col min="7420" max="7422" width="9.125" style="3" customWidth="1"/>
    <col min="7423" max="7423" width="10.125" style="3" customWidth="1"/>
    <col min="7424" max="7425" width="7.875" style="3" customWidth="1"/>
    <col min="7426" max="7426" width="15" style="3" customWidth="1"/>
    <col min="7427" max="7428" width="9.875" style="3" customWidth="1"/>
    <col min="7429" max="7429" width="18.75" style="3" customWidth="1"/>
    <col min="7430" max="7672" width="9" style="3" customWidth="1"/>
    <col min="7673" max="7673" width="9.25" style="3" customWidth="1"/>
    <col min="7674" max="7674" width="7" style="3" customWidth="1"/>
    <col min="7675" max="7675" width="7.625" style="3" customWidth="1"/>
    <col min="7676" max="7678" width="9.125" style="3" customWidth="1"/>
    <col min="7679" max="7679" width="10.125" style="3" customWidth="1"/>
    <col min="7680" max="7681" width="7.875" style="3" customWidth="1"/>
    <col min="7682" max="7682" width="15" style="3" customWidth="1"/>
    <col min="7683" max="7684" width="9.875" style="3" customWidth="1"/>
    <col min="7685" max="7685" width="18.75" style="3" customWidth="1"/>
    <col min="7686" max="7928" width="9" style="3" customWidth="1"/>
    <col min="7929" max="7929" width="9.25" style="3" customWidth="1"/>
    <col min="7930" max="7930" width="7" style="3" customWidth="1"/>
    <col min="7931" max="7931" width="7.625" style="3" customWidth="1"/>
    <col min="7932" max="7934" width="9.125" style="3" customWidth="1"/>
    <col min="7935" max="7935" width="10.125" style="3" customWidth="1"/>
    <col min="7936" max="7937" width="7.875" style="3" customWidth="1"/>
    <col min="7938" max="7938" width="15" style="3" customWidth="1"/>
    <col min="7939" max="7940" width="9.875" style="3" customWidth="1"/>
    <col min="7941" max="7941" width="18.75" style="3" customWidth="1"/>
    <col min="7942" max="8184" width="9" style="3" customWidth="1"/>
    <col min="8185" max="8185" width="9.25" style="3" customWidth="1"/>
    <col min="8186" max="8186" width="7" style="3" customWidth="1"/>
    <col min="8187" max="8187" width="7.625" style="3" customWidth="1"/>
    <col min="8188" max="8190" width="9.125" style="3" customWidth="1"/>
    <col min="8191" max="8191" width="10.125" style="3" customWidth="1"/>
    <col min="8192" max="8193" width="7.875" style="3" customWidth="1"/>
    <col min="8194" max="8194" width="15" style="3" customWidth="1"/>
    <col min="8195" max="8196" width="9.875" style="3" customWidth="1"/>
    <col min="8197" max="8197" width="18.75" style="3" customWidth="1"/>
    <col min="8198" max="8440" width="9" style="3" customWidth="1"/>
    <col min="8441" max="8441" width="9.25" style="3" customWidth="1"/>
    <col min="8442" max="8442" width="7" style="3" customWidth="1"/>
    <col min="8443" max="8443" width="7.625" style="3" customWidth="1"/>
    <col min="8444" max="8446" width="9.125" style="3" customWidth="1"/>
    <col min="8447" max="8447" width="10.125" style="3" customWidth="1"/>
    <col min="8448" max="8449" width="7.875" style="3" customWidth="1"/>
    <col min="8450" max="8450" width="15" style="3" customWidth="1"/>
    <col min="8451" max="8452" width="9.875" style="3" customWidth="1"/>
    <col min="8453" max="8453" width="18.75" style="3" customWidth="1"/>
    <col min="8454" max="8696" width="9" style="3" customWidth="1"/>
    <col min="8697" max="8697" width="9.25" style="3" customWidth="1"/>
    <col min="8698" max="8698" width="7" style="3" customWidth="1"/>
    <col min="8699" max="8699" width="7.625" style="3" customWidth="1"/>
    <col min="8700" max="8702" width="9.125" style="3" customWidth="1"/>
    <col min="8703" max="8703" width="10.125" style="3" customWidth="1"/>
    <col min="8704" max="8705" width="7.875" style="3" customWidth="1"/>
    <col min="8706" max="8706" width="15" style="3" customWidth="1"/>
    <col min="8707" max="8708" width="9.875" style="3" customWidth="1"/>
    <col min="8709" max="8709" width="18.75" style="3" customWidth="1"/>
    <col min="8710" max="8952" width="9" style="3" customWidth="1"/>
    <col min="8953" max="8953" width="9.25" style="3" customWidth="1"/>
    <col min="8954" max="8954" width="7" style="3" customWidth="1"/>
    <col min="8955" max="8955" width="7.625" style="3" customWidth="1"/>
    <col min="8956" max="8958" width="9.125" style="3" customWidth="1"/>
    <col min="8959" max="8959" width="10.125" style="3" customWidth="1"/>
    <col min="8960" max="8961" width="7.875" style="3" customWidth="1"/>
    <col min="8962" max="8962" width="15" style="3" customWidth="1"/>
    <col min="8963" max="8964" width="9.875" style="3" customWidth="1"/>
    <col min="8965" max="8965" width="18.75" style="3" customWidth="1"/>
    <col min="8966" max="9208" width="9" style="3" customWidth="1"/>
    <col min="9209" max="9209" width="9.25" style="3" customWidth="1"/>
    <col min="9210" max="9210" width="7" style="3" customWidth="1"/>
    <col min="9211" max="9211" width="7.625" style="3" customWidth="1"/>
    <col min="9212" max="9214" width="9.125" style="3" customWidth="1"/>
    <col min="9215" max="9215" width="10.125" style="3" customWidth="1"/>
    <col min="9216" max="9217" width="7.875" style="3" customWidth="1"/>
    <col min="9218" max="9218" width="15" style="3" customWidth="1"/>
    <col min="9219" max="9220" width="9.875" style="3" customWidth="1"/>
    <col min="9221" max="9221" width="18.75" style="3" customWidth="1"/>
    <col min="9222" max="9464" width="9" style="3" customWidth="1"/>
    <col min="9465" max="9465" width="9.25" style="3" customWidth="1"/>
    <col min="9466" max="9466" width="7" style="3" customWidth="1"/>
    <col min="9467" max="9467" width="7.625" style="3" customWidth="1"/>
    <col min="9468" max="9470" width="9.125" style="3" customWidth="1"/>
    <col min="9471" max="9471" width="10.125" style="3" customWidth="1"/>
    <col min="9472" max="9473" width="7.875" style="3" customWidth="1"/>
    <col min="9474" max="9474" width="15" style="3" customWidth="1"/>
    <col min="9475" max="9476" width="9.875" style="3" customWidth="1"/>
    <col min="9477" max="9477" width="18.75" style="3" customWidth="1"/>
    <col min="9478" max="9720" width="9" style="3" customWidth="1"/>
    <col min="9721" max="9721" width="9.25" style="3" customWidth="1"/>
    <col min="9722" max="9722" width="7" style="3" customWidth="1"/>
    <col min="9723" max="9723" width="7.625" style="3" customWidth="1"/>
    <col min="9724" max="9726" width="9.125" style="3" customWidth="1"/>
    <col min="9727" max="9727" width="10.125" style="3" customWidth="1"/>
    <col min="9728" max="9729" width="7.875" style="3" customWidth="1"/>
    <col min="9730" max="9730" width="15" style="3" customWidth="1"/>
    <col min="9731" max="9732" width="9.875" style="3" customWidth="1"/>
    <col min="9733" max="9733" width="18.75" style="3" customWidth="1"/>
    <col min="9734" max="9976" width="9" style="3" customWidth="1"/>
    <col min="9977" max="9977" width="9.25" style="3" customWidth="1"/>
    <col min="9978" max="9978" width="7" style="3" customWidth="1"/>
    <col min="9979" max="9979" width="7.625" style="3" customWidth="1"/>
    <col min="9980" max="9982" width="9.125" style="3" customWidth="1"/>
    <col min="9983" max="9983" width="10.125" style="3" customWidth="1"/>
    <col min="9984" max="9985" width="7.875" style="3" customWidth="1"/>
    <col min="9986" max="9986" width="15" style="3" customWidth="1"/>
    <col min="9987" max="9988" width="9.875" style="3" customWidth="1"/>
    <col min="9989" max="9989" width="18.75" style="3" customWidth="1"/>
    <col min="9990" max="10232" width="9" style="3" customWidth="1"/>
    <col min="10233" max="10233" width="9.25" style="3" customWidth="1"/>
    <col min="10234" max="10234" width="7" style="3" customWidth="1"/>
    <col min="10235" max="10235" width="7.625" style="3" customWidth="1"/>
    <col min="10236" max="10238" width="9.125" style="3" customWidth="1"/>
    <col min="10239" max="10239" width="10.125" style="3" customWidth="1"/>
    <col min="10240" max="10241" width="7.875" style="3" customWidth="1"/>
    <col min="10242" max="10242" width="15" style="3" customWidth="1"/>
    <col min="10243" max="10244" width="9.875" style="3" customWidth="1"/>
    <col min="10245" max="10245" width="18.75" style="3" customWidth="1"/>
    <col min="10246" max="10488" width="9" style="3" customWidth="1"/>
    <col min="10489" max="10489" width="9.25" style="3" customWidth="1"/>
    <col min="10490" max="10490" width="7" style="3" customWidth="1"/>
    <col min="10491" max="10491" width="7.625" style="3" customWidth="1"/>
    <col min="10492" max="10494" width="9.125" style="3" customWidth="1"/>
    <col min="10495" max="10495" width="10.125" style="3" customWidth="1"/>
    <col min="10496" max="10497" width="7.875" style="3" customWidth="1"/>
    <col min="10498" max="10498" width="15" style="3" customWidth="1"/>
    <col min="10499" max="10500" width="9.875" style="3" customWidth="1"/>
    <col min="10501" max="10501" width="18.75" style="3" customWidth="1"/>
    <col min="10502" max="10744" width="9" style="3" customWidth="1"/>
    <col min="10745" max="10745" width="9.25" style="3" customWidth="1"/>
    <col min="10746" max="10746" width="7" style="3" customWidth="1"/>
    <col min="10747" max="10747" width="7.625" style="3" customWidth="1"/>
    <col min="10748" max="10750" width="9.125" style="3" customWidth="1"/>
    <col min="10751" max="10751" width="10.125" style="3" customWidth="1"/>
    <col min="10752" max="10753" width="7.875" style="3" customWidth="1"/>
    <col min="10754" max="10754" width="15" style="3" customWidth="1"/>
    <col min="10755" max="10756" width="9.875" style="3" customWidth="1"/>
    <col min="10757" max="10757" width="18.75" style="3" customWidth="1"/>
    <col min="10758" max="11000" width="9" style="3" customWidth="1"/>
    <col min="11001" max="11001" width="9.25" style="3" customWidth="1"/>
    <col min="11002" max="11002" width="7" style="3" customWidth="1"/>
    <col min="11003" max="11003" width="7.625" style="3" customWidth="1"/>
    <col min="11004" max="11006" width="9.125" style="3" customWidth="1"/>
    <col min="11007" max="11007" width="10.125" style="3" customWidth="1"/>
    <col min="11008" max="11009" width="7.875" style="3" customWidth="1"/>
    <col min="11010" max="11010" width="15" style="3" customWidth="1"/>
    <col min="11011" max="11012" width="9.875" style="3" customWidth="1"/>
    <col min="11013" max="11013" width="18.75" style="3" customWidth="1"/>
    <col min="11014" max="11256" width="9" style="3" customWidth="1"/>
    <col min="11257" max="11257" width="9.25" style="3" customWidth="1"/>
    <col min="11258" max="11258" width="7" style="3" customWidth="1"/>
    <col min="11259" max="11259" width="7.625" style="3" customWidth="1"/>
    <col min="11260" max="11262" width="9.125" style="3" customWidth="1"/>
    <col min="11263" max="11263" width="10.125" style="3" customWidth="1"/>
    <col min="11264" max="11265" width="7.875" style="3" customWidth="1"/>
    <col min="11266" max="11266" width="15" style="3" customWidth="1"/>
    <col min="11267" max="11268" width="9.875" style="3" customWidth="1"/>
    <col min="11269" max="11269" width="18.75" style="3" customWidth="1"/>
    <col min="11270" max="11512" width="9" style="3" customWidth="1"/>
    <col min="11513" max="11513" width="9.25" style="3" customWidth="1"/>
    <col min="11514" max="11514" width="7" style="3" customWidth="1"/>
    <col min="11515" max="11515" width="7.625" style="3" customWidth="1"/>
    <col min="11516" max="11518" width="9.125" style="3" customWidth="1"/>
    <col min="11519" max="11519" width="10.125" style="3" customWidth="1"/>
    <col min="11520" max="11521" width="7.875" style="3" customWidth="1"/>
    <col min="11522" max="11522" width="15" style="3" customWidth="1"/>
    <col min="11523" max="11524" width="9.875" style="3" customWidth="1"/>
    <col min="11525" max="11525" width="18.75" style="3" customWidth="1"/>
    <col min="11526" max="11768" width="9" style="3" customWidth="1"/>
    <col min="11769" max="11769" width="9.25" style="3" customWidth="1"/>
    <col min="11770" max="11770" width="7" style="3" customWidth="1"/>
    <col min="11771" max="11771" width="7.625" style="3" customWidth="1"/>
    <col min="11772" max="11774" width="9.125" style="3" customWidth="1"/>
    <col min="11775" max="11775" width="10.125" style="3" customWidth="1"/>
    <col min="11776" max="11777" width="7.875" style="3" customWidth="1"/>
    <col min="11778" max="11778" width="15" style="3" customWidth="1"/>
    <col min="11779" max="11780" width="9.875" style="3" customWidth="1"/>
    <col min="11781" max="11781" width="18.75" style="3" customWidth="1"/>
    <col min="11782" max="12024" width="9" style="3" customWidth="1"/>
    <col min="12025" max="12025" width="9.25" style="3" customWidth="1"/>
    <col min="12026" max="12026" width="7" style="3" customWidth="1"/>
    <col min="12027" max="12027" width="7.625" style="3" customWidth="1"/>
    <col min="12028" max="12030" width="9.125" style="3" customWidth="1"/>
    <col min="12031" max="12031" width="10.125" style="3" customWidth="1"/>
    <col min="12032" max="12033" width="7.875" style="3" customWidth="1"/>
    <col min="12034" max="12034" width="15" style="3" customWidth="1"/>
    <col min="12035" max="12036" width="9.875" style="3" customWidth="1"/>
    <col min="12037" max="12037" width="18.75" style="3" customWidth="1"/>
    <col min="12038" max="12280" width="9" style="3" customWidth="1"/>
    <col min="12281" max="12281" width="9.25" style="3" customWidth="1"/>
    <col min="12282" max="12282" width="7" style="3" customWidth="1"/>
    <col min="12283" max="12283" width="7.625" style="3" customWidth="1"/>
    <col min="12284" max="12286" width="9.125" style="3" customWidth="1"/>
    <col min="12287" max="12287" width="10.125" style="3" customWidth="1"/>
    <col min="12288" max="12289" width="7.875" style="3" customWidth="1"/>
    <col min="12290" max="12290" width="15" style="3" customWidth="1"/>
    <col min="12291" max="12292" width="9.875" style="3" customWidth="1"/>
    <col min="12293" max="12293" width="18.75" style="3" customWidth="1"/>
    <col min="12294" max="12536" width="9" style="3" customWidth="1"/>
    <col min="12537" max="12537" width="9.25" style="3" customWidth="1"/>
    <col min="12538" max="12538" width="7" style="3" customWidth="1"/>
    <col min="12539" max="12539" width="7.625" style="3" customWidth="1"/>
    <col min="12540" max="12542" width="9.125" style="3" customWidth="1"/>
    <col min="12543" max="12543" width="10.125" style="3" customWidth="1"/>
    <col min="12544" max="12545" width="7.875" style="3" customWidth="1"/>
    <col min="12546" max="12546" width="15" style="3" customWidth="1"/>
    <col min="12547" max="12548" width="9.875" style="3" customWidth="1"/>
    <col min="12549" max="12549" width="18.75" style="3" customWidth="1"/>
    <col min="12550" max="12792" width="9" style="3" customWidth="1"/>
    <col min="12793" max="12793" width="9.25" style="3" customWidth="1"/>
    <col min="12794" max="12794" width="7" style="3" customWidth="1"/>
    <col min="12795" max="12795" width="7.625" style="3" customWidth="1"/>
    <col min="12796" max="12798" width="9.125" style="3" customWidth="1"/>
    <col min="12799" max="12799" width="10.125" style="3" customWidth="1"/>
    <col min="12800" max="12801" width="7.875" style="3" customWidth="1"/>
    <col min="12802" max="12802" width="15" style="3" customWidth="1"/>
    <col min="12803" max="12804" width="9.875" style="3" customWidth="1"/>
    <col min="12805" max="12805" width="18.75" style="3" customWidth="1"/>
    <col min="12806" max="13048" width="9" style="3" customWidth="1"/>
    <col min="13049" max="13049" width="9.25" style="3" customWidth="1"/>
    <col min="13050" max="13050" width="7" style="3" customWidth="1"/>
    <col min="13051" max="13051" width="7.625" style="3" customWidth="1"/>
    <col min="13052" max="13054" width="9.125" style="3" customWidth="1"/>
    <col min="13055" max="13055" width="10.125" style="3" customWidth="1"/>
    <col min="13056" max="13057" width="7.875" style="3" customWidth="1"/>
    <col min="13058" max="13058" width="15" style="3" customWidth="1"/>
    <col min="13059" max="13060" width="9.875" style="3" customWidth="1"/>
    <col min="13061" max="13061" width="18.75" style="3" customWidth="1"/>
    <col min="13062" max="13304" width="9" style="3" customWidth="1"/>
    <col min="13305" max="13305" width="9.25" style="3" customWidth="1"/>
    <col min="13306" max="13306" width="7" style="3" customWidth="1"/>
    <col min="13307" max="13307" width="7.625" style="3" customWidth="1"/>
    <col min="13308" max="13310" width="9.125" style="3" customWidth="1"/>
    <col min="13311" max="13311" width="10.125" style="3" customWidth="1"/>
    <col min="13312" max="13313" width="7.875" style="3" customWidth="1"/>
    <col min="13314" max="13314" width="15" style="3" customWidth="1"/>
    <col min="13315" max="13316" width="9.875" style="3" customWidth="1"/>
    <col min="13317" max="13317" width="18.75" style="3" customWidth="1"/>
    <col min="13318" max="13560" width="9" style="3" customWidth="1"/>
    <col min="13561" max="13561" width="9.25" style="3" customWidth="1"/>
    <col min="13562" max="13562" width="7" style="3" customWidth="1"/>
    <col min="13563" max="13563" width="7.625" style="3" customWidth="1"/>
    <col min="13564" max="13566" width="9.125" style="3" customWidth="1"/>
    <col min="13567" max="13567" width="10.125" style="3" customWidth="1"/>
    <col min="13568" max="13569" width="7.875" style="3" customWidth="1"/>
    <col min="13570" max="13570" width="15" style="3" customWidth="1"/>
    <col min="13571" max="13572" width="9.875" style="3" customWidth="1"/>
    <col min="13573" max="13573" width="18.75" style="3" customWidth="1"/>
    <col min="13574" max="13816" width="9" style="3" customWidth="1"/>
    <col min="13817" max="13817" width="9.25" style="3" customWidth="1"/>
    <col min="13818" max="13818" width="7" style="3" customWidth="1"/>
    <col min="13819" max="13819" width="7.625" style="3" customWidth="1"/>
    <col min="13820" max="13822" width="9.125" style="3" customWidth="1"/>
    <col min="13823" max="13823" width="10.125" style="3" customWidth="1"/>
    <col min="13824" max="13825" width="7.875" style="3" customWidth="1"/>
    <col min="13826" max="13826" width="15" style="3" customWidth="1"/>
    <col min="13827" max="13828" width="9.875" style="3" customWidth="1"/>
    <col min="13829" max="13829" width="18.75" style="3" customWidth="1"/>
    <col min="13830" max="14072" width="9" style="3" customWidth="1"/>
    <col min="14073" max="14073" width="9.25" style="3" customWidth="1"/>
    <col min="14074" max="14074" width="7" style="3" customWidth="1"/>
    <col min="14075" max="14075" width="7.625" style="3" customWidth="1"/>
    <col min="14076" max="14078" width="9.125" style="3" customWidth="1"/>
    <col min="14079" max="14079" width="10.125" style="3" customWidth="1"/>
    <col min="14080" max="14081" width="7.875" style="3" customWidth="1"/>
    <col min="14082" max="14082" width="15" style="3" customWidth="1"/>
    <col min="14083" max="14084" width="9.875" style="3" customWidth="1"/>
    <col min="14085" max="14085" width="18.75" style="3" customWidth="1"/>
    <col min="14086" max="14328" width="9" style="3" customWidth="1"/>
    <col min="14329" max="14329" width="9.25" style="3" customWidth="1"/>
    <col min="14330" max="14330" width="7" style="3" customWidth="1"/>
    <col min="14331" max="14331" width="7.625" style="3" customWidth="1"/>
    <col min="14332" max="14334" width="9.125" style="3" customWidth="1"/>
    <col min="14335" max="14335" width="10.125" style="3" customWidth="1"/>
    <col min="14336" max="14337" width="7.875" style="3" customWidth="1"/>
    <col min="14338" max="14338" width="15" style="3" customWidth="1"/>
    <col min="14339" max="14340" width="9.875" style="3" customWidth="1"/>
    <col min="14341" max="14341" width="18.75" style="3" customWidth="1"/>
    <col min="14342" max="14584" width="9" style="3" customWidth="1"/>
    <col min="14585" max="14585" width="9.25" style="3" customWidth="1"/>
    <col min="14586" max="14586" width="7" style="3" customWidth="1"/>
    <col min="14587" max="14587" width="7.625" style="3" customWidth="1"/>
    <col min="14588" max="14590" width="9.125" style="3" customWidth="1"/>
    <col min="14591" max="14591" width="10.125" style="3" customWidth="1"/>
    <col min="14592" max="14593" width="7.875" style="3" customWidth="1"/>
    <col min="14594" max="14594" width="15" style="3" customWidth="1"/>
    <col min="14595" max="14596" width="9.875" style="3" customWidth="1"/>
    <col min="14597" max="14597" width="18.75" style="3" customWidth="1"/>
    <col min="14598" max="14840" width="9" style="3" customWidth="1"/>
    <col min="14841" max="14841" width="9.25" style="3" customWidth="1"/>
    <col min="14842" max="14842" width="7" style="3" customWidth="1"/>
    <col min="14843" max="14843" width="7.625" style="3" customWidth="1"/>
    <col min="14844" max="14846" width="9.125" style="3" customWidth="1"/>
    <col min="14847" max="14847" width="10.125" style="3" customWidth="1"/>
    <col min="14848" max="14849" width="7.875" style="3" customWidth="1"/>
    <col min="14850" max="14850" width="15" style="3" customWidth="1"/>
    <col min="14851" max="14852" width="9.875" style="3" customWidth="1"/>
    <col min="14853" max="14853" width="18.75" style="3" customWidth="1"/>
    <col min="14854" max="15096" width="9" style="3" customWidth="1"/>
    <col min="15097" max="15097" width="9.25" style="3" customWidth="1"/>
    <col min="15098" max="15098" width="7" style="3" customWidth="1"/>
    <col min="15099" max="15099" width="7.625" style="3" customWidth="1"/>
    <col min="15100" max="15102" width="9.125" style="3" customWidth="1"/>
    <col min="15103" max="15103" width="10.125" style="3" customWidth="1"/>
    <col min="15104" max="15105" width="7.875" style="3" customWidth="1"/>
    <col min="15106" max="15106" width="15" style="3" customWidth="1"/>
    <col min="15107" max="15108" width="9.875" style="3" customWidth="1"/>
    <col min="15109" max="15109" width="18.75" style="3" customWidth="1"/>
    <col min="15110" max="15352" width="9" style="3" customWidth="1"/>
    <col min="15353" max="15353" width="9.25" style="3" customWidth="1"/>
    <col min="15354" max="15354" width="7" style="3" customWidth="1"/>
    <col min="15355" max="15355" width="7.625" style="3" customWidth="1"/>
    <col min="15356" max="15358" width="9.125" style="3" customWidth="1"/>
    <col min="15359" max="15359" width="10.125" style="3" customWidth="1"/>
    <col min="15360" max="15361" width="7.875" style="3" customWidth="1"/>
    <col min="15362" max="15362" width="15" style="3" customWidth="1"/>
    <col min="15363" max="15364" width="9.875" style="3" customWidth="1"/>
    <col min="15365" max="15365" width="18.75" style="3" customWidth="1"/>
    <col min="15366" max="15608" width="9" style="3" customWidth="1"/>
    <col min="15609" max="15609" width="9.25" style="3" customWidth="1"/>
    <col min="15610" max="15610" width="7" style="3" customWidth="1"/>
    <col min="15611" max="15611" width="7.625" style="3" customWidth="1"/>
    <col min="15612" max="15614" width="9.125" style="3" customWidth="1"/>
    <col min="15615" max="15615" width="10.125" style="3" customWidth="1"/>
    <col min="15616" max="15617" width="7.875" style="3" customWidth="1"/>
    <col min="15618" max="15618" width="15" style="3" customWidth="1"/>
    <col min="15619" max="15620" width="9.875" style="3" customWidth="1"/>
    <col min="15621" max="15621" width="18.75" style="3" customWidth="1"/>
    <col min="15622" max="15864" width="9" style="3" customWidth="1"/>
    <col min="15865" max="15865" width="9.25" style="3" customWidth="1"/>
    <col min="15866" max="15866" width="7" style="3" customWidth="1"/>
    <col min="15867" max="15867" width="7.625" style="3" customWidth="1"/>
    <col min="15868" max="15870" width="9.125" style="3" customWidth="1"/>
    <col min="15871" max="15871" width="10.125" style="3" customWidth="1"/>
    <col min="15872" max="15873" width="7.875" style="3" customWidth="1"/>
    <col min="15874" max="15874" width="15" style="3" customWidth="1"/>
    <col min="15875" max="15876" width="9.875" style="3" customWidth="1"/>
    <col min="15877" max="15877" width="18.75" style="3" customWidth="1"/>
    <col min="15878" max="16120" width="9" style="3" customWidth="1"/>
    <col min="16121" max="16121" width="9.25" style="3" customWidth="1"/>
    <col min="16122" max="16122" width="7" style="3" customWidth="1"/>
    <col min="16123" max="16123" width="7.625" style="3" customWidth="1"/>
    <col min="16124" max="16126" width="9.125" style="3" customWidth="1"/>
    <col min="16127" max="16127" width="10.125" style="3" customWidth="1"/>
    <col min="16128" max="16129" width="7.875" style="3" customWidth="1"/>
    <col min="16130" max="16130" width="15" style="3" customWidth="1"/>
    <col min="16131" max="16132" width="9.875" style="3" customWidth="1"/>
    <col min="16133" max="16133" width="18.75" style="3" customWidth="1"/>
    <col min="16134" max="16384" width="9" style="3" customWidth="1"/>
  </cols>
  <sheetData>
    <row r="1" ht="27.95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36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213" t="str">
        <f>'Final Work'!모선이름</f>
        <v>SAWASDEE SPICA</v>
      </c>
      <c r="C6" s="3"/>
      <c r="D6" s="3"/>
      <c r="E6" s="3"/>
      <c r="F6" s="3"/>
      <c r="G6" s="3" t="s">
        <v>38</v>
      </c>
      <c r="H6" s="194"/>
      <c r="I6" s="194"/>
      <c r="J6" s="3"/>
      <c r="K6" s="3" t="s">
        <v>39</v>
      </c>
      <c r="L6" s="214"/>
      <c r="M6" s="2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3" t="s">
        <v>40</v>
      </c>
      <c r="B8" s="3" t="s">
        <v>25</v>
      </c>
      <c r="C8" s="215"/>
      <c r="D8" s="215"/>
      <c r="E8" s="3"/>
      <c r="F8" s="3"/>
      <c r="G8" s="3" t="s">
        <v>41</v>
      </c>
      <c r="H8" s="194"/>
      <c r="I8" s="194"/>
      <c r="J8" s="3"/>
      <c r="K8" s="213" t="s">
        <v>42</v>
      </c>
      <c r="L8" s="194"/>
      <c r="M8" s="19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20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16" t="s">
        <v>43</v>
      </c>
      <c r="B10" s="217" t="s">
        <v>44</v>
      </c>
      <c r="C10" s="218"/>
      <c r="D10" s="216" t="s">
        <v>45</v>
      </c>
      <c r="E10" s="216"/>
      <c r="F10" s="216"/>
      <c r="G10" s="219" t="s">
        <v>46</v>
      </c>
      <c r="H10" s="220" t="s">
        <v>47</v>
      </c>
      <c r="I10" s="221"/>
      <c r="J10" s="219" t="s">
        <v>48</v>
      </c>
      <c r="K10" s="216" t="s">
        <v>49</v>
      </c>
      <c r="L10" s="216" t="s">
        <v>50</v>
      </c>
      <c r="M10" s="216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22"/>
      <c r="B11" s="223"/>
      <c r="C11" s="224"/>
      <c r="D11" s="222"/>
      <c r="E11" s="222"/>
      <c r="F11" s="222"/>
      <c r="G11" s="225" t="s">
        <v>52</v>
      </c>
      <c r="H11" s="226"/>
      <c r="I11" s="227"/>
      <c r="J11" s="225"/>
      <c r="K11" s="222"/>
      <c r="L11" s="222"/>
      <c r="M11" s="22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6.1" customHeight="1" spans="1:25" x14ac:dyDescent="0.25">
      <c r="A12" s="53"/>
      <c r="B12" s="228"/>
      <c r="C12" s="229"/>
      <c r="D12" s="228"/>
      <c r="E12" s="230"/>
      <c r="F12" s="231"/>
      <c r="G12" s="232"/>
      <c r="H12" s="233"/>
      <c r="I12" s="234"/>
      <c r="J12" s="235"/>
      <c r="K12" s="232"/>
      <c r="L12" s="232"/>
      <c r="M12" s="23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6.1" customHeight="1" spans="1:25" x14ac:dyDescent="0.25">
      <c r="A13" s="53"/>
      <c r="B13" s="228"/>
      <c r="C13" s="229"/>
      <c r="D13" s="228"/>
      <c r="E13" s="230"/>
      <c r="F13" s="231"/>
      <c r="G13" s="232"/>
      <c r="H13" s="233"/>
      <c r="I13" s="234"/>
      <c r="J13" s="235"/>
      <c r="K13" s="232"/>
      <c r="L13" s="232"/>
      <c r="M13" s="23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6.1" customHeight="1" spans="1:25" x14ac:dyDescent="0.25">
      <c r="A14" s="53"/>
      <c r="B14" s="228"/>
      <c r="C14" s="229"/>
      <c r="D14" s="228"/>
      <c r="E14" s="230"/>
      <c r="F14" s="231"/>
      <c r="G14" s="232"/>
      <c r="H14" s="233"/>
      <c r="I14" s="234"/>
      <c r="J14" s="235"/>
      <c r="K14" s="232"/>
      <c r="L14" s="232"/>
      <c r="M14" s="23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6.1" customHeight="1" spans="1:25" x14ac:dyDescent="0.25">
      <c r="A15" s="53"/>
      <c r="B15" s="228"/>
      <c r="C15" s="229"/>
      <c r="D15" s="228"/>
      <c r="E15" s="230"/>
      <c r="F15" s="231"/>
      <c r="G15" s="232"/>
      <c r="H15" s="233"/>
      <c r="I15" s="234"/>
      <c r="J15" s="235"/>
      <c r="K15" s="232"/>
      <c r="L15" s="237"/>
      <c r="M15" s="23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6.1" customHeight="1" spans="1:25" x14ac:dyDescent="0.25">
      <c r="A16" s="53"/>
      <c r="B16" s="238"/>
      <c r="C16" s="238"/>
      <c r="D16" s="239"/>
      <c r="E16" s="240"/>
      <c r="F16" s="241"/>
      <c r="G16" s="238"/>
      <c r="H16" s="233"/>
      <c r="I16" s="234"/>
      <c r="J16" s="235"/>
      <c r="K16" s="232"/>
      <c r="L16" s="232"/>
      <c r="M16" s="23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6.1" customHeight="1" spans="1:25" x14ac:dyDescent="0.25">
      <c r="A17" s="53"/>
      <c r="B17" s="228"/>
      <c r="C17" s="229"/>
      <c r="D17" s="228"/>
      <c r="E17" s="230"/>
      <c r="F17" s="231"/>
      <c r="G17" s="232"/>
      <c r="H17" s="233"/>
      <c r="I17" s="234"/>
      <c r="J17" s="235"/>
      <c r="K17" s="232"/>
      <c r="L17" s="238"/>
      <c r="M17" s="23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6.1" customHeight="1" spans="1:25" x14ac:dyDescent="0.25">
      <c r="A18" s="53"/>
      <c r="B18" s="228"/>
      <c r="C18" s="229"/>
      <c r="D18" s="228"/>
      <c r="E18" s="230"/>
      <c r="F18" s="231"/>
      <c r="G18" s="232"/>
      <c r="H18" s="233"/>
      <c r="I18" s="234"/>
      <c r="J18" s="235"/>
      <c r="K18" s="238"/>
      <c r="L18" s="238"/>
      <c r="M18" s="23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6.1" customHeight="1" spans="1:25" x14ac:dyDescent="0.25">
      <c r="A19" s="53"/>
      <c r="B19" s="228"/>
      <c r="C19" s="229"/>
      <c r="D19" s="228"/>
      <c r="E19" s="230"/>
      <c r="F19" s="231"/>
      <c r="G19" s="232"/>
      <c r="H19" s="233"/>
      <c r="I19" s="234"/>
      <c r="J19" s="235"/>
      <c r="K19" s="232"/>
      <c r="L19" s="242"/>
      <c r="M19" s="23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6.1" customHeight="1" hidden="1" spans="1:25" x14ac:dyDescent="0.25">
      <c r="A20" s="53"/>
      <c r="B20" s="228"/>
      <c r="C20" s="229"/>
      <c r="D20" s="243"/>
      <c r="E20" s="230"/>
      <c r="F20" s="231"/>
      <c r="G20" s="232"/>
      <c r="H20" s="233"/>
      <c r="I20" s="234"/>
      <c r="J20" s="235"/>
      <c r="K20" s="232"/>
      <c r="L20" s="238"/>
      <c r="M20" s="23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6.1" customHeight="1" hidden="1" spans="1:25" x14ac:dyDescent="0.25">
      <c r="A21" s="53"/>
      <c r="B21" s="228"/>
      <c r="C21" s="229"/>
      <c r="D21" s="243"/>
      <c r="E21" s="230"/>
      <c r="F21" s="231"/>
      <c r="G21" s="232"/>
      <c r="H21" s="233"/>
      <c r="I21" s="234"/>
      <c r="J21" s="235"/>
      <c r="K21" s="232"/>
      <c r="L21" s="232"/>
      <c r="M21" s="23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6.1" customHeight="1" hidden="1" spans="1:25" x14ac:dyDescent="0.25">
      <c r="A22" s="53"/>
      <c r="B22" s="228"/>
      <c r="C22" s="229"/>
      <c r="D22" s="243"/>
      <c r="E22" s="230"/>
      <c r="F22" s="231"/>
      <c r="G22" s="232"/>
      <c r="H22" s="233"/>
      <c r="I22" s="234"/>
      <c r="J22" s="235"/>
      <c r="K22" s="232"/>
      <c r="L22" s="242"/>
      <c r="M22" s="23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6.1" customHeight="1" hidden="1" spans="1:25" x14ac:dyDescent="0.25">
      <c r="A23" s="53"/>
      <c r="B23" s="228"/>
      <c r="C23" s="229"/>
      <c r="D23" s="243"/>
      <c r="E23" s="230"/>
      <c r="F23" s="231"/>
      <c r="G23" s="232"/>
      <c r="H23" s="233"/>
      <c r="I23" s="234"/>
      <c r="J23" s="235"/>
      <c r="K23" s="232"/>
      <c r="L23" s="244"/>
      <c r="M23" s="23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6.1" customHeight="1" hidden="1" spans="1:25" x14ac:dyDescent="0.25">
      <c r="A24" s="53"/>
      <c r="B24" s="228"/>
      <c r="C24" s="229"/>
      <c r="D24" s="243"/>
      <c r="E24" s="230"/>
      <c r="F24" s="231"/>
      <c r="G24" s="232"/>
      <c r="H24" s="233"/>
      <c r="I24" s="234"/>
      <c r="J24" s="235"/>
      <c r="K24" s="232"/>
      <c r="L24" s="244"/>
      <c r="M24" s="23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6.1" customHeight="1" spans="1:25" x14ac:dyDescent="0.25">
      <c r="A25" s="28"/>
      <c r="B25" s="245"/>
      <c r="C25" s="245"/>
      <c r="D25" s="246" t="s">
        <v>53</v>
      </c>
      <c r="E25" s="247"/>
      <c r="F25" s="248"/>
      <c r="G25" s="249" t="s">
        <v>54</v>
      </c>
      <c r="H25" s="250">
        <f>SUM(H11:I24)</f>
        <v>613</v>
      </c>
      <c r="I25" s="250"/>
      <c r="J25" s="250">
        <f>SUM(J11:J24)</f>
        <v>613</v>
      </c>
      <c r="K25" s="249" t="s">
        <v>55</v>
      </c>
      <c r="L25" s="251" t="s">
        <v>55</v>
      </c>
      <c r="M25" s="25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6.1" customHeight="1" hidden="1" spans="1:25" x14ac:dyDescent="0.25">
      <c r="A26" s="53"/>
      <c r="B26" s="53"/>
      <c r="C26" s="53"/>
      <c r="D26" s="253"/>
      <c r="E26" s="254"/>
      <c r="F26" s="255"/>
      <c r="G26" s="256"/>
      <c r="H26" s="257"/>
      <c r="I26" s="257"/>
      <c r="J26" s="257"/>
      <c r="K26" s="256"/>
      <c r="L26" s="256"/>
      <c r="M26" s="25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6.1" customHeight="1" hidden="1" spans="1:25" x14ac:dyDescent="0.25">
      <c r="A27" s="53"/>
      <c r="B27" s="53"/>
      <c r="C27" s="53"/>
      <c r="D27" s="253"/>
      <c r="E27" s="254"/>
      <c r="F27" s="255"/>
      <c r="G27" s="256"/>
      <c r="H27" s="257"/>
      <c r="I27" s="257"/>
      <c r="J27" s="257"/>
      <c r="K27" s="256"/>
      <c r="L27" s="256"/>
      <c r="M27" s="25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6.1" customHeight="1" hidden="1" spans="1:25" x14ac:dyDescent="0.25">
      <c r="A28" s="53"/>
      <c r="B28" s="53"/>
      <c r="C28" s="53"/>
      <c r="D28" s="253"/>
      <c r="E28" s="254"/>
      <c r="F28" s="255"/>
      <c r="G28" s="256"/>
      <c r="H28" s="257"/>
      <c r="I28" s="257"/>
      <c r="J28" s="257"/>
      <c r="K28" s="256"/>
      <c r="L28" s="256"/>
      <c r="M28" s="25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6.1" customHeight="1" hidden="1" spans="1:25" x14ac:dyDescent="0.25">
      <c r="A29" s="53"/>
      <c r="B29" s="53"/>
      <c r="C29" s="53"/>
      <c r="D29" s="253"/>
      <c r="E29" s="254"/>
      <c r="F29" s="255"/>
      <c r="G29" s="256"/>
      <c r="H29" s="257"/>
      <c r="I29" s="257"/>
      <c r="J29" s="257"/>
      <c r="K29" s="256"/>
      <c r="L29" s="256"/>
      <c r="M29" s="25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6.1" customHeight="1" hidden="1" spans="1:25" x14ac:dyDescent="0.25">
      <c r="A30" s="53"/>
      <c r="B30" s="53"/>
      <c r="C30" s="53"/>
      <c r="D30" s="253"/>
      <c r="E30" s="254"/>
      <c r="F30" s="255"/>
      <c r="G30" s="256"/>
      <c r="H30" s="257"/>
      <c r="I30" s="257"/>
      <c r="J30" s="257"/>
      <c r="K30" s="256"/>
      <c r="L30" s="256"/>
      <c r="M30" s="25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6.1" customHeight="1" spans="1:25" x14ac:dyDescent="0.25">
      <c r="A31" s="53"/>
      <c r="B31" s="53"/>
      <c r="C31" s="53"/>
      <c r="D31" s="253"/>
      <c r="E31" s="254"/>
      <c r="F31" s="255"/>
      <c r="G31" s="259"/>
      <c r="H31" s="260"/>
      <c r="I31" s="261"/>
      <c r="J31" s="262"/>
      <c r="K31" s="259"/>
      <c r="L31" s="259"/>
      <c r="M31" s="25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6.1" customHeight="1" spans="1:25" x14ac:dyDescent="0.25">
      <c r="A32" s="53"/>
      <c r="B32" s="53"/>
      <c r="C32" s="53"/>
      <c r="D32" s="253"/>
      <c r="E32" s="254"/>
      <c r="F32" s="255"/>
      <c r="G32" s="259"/>
      <c r="H32" s="260"/>
      <c r="I32" s="261"/>
      <c r="J32" s="262"/>
      <c r="K32" s="259"/>
      <c r="L32" s="259"/>
      <c r="M32" s="25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1.95" customHeight="1" spans="1:25" x14ac:dyDescent="0.25">
      <c r="A33" s="263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1.95" customHeight="1" hidden="1" spans="1:25" x14ac:dyDescent="0.25">
      <c r="A34" s="265"/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1.95" customHeight="1" spans="1:25" x14ac:dyDescent="0.25">
      <c r="A35" s="265"/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1.95" customHeight="1" spans="1:25" x14ac:dyDescent="0.25">
      <c r="A36" s="208"/>
      <c r="B36" s="208"/>
      <c r="C36" s="208"/>
      <c r="D36" s="3"/>
      <c r="E36" s="3"/>
      <c r="F36" s="3"/>
      <c r="G36" s="208"/>
      <c r="H36" s="208"/>
      <c r="I36" s="208"/>
      <c r="J36" s="3"/>
      <c r="K36" s="3"/>
      <c r="L36" s="208"/>
      <c r="M36" s="20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09" t="s">
        <v>22</v>
      </c>
      <c r="B37" s="209"/>
      <c r="C37" s="209"/>
      <c r="D37" s="3"/>
      <c r="E37" s="3"/>
      <c r="F37" s="3"/>
      <c r="G37" s="209" t="s">
        <v>56</v>
      </c>
      <c r="H37" s="209"/>
      <c r="I37" s="209"/>
      <c r="J37" s="3"/>
      <c r="K37" s="3"/>
      <c r="L37" s="209" t="s">
        <v>23</v>
      </c>
      <c r="M37" s="20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B28:C28"/>
    <mergeCell ref="D28:F28"/>
    <mergeCell ref="H28:I28"/>
    <mergeCell ref="B29:C29"/>
    <mergeCell ref="D29:F29"/>
    <mergeCell ref="H29:I29"/>
    <mergeCell ref="B30:C30"/>
    <mergeCell ref="D30:F30"/>
    <mergeCell ref="H30:I30"/>
    <mergeCell ref="B31:C31"/>
    <mergeCell ref="D31:F31"/>
    <mergeCell ref="H31:I31"/>
    <mergeCell ref="B32:C32"/>
    <mergeCell ref="D32:F32"/>
    <mergeCell ref="H32:I32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2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4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4.87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94"/>
      <c r="B3" s="194"/>
      <c r="C3" s="194"/>
      <c r="D3" s="194"/>
      <c r="E3" s="194"/>
      <c r="F3" s="156"/>
      <c r="G3" s="156"/>
      <c r="H3" s="15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" customHeight="1" spans="1:25" x14ac:dyDescent="0.25">
      <c r="A4" s="3" t="s">
        <v>75</v>
      </c>
      <c r="B4" s="3" t="s">
        <v>3</v>
      </c>
      <c r="C4" s="3"/>
      <c r="D4" s="3"/>
      <c r="E4" s="335"/>
      <c r="F4" s="11" t="s">
        <v>76</v>
      </c>
      <c r="G4" s="214"/>
      <c r="H4" s="21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336"/>
      <c r="B5" s="335"/>
      <c r="C5" s="3"/>
      <c r="D5" s="3"/>
      <c r="E5" s="335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" customHeight="1" spans="1:25" x14ac:dyDescent="0.25">
      <c r="A6" s="3" t="s">
        <v>77</v>
      </c>
      <c r="B6" s="194" t="str">
        <f>'OS-OUT'!H6</f>
        <v>2606S</v>
      </c>
      <c r="C6" s="194"/>
      <c r="D6" s="3"/>
      <c r="E6" s="3" t="s">
        <v>78</v>
      </c>
      <c r="F6" s="11" t="s">
        <v>79</v>
      </c>
      <c r="G6" s="335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335" t="s">
        <v>78</v>
      </c>
      <c r="B7" s="335"/>
      <c r="C7" s="3"/>
      <c r="D7" s="3"/>
      <c r="E7" s="3"/>
      <c r="F7" s="156"/>
      <c r="G7" s="3"/>
      <c r="H7" s="33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37" t="s">
        <v>80</v>
      </c>
      <c r="C8" s="338"/>
      <c r="D8" s="338"/>
      <c r="E8" s="338"/>
      <c r="F8" s="338"/>
      <c r="G8" s="339"/>
      <c r="H8" s="34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94" t="s">
        <v>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3.1" customHeight="1" spans="1:25" x14ac:dyDescent="0.25">
      <c r="A10" s="228" t="s">
        <v>82</v>
      </c>
      <c r="B10" s="341"/>
      <c r="C10" s="229"/>
      <c r="D10" s="237" t="s">
        <v>83</v>
      </c>
      <c r="E10" s="228" t="s">
        <v>84</v>
      </c>
      <c r="F10" s="229"/>
      <c r="G10" s="219" t="s">
        <v>85</v>
      </c>
      <c r="H10" s="219" t="s">
        <v>51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3.1" customHeight="1" spans="1:25" x14ac:dyDescent="0.25">
      <c r="A11" s="165" t="s">
        <v>86</v>
      </c>
      <c r="B11" s="166"/>
      <c r="C11" s="342" t="s">
        <v>87</v>
      </c>
      <c r="D11" s="343"/>
      <c r="E11" s="342" t="s">
        <v>86</v>
      </c>
      <c r="F11" s="342" t="s">
        <v>87</v>
      </c>
      <c r="G11" s="225"/>
      <c r="H11" s="22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3.1" customHeight="1" spans="1:25" x14ac:dyDescent="0.25">
      <c r="A12" s="238"/>
      <c r="B12" s="238"/>
      <c r="C12" s="344"/>
      <c r="D12" s="238"/>
      <c r="E12" s="238"/>
      <c r="F12" s="345"/>
      <c r="G12" s="238"/>
      <c r="H12" s="23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3.1" customHeight="1" spans="1:25" x14ac:dyDescent="0.25">
      <c r="A13" s="232"/>
      <c r="B13" s="232"/>
      <c r="C13" s="346"/>
      <c r="D13" s="232"/>
      <c r="E13" s="232"/>
      <c r="F13" s="347"/>
      <c r="G13" s="232"/>
      <c r="H13" s="23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3.1" customHeight="1" spans="1:25" x14ac:dyDescent="0.25">
      <c r="A14" s="232"/>
      <c r="B14" s="232"/>
      <c r="C14" s="346"/>
      <c r="D14" s="232"/>
      <c r="E14" s="232"/>
      <c r="F14" s="347"/>
      <c r="G14" s="232"/>
      <c r="H14" s="23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3.1" customHeight="1" spans="1:25" x14ac:dyDescent="0.25">
      <c r="A15" s="259"/>
      <c r="B15" s="259"/>
      <c r="C15" s="348"/>
      <c r="D15" s="259"/>
      <c r="E15" s="259"/>
      <c r="F15" s="349"/>
      <c r="G15" s="259"/>
      <c r="H15" s="25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3.1" customHeight="1" spans="1:25" x14ac:dyDescent="0.25">
      <c r="A16" s="350"/>
      <c r="B16" s="351"/>
      <c r="C16" s="350"/>
      <c r="D16" s="352"/>
      <c r="E16" s="352"/>
      <c r="F16" s="351"/>
      <c r="G16" s="352"/>
      <c r="H16" s="35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3.1" customHeight="1" spans="1:25" x14ac:dyDescent="0.25">
      <c r="A17" s="353"/>
      <c r="B17" s="354"/>
      <c r="C17" s="353"/>
      <c r="D17" s="89"/>
      <c r="E17" s="89"/>
      <c r="F17" s="354"/>
      <c r="G17" s="89"/>
      <c r="H17" s="8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3.1" customHeight="1" spans="1:25" x14ac:dyDescent="0.25">
      <c r="A18" s="355"/>
      <c r="B18" s="349"/>
      <c r="C18" s="355"/>
      <c r="D18" s="259"/>
      <c r="E18" s="259"/>
      <c r="F18" s="349"/>
      <c r="G18" s="259"/>
      <c r="H18" s="259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3.1" customHeight="1" spans="1:25" x14ac:dyDescent="0.25">
      <c r="A19" s="356"/>
      <c r="B19" s="357"/>
      <c r="C19" s="355"/>
      <c r="D19" s="259"/>
      <c r="E19" s="259"/>
      <c r="F19" s="349"/>
      <c r="G19" s="259"/>
      <c r="H19" s="259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3.1" customHeight="1" spans="1:25" x14ac:dyDescent="0.25">
      <c r="A20" s="358"/>
      <c r="B20" s="357"/>
      <c r="C20" s="359"/>
      <c r="D20" s="259"/>
      <c r="E20" s="259"/>
      <c r="F20" s="349"/>
      <c r="G20" s="259"/>
      <c r="H20" s="25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3.1" customHeight="1" spans="1:25" x14ac:dyDescent="0.25">
      <c r="A21" s="352"/>
      <c r="B21" s="352"/>
      <c r="C21" s="360"/>
      <c r="D21" s="352"/>
      <c r="E21" s="352"/>
      <c r="F21" s="352"/>
      <c r="G21" s="352"/>
      <c r="H21" s="35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3.1" customHeight="1" spans="1:25" x14ac:dyDescent="0.25">
      <c r="A22" s="53"/>
      <c r="B22" s="53"/>
      <c r="C22" s="361"/>
      <c r="D22" s="53"/>
      <c r="E22" s="53"/>
      <c r="F22" s="53"/>
      <c r="G22" s="53"/>
      <c r="H22" s="5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3.1" customHeight="1" spans="1:25" x14ac:dyDescent="0.25">
      <c r="A23" s="259"/>
      <c r="B23" s="259"/>
      <c r="C23" s="362"/>
      <c r="D23" s="259"/>
      <c r="E23" s="259"/>
      <c r="F23" s="259"/>
      <c r="G23" s="259"/>
      <c r="H23" s="25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3.1" customHeight="1" spans="1:25" x14ac:dyDescent="0.25">
      <c r="A24" s="363"/>
      <c r="B24" s="363"/>
      <c r="C24" s="364"/>
      <c r="D24" s="259"/>
      <c r="E24" s="363"/>
      <c r="F24" s="363"/>
      <c r="G24" s="363"/>
      <c r="H24" s="36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3.1" customHeight="1" spans="1:25" x14ac:dyDescent="0.25">
      <c r="A25" s="363"/>
      <c r="B25" s="363"/>
      <c r="C25" s="364"/>
      <c r="D25" s="259"/>
      <c r="E25" s="363"/>
      <c r="F25" s="363"/>
      <c r="G25" s="363"/>
      <c r="H25" s="36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3.1" customHeight="1" spans="1:25" x14ac:dyDescent="0.25">
      <c r="A26" s="365"/>
      <c r="B26" s="365"/>
      <c r="C26" s="366"/>
      <c r="D26" s="352"/>
      <c r="E26" s="365"/>
      <c r="F26" s="365"/>
      <c r="G26" s="365"/>
      <c r="H26" s="36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3.1" customHeight="1" spans="1:25" x14ac:dyDescent="0.25">
      <c r="A27" s="367"/>
      <c r="B27" s="367"/>
      <c r="C27" s="368"/>
      <c r="D27" s="28"/>
      <c r="E27" s="367"/>
      <c r="F27" s="367"/>
      <c r="G27" s="367"/>
      <c r="H27" s="36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3.1" customHeight="1" spans="1:25" x14ac:dyDescent="0.25">
      <c r="A28" s="363"/>
      <c r="B28" s="363"/>
      <c r="C28" s="364"/>
      <c r="D28" s="259"/>
      <c r="E28" s="363"/>
      <c r="F28" s="363"/>
      <c r="G28" s="363"/>
      <c r="H28" s="36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3.1" customHeight="1" spans="1:25" x14ac:dyDescent="0.25">
      <c r="A29" s="363"/>
      <c r="B29" s="363"/>
      <c r="C29" s="364"/>
      <c r="D29" s="259"/>
      <c r="E29" s="363"/>
      <c r="F29" s="363"/>
      <c r="G29" s="363"/>
      <c r="H29" s="36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3.1" customHeight="1" spans="1:25" x14ac:dyDescent="0.25">
      <c r="A30" s="363"/>
      <c r="B30" s="363"/>
      <c r="C30" s="364"/>
      <c r="D30" s="363"/>
      <c r="E30" s="363"/>
      <c r="F30" s="363"/>
      <c r="G30" s="363"/>
      <c r="H30" s="36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3.1" customHeight="1" spans="1:25" x14ac:dyDescent="0.25">
      <c r="A31" s="363"/>
      <c r="B31" s="363"/>
      <c r="C31" s="364"/>
      <c r="D31" s="363"/>
      <c r="E31" s="363"/>
      <c r="F31" s="364"/>
      <c r="G31" s="363"/>
      <c r="H31" s="36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" customHeight="1" spans="1:25" x14ac:dyDescent="0.25">
      <c r="A33" s="219" t="s">
        <v>88</v>
      </c>
      <c r="B33" s="216" t="s">
        <v>89</v>
      </c>
      <c r="C33" s="33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" customHeight="1" spans="1:25" x14ac:dyDescent="0.25">
      <c r="A34" s="369"/>
      <c r="B34" s="216" t="s">
        <v>90</v>
      </c>
      <c r="C34" s="33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" customHeight="1" spans="1:25" x14ac:dyDescent="0.25">
      <c r="A35" s="219" t="s">
        <v>91</v>
      </c>
      <c r="B35" s="216" t="s">
        <v>89</v>
      </c>
      <c r="C35" s="33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" customHeight="1" spans="1:25" x14ac:dyDescent="0.25">
      <c r="A36" s="225"/>
      <c r="B36" s="222" t="s">
        <v>90</v>
      </c>
      <c r="C36" s="35"/>
      <c r="D36" s="3"/>
      <c r="E36" s="3"/>
      <c r="F36" s="3"/>
      <c r="G36" s="208"/>
      <c r="H36" s="20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" customHeight="1" spans="1:25" x14ac:dyDescent="0.25">
      <c r="A37" s="370" t="s">
        <v>92</v>
      </c>
      <c r="B37" s="371"/>
      <c r="C37" s="330">
        <f>SUM(C33:C36)</f>
        <v>0</v>
      </c>
      <c r="D37" s="3"/>
      <c r="E37" s="3"/>
      <c r="F37" s="3"/>
      <c r="G37" s="209" t="s">
        <v>22</v>
      </c>
      <c r="H37" s="209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15">
    <mergeCell ref="A1:H1"/>
    <mergeCell ref="A2:H2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44" width="9" style="1" customWidth="1"/>
    <col min="245" max="245" width="13.875" style="1" customWidth="1"/>
    <col min="246" max="246" width="9.875" style="1" customWidth="1"/>
    <col min="247" max="247" width="8.375" style="1" customWidth="1"/>
    <col min="248" max="248" width="8.25" style="1" customWidth="1"/>
    <col min="249" max="249" width="5.625" style="1" customWidth="1"/>
    <col min="250" max="251" width="8.375" style="1" customWidth="1"/>
    <col min="252" max="252" width="11.125" style="1" customWidth="1"/>
    <col min="253" max="253" width="11.625" style="1" customWidth="1"/>
    <col min="254" max="500" width="9" style="1" customWidth="1"/>
    <col min="501" max="501" width="13.875" style="1" customWidth="1"/>
    <col min="502" max="502" width="9.875" style="1" customWidth="1"/>
    <col min="503" max="503" width="8.375" style="1" customWidth="1"/>
    <col min="504" max="504" width="8.25" style="1" customWidth="1"/>
    <col min="505" max="505" width="5.625" style="1" customWidth="1"/>
    <col min="506" max="507" width="8.375" style="1" customWidth="1"/>
    <col min="508" max="508" width="11.125" style="1" customWidth="1"/>
    <col min="509" max="509" width="11.625" style="1" customWidth="1"/>
    <col min="510" max="756" width="9" style="1" customWidth="1"/>
    <col min="757" max="757" width="13.875" style="1" customWidth="1"/>
    <col min="758" max="758" width="9.875" style="1" customWidth="1"/>
    <col min="759" max="759" width="8.375" style="1" customWidth="1"/>
    <col min="760" max="760" width="8.25" style="1" customWidth="1"/>
    <col min="761" max="761" width="5.625" style="1" customWidth="1"/>
    <col min="762" max="763" width="8.375" style="1" customWidth="1"/>
    <col min="764" max="764" width="11.125" style="1" customWidth="1"/>
    <col min="765" max="765" width="11.625" style="1" customWidth="1"/>
    <col min="766" max="1012" width="9" style="1" customWidth="1"/>
    <col min="1013" max="1013" width="13.875" style="1" customWidth="1"/>
    <col min="1014" max="1014" width="9.875" style="1" customWidth="1"/>
    <col min="1015" max="1015" width="8.375" style="1" customWidth="1"/>
    <col min="1016" max="1016" width="8.25" style="1" customWidth="1"/>
    <col min="1017" max="1017" width="5.625" style="1" customWidth="1"/>
    <col min="1018" max="1019" width="8.375" style="1" customWidth="1"/>
    <col min="1020" max="1020" width="11.125" style="1" customWidth="1"/>
    <col min="1021" max="1021" width="11.625" style="1" customWidth="1"/>
    <col min="1022" max="1268" width="9" style="1" customWidth="1"/>
    <col min="1269" max="1269" width="13.875" style="1" customWidth="1"/>
    <col min="1270" max="1270" width="9.875" style="1" customWidth="1"/>
    <col min="1271" max="1271" width="8.375" style="1" customWidth="1"/>
    <col min="1272" max="1272" width="8.25" style="1" customWidth="1"/>
    <col min="1273" max="1273" width="5.625" style="1" customWidth="1"/>
    <col min="1274" max="1275" width="8.375" style="1" customWidth="1"/>
    <col min="1276" max="1276" width="11.125" style="1" customWidth="1"/>
    <col min="1277" max="1277" width="11.625" style="1" customWidth="1"/>
    <col min="1278" max="1524" width="9" style="1" customWidth="1"/>
    <col min="1525" max="1525" width="13.875" style="1" customWidth="1"/>
    <col min="1526" max="1526" width="9.875" style="1" customWidth="1"/>
    <col min="1527" max="1527" width="8.375" style="1" customWidth="1"/>
    <col min="1528" max="1528" width="8.25" style="1" customWidth="1"/>
    <col min="1529" max="1529" width="5.625" style="1" customWidth="1"/>
    <col min="1530" max="1531" width="8.375" style="1" customWidth="1"/>
    <col min="1532" max="1532" width="11.125" style="1" customWidth="1"/>
    <col min="1533" max="1533" width="11.625" style="1" customWidth="1"/>
    <col min="1534" max="1780" width="9" style="1" customWidth="1"/>
    <col min="1781" max="1781" width="13.875" style="1" customWidth="1"/>
    <col min="1782" max="1782" width="9.875" style="1" customWidth="1"/>
    <col min="1783" max="1783" width="8.375" style="1" customWidth="1"/>
    <col min="1784" max="1784" width="8.25" style="1" customWidth="1"/>
    <col min="1785" max="1785" width="5.625" style="1" customWidth="1"/>
    <col min="1786" max="1787" width="8.375" style="1" customWidth="1"/>
    <col min="1788" max="1788" width="11.125" style="1" customWidth="1"/>
    <col min="1789" max="1789" width="11.625" style="1" customWidth="1"/>
    <col min="1790" max="2036" width="9" style="1" customWidth="1"/>
    <col min="2037" max="2037" width="13.875" style="1" customWidth="1"/>
    <col min="2038" max="2038" width="9.875" style="1" customWidth="1"/>
    <col min="2039" max="2039" width="8.375" style="1" customWidth="1"/>
    <col min="2040" max="2040" width="8.25" style="1" customWidth="1"/>
    <col min="2041" max="2041" width="5.625" style="1" customWidth="1"/>
    <col min="2042" max="2043" width="8.375" style="1" customWidth="1"/>
    <col min="2044" max="2044" width="11.125" style="1" customWidth="1"/>
    <col min="2045" max="2045" width="11.625" style="1" customWidth="1"/>
    <col min="2046" max="2292" width="9" style="1" customWidth="1"/>
    <col min="2293" max="2293" width="13.875" style="1" customWidth="1"/>
    <col min="2294" max="2294" width="9.875" style="1" customWidth="1"/>
    <col min="2295" max="2295" width="8.375" style="1" customWidth="1"/>
    <col min="2296" max="2296" width="8.25" style="1" customWidth="1"/>
    <col min="2297" max="2297" width="5.625" style="1" customWidth="1"/>
    <col min="2298" max="2299" width="8.375" style="1" customWidth="1"/>
    <col min="2300" max="2300" width="11.125" style="1" customWidth="1"/>
    <col min="2301" max="2301" width="11.625" style="1" customWidth="1"/>
    <col min="2302" max="2548" width="9" style="1" customWidth="1"/>
    <col min="2549" max="2549" width="13.875" style="1" customWidth="1"/>
    <col min="2550" max="2550" width="9.875" style="1" customWidth="1"/>
    <col min="2551" max="2551" width="8.375" style="1" customWidth="1"/>
    <col min="2552" max="2552" width="8.25" style="1" customWidth="1"/>
    <col min="2553" max="2553" width="5.625" style="1" customWidth="1"/>
    <col min="2554" max="2555" width="8.375" style="1" customWidth="1"/>
    <col min="2556" max="2556" width="11.125" style="1" customWidth="1"/>
    <col min="2557" max="2557" width="11.625" style="1" customWidth="1"/>
    <col min="2558" max="2804" width="9" style="1" customWidth="1"/>
    <col min="2805" max="2805" width="13.875" style="1" customWidth="1"/>
    <col min="2806" max="2806" width="9.875" style="1" customWidth="1"/>
    <col min="2807" max="2807" width="8.375" style="1" customWidth="1"/>
    <col min="2808" max="2808" width="8.25" style="1" customWidth="1"/>
    <col min="2809" max="2809" width="5.625" style="1" customWidth="1"/>
    <col min="2810" max="2811" width="8.375" style="1" customWidth="1"/>
    <col min="2812" max="2812" width="11.125" style="1" customWidth="1"/>
    <col min="2813" max="2813" width="11.625" style="1" customWidth="1"/>
    <col min="2814" max="3060" width="9" style="1" customWidth="1"/>
    <col min="3061" max="3061" width="13.875" style="1" customWidth="1"/>
    <col min="3062" max="3062" width="9.875" style="1" customWidth="1"/>
    <col min="3063" max="3063" width="8.375" style="1" customWidth="1"/>
    <col min="3064" max="3064" width="8.25" style="1" customWidth="1"/>
    <col min="3065" max="3065" width="5.625" style="1" customWidth="1"/>
    <col min="3066" max="3067" width="8.375" style="1" customWidth="1"/>
    <col min="3068" max="3068" width="11.125" style="1" customWidth="1"/>
    <col min="3069" max="3069" width="11.625" style="1" customWidth="1"/>
    <col min="3070" max="3316" width="9" style="1" customWidth="1"/>
    <col min="3317" max="3317" width="13.875" style="1" customWidth="1"/>
    <col min="3318" max="3318" width="9.875" style="1" customWidth="1"/>
    <col min="3319" max="3319" width="8.375" style="1" customWidth="1"/>
    <col min="3320" max="3320" width="8.25" style="1" customWidth="1"/>
    <col min="3321" max="3321" width="5.625" style="1" customWidth="1"/>
    <col min="3322" max="3323" width="8.375" style="1" customWidth="1"/>
    <col min="3324" max="3324" width="11.125" style="1" customWidth="1"/>
    <col min="3325" max="3325" width="11.625" style="1" customWidth="1"/>
    <col min="3326" max="3572" width="9" style="1" customWidth="1"/>
    <col min="3573" max="3573" width="13.875" style="1" customWidth="1"/>
    <col min="3574" max="3574" width="9.875" style="1" customWidth="1"/>
    <col min="3575" max="3575" width="8.375" style="1" customWidth="1"/>
    <col min="3576" max="3576" width="8.25" style="1" customWidth="1"/>
    <col min="3577" max="3577" width="5.625" style="1" customWidth="1"/>
    <col min="3578" max="3579" width="8.375" style="1" customWidth="1"/>
    <col min="3580" max="3580" width="11.125" style="1" customWidth="1"/>
    <col min="3581" max="3581" width="11.625" style="1" customWidth="1"/>
    <col min="3582" max="3828" width="9" style="1" customWidth="1"/>
    <col min="3829" max="3829" width="13.875" style="1" customWidth="1"/>
    <col min="3830" max="3830" width="9.875" style="1" customWidth="1"/>
    <col min="3831" max="3831" width="8.375" style="1" customWidth="1"/>
    <col min="3832" max="3832" width="8.25" style="1" customWidth="1"/>
    <col min="3833" max="3833" width="5.625" style="1" customWidth="1"/>
    <col min="3834" max="3835" width="8.375" style="1" customWidth="1"/>
    <col min="3836" max="3836" width="11.125" style="1" customWidth="1"/>
    <col min="3837" max="3837" width="11.625" style="1" customWidth="1"/>
    <col min="3838" max="4084" width="9" style="1" customWidth="1"/>
    <col min="4085" max="4085" width="13.875" style="1" customWidth="1"/>
    <col min="4086" max="4086" width="9.875" style="1" customWidth="1"/>
    <col min="4087" max="4087" width="8.375" style="1" customWidth="1"/>
    <col min="4088" max="4088" width="8.25" style="1" customWidth="1"/>
    <col min="4089" max="4089" width="5.625" style="1" customWidth="1"/>
    <col min="4090" max="4091" width="8.375" style="1" customWidth="1"/>
    <col min="4092" max="4092" width="11.125" style="1" customWidth="1"/>
    <col min="4093" max="4093" width="11.625" style="1" customWidth="1"/>
    <col min="4094" max="4340" width="9" style="1" customWidth="1"/>
    <col min="4341" max="4341" width="13.875" style="1" customWidth="1"/>
    <col min="4342" max="4342" width="9.875" style="1" customWidth="1"/>
    <col min="4343" max="4343" width="8.375" style="1" customWidth="1"/>
    <col min="4344" max="4344" width="8.25" style="1" customWidth="1"/>
    <col min="4345" max="4345" width="5.625" style="1" customWidth="1"/>
    <col min="4346" max="4347" width="8.375" style="1" customWidth="1"/>
    <col min="4348" max="4348" width="11.125" style="1" customWidth="1"/>
    <col min="4349" max="4349" width="11.625" style="1" customWidth="1"/>
    <col min="4350" max="4596" width="9" style="1" customWidth="1"/>
    <col min="4597" max="4597" width="13.875" style="1" customWidth="1"/>
    <col min="4598" max="4598" width="9.875" style="1" customWidth="1"/>
    <col min="4599" max="4599" width="8.375" style="1" customWidth="1"/>
    <col min="4600" max="4600" width="8.25" style="1" customWidth="1"/>
    <col min="4601" max="4601" width="5.625" style="1" customWidth="1"/>
    <col min="4602" max="4603" width="8.375" style="1" customWidth="1"/>
    <col min="4604" max="4604" width="11.125" style="1" customWidth="1"/>
    <col min="4605" max="4605" width="11.625" style="1" customWidth="1"/>
    <col min="4606" max="4852" width="9" style="1" customWidth="1"/>
    <col min="4853" max="4853" width="13.875" style="1" customWidth="1"/>
    <col min="4854" max="4854" width="9.875" style="1" customWidth="1"/>
    <col min="4855" max="4855" width="8.375" style="1" customWidth="1"/>
    <col min="4856" max="4856" width="8.25" style="1" customWidth="1"/>
    <col min="4857" max="4857" width="5.625" style="1" customWidth="1"/>
    <col min="4858" max="4859" width="8.375" style="1" customWidth="1"/>
    <col min="4860" max="4860" width="11.125" style="1" customWidth="1"/>
    <col min="4861" max="4861" width="11.625" style="1" customWidth="1"/>
    <col min="4862" max="5108" width="9" style="1" customWidth="1"/>
    <col min="5109" max="5109" width="13.875" style="1" customWidth="1"/>
    <col min="5110" max="5110" width="9.875" style="1" customWidth="1"/>
    <col min="5111" max="5111" width="8.375" style="1" customWidth="1"/>
    <col min="5112" max="5112" width="8.25" style="1" customWidth="1"/>
    <col min="5113" max="5113" width="5.625" style="1" customWidth="1"/>
    <col min="5114" max="5115" width="8.375" style="1" customWidth="1"/>
    <col min="5116" max="5116" width="11.125" style="1" customWidth="1"/>
    <col min="5117" max="5117" width="11.625" style="1" customWidth="1"/>
    <col min="5118" max="5364" width="9" style="1" customWidth="1"/>
    <col min="5365" max="5365" width="13.875" style="1" customWidth="1"/>
    <col min="5366" max="5366" width="9.875" style="1" customWidth="1"/>
    <col min="5367" max="5367" width="8.375" style="1" customWidth="1"/>
    <col min="5368" max="5368" width="8.25" style="1" customWidth="1"/>
    <col min="5369" max="5369" width="5.625" style="1" customWidth="1"/>
    <col min="5370" max="5371" width="8.375" style="1" customWidth="1"/>
    <col min="5372" max="5372" width="11.125" style="1" customWidth="1"/>
    <col min="5373" max="5373" width="11.625" style="1" customWidth="1"/>
    <col min="5374" max="5620" width="9" style="1" customWidth="1"/>
    <col min="5621" max="5621" width="13.875" style="1" customWidth="1"/>
    <col min="5622" max="5622" width="9.875" style="1" customWidth="1"/>
    <col min="5623" max="5623" width="8.375" style="1" customWidth="1"/>
    <col min="5624" max="5624" width="8.25" style="1" customWidth="1"/>
    <col min="5625" max="5625" width="5.625" style="1" customWidth="1"/>
    <col min="5626" max="5627" width="8.375" style="1" customWidth="1"/>
    <col min="5628" max="5628" width="11.125" style="1" customWidth="1"/>
    <col min="5629" max="5629" width="11.625" style="1" customWidth="1"/>
    <col min="5630" max="5876" width="9" style="1" customWidth="1"/>
    <col min="5877" max="5877" width="13.875" style="1" customWidth="1"/>
    <col min="5878" max="5878" width="9.875" style="1" customWidth="1"/>
    <col min="5879" max="5879" width="8.375" style="1" customWidth="1"/>
    <col min="5880" max="5880" width="8.25" style="1" customWidth="1"/>
    <col min="5881" max="5881" width="5.625" style="1" customWidth="1"/>
    <col min="5882" max="5883" width="8.375" style="1" customWidth="1"/>
    <col min="5884" max="5884" width="11.125" style="1" customWidth="1"/>
    <col min="5885" max="5885" width="11.625" style="1" customWidth="1"/>
    <col min="5886" max="6132" width="9" style="1" customWidth="1"/>
    <col min="6133" max="6133" width="13.875" style="1" customWidth="1"/>
    <col min="6134" max="6134" width="9.875" style="1" customWidth="1"/>
    <col min="6135" max="6135" width="8.375" style="1" customWidth="1"/>
    <col min="6136" max="6136" width="8.25" style="1" customWidth="1"/>
    <col min="6137" max="6137" width="5.625" style="1" customWidth="1"/>
    <col min="6138" max="6139" width="8.375" style="1" customWidth="1"/>
    <col min="6140" max="6140" width="11.125" style="1" customWidth="1"/>
    <col min="6141" max="6141" width="11.625" style="1" customWidth="1"/>
    <col min="6142" max="6388" width="9" style="1" customWidth="1"/>
    <col min="6389" max="6389" width="13.875" style="1" customWidth="1"/>
    <col min="6390" max="6390" width="9.875" style="1" customWidth="1"/>
    <col min="6391" max="6391" width="8.375" style="1" customWidth="1"/>
    <col min="6392" max="6392" width="8.25" style="1" customWidth="1"/>
    <col min="6393" max="6393" width="5.625" style="1" customWidth="1"/>
    <col min="6394" max="6395" width="8.375" style="1" customWidth="1"/>
    <col min="6396" max="6396" width="11.125" style="1" customWidth="1"/>
    <col min="6397" max="6397" width="11.625" style="1" customWidth="1"/>
    <col min="6398" max="6644" width="9" style="1" customWidth="1"/>
    <col min="6645" max="6645" width="13.875" style="1" customWidth="1"/>
    <col min="6646" max="6646" width="9.875" style="1" customWidth="1"/>
    <col min="6647" max="6647" width="8.375" style="1" customWidth="1"/>
    <col min="6648" max="6648" width="8.25" style="1" customWidth="1"/>
    <col min="6649" max="6649" width="5.625" style="1" customWidth="1"/>
    <col min="6650" max="6651" width="8.375" style="1" customWidth="1"/>
    <col min="6652" max="6652" width="11.125" style="1" customWidth="1"/>
    <col min="6653" max="6653" width="11.625" style="1" customWidth="1"/>
    <col min="6654" max="6900" width="9" style="1" customWidth="1"/>
    <col min="6901" max="6901" width="13.875" style="1" customWidth="1"/>
    <col min="6902" max="6902" width="9.875" style="1" customWidth="1"/>
    <col min="6903" max="6903" width="8.375" style="1" customWidth="1"/>
    <col min="6904" max="6904" width="8.25" style="1" customWidth="1"/>
    <col min="6905" max="6905" width="5.625" style="1" customWidth="1"/>
    <col min="6906" max="6907" width="8.375" style="1" customWidth="1"/>
    <col min="6908" max="6908" width="11.125" style="1" customWidth="1"/>
    <col min="6909" max="6909" width="11.625" style="1" customWidth="1"/>
    <col min="6910" max="7156" width="9" style="1" customWidth="1"/>
    <col min="7157" max="7157" width="13.875" style="1" customWidth="1"/>
    <col min="7158" max="7158" width="9.875" style="1" customWidth="1"/>
    <col min="7159" max="7159" width="8.375" style="1" customWidth="1"/>
    <col min="7160" max="7160" width="8.25" style="1" customWidth="1"/>
    <col min="7161" max="7161" width="5.625" style="1" customWidth="1"/>
    <col min="7162" max="7163" width="8.375" style="1" customWidth="1"/>
    <col min="7164" max="7164" width="11.125" style="1" customWidth="1"/>
    <col min="7165" max="7165" width="11.625" style="1" customWidth="1"/>
    <col min="7166" max="7412" width="9" style="1" customWidth="1"/>
    <col min="7413" max="7413" width="13.875" style="1" customWidth="1"/>
    <col min="7414" max="7414" width="9.875" style="1" customWidth="1"/>
    <col min="7415" max="7415" width="8.375" style="1" customWidth="1"/>
    <col min="7416" max="7416" width="8.25" style="1" customWidth="1"/>
    <col min="7417" max="7417" width="5.625" style="1" customWidth="1"/>
    <col min="7418" max="7419" width="8.375" style="1" customWidth="1"/>
    <col min="7420" max="7420" width="11.125" style="1" customWidth="1"/>
    <col min="7421" max="7421" width="11.625" style="1" customWidth="1"/>
    <col min="7422" max="7668" width="9" style="1" customWidth="1"/>
    <col min="7669" max="7669" width="13.875" style="1" customWidth="1"/>
    <col min="7670" max="7670" width="9.875" style="1" customWidth="1"/>
    <col min="7671" max="7671" width="8.375" style="1" customWidth="1"/>
    <col min="7672" max="7672" width="8.25" style="1" customWidth="1"/>
    <col min="7673" max="7673" width="5.625" style="1" customWidth="1"/>
    <col min="7674" max="7675" width="8.375" style="1" customWidth="1"/>
    <col min="7676" max="7676" width="11.125" style="1" customWidth="1"/>
    <col min="7677" max="7677" width="11.625" style="1" customWidth="1"/>
    <col min="7678" max="7924" width="9" style="1" customWidth="1"/>
    <col min="7925" max="7925" width="13.875" style="1" customWidth="1"/>
    <col min="7926" max="7926" width="9.875" style="1" customWidth="1"/>
    <col min="7927" max="7927" width="8.375" style="1" customWidth="1"/>
    <col min="7928" max="7928" width="8.25" style="1" customWidth="1"/>
    <col min="7929" max="7929" width="5.625" style="1" customWidth="1"/>
    <col min="7930" max="7931" width="8.375" style="1" customWidth="1"/>
    <col min="7932" max="7932" width="11.125" style="1" customWidth="1"/>
    <col min="7933" max="7933" width="11.625" style="1" customWidth="1"/>
    <col min="7934" max="8180" width="9" style="1" customWidth="1"/>
    <col min="8181" max="8181" width="13.875" style="1" customWidth="1"/>
    <col min="8182" max="8182" width="9.875" style="1" customWidth="1"/>
    <col min="8183" max="8183" width="8.375" style="1" customWidth="1"/>
    <col min="8184" max="8184" width="8.25" style="1" customWidth="1"/>
    <col min="8185" max="8185" width="5.625" style="1" customWidth="1"/>
    <col min="8186" max="8187" width="8.375" style="1" customWidth="1"/>
    <col min="8188" max="8188" width="11.125" style="1" customWidth="1"/>
    <col min="8189" max="8189" width="11.625" style="1" customWidth="1"/>
    <col min="8190" max="8436" width="9" style="1" customWidth="1"/>
    <col min="8437" max="8437" width="13.875" style="1" customWidth="1"/>
    <col min="8438" max="8438" width="9.875" style="1" customWidth="1"/>
    <col min="8439" max="8439" width="8.375" style="1" customWidth="1"/>
    <col min="8440" max="8440" width="8.25" style="1" customWidth="1"/>
    <col min="8441" max="8441" width="5.625" style="1" customWidth="1"/>
    <col min="8442" max="8443" width="8.375" style="1" customWidth="1"/>
    <col min="8444" max="8444" width="11.125" style="1" customWidth="1"/>
    <col min="8445" max="8445" width="11.625" style="1" customWidth="1"/>
    <col min="8446" max="8692" width="9" style="1" customWidth="1"/>
    <col min="8693" max="8693" width="13.875" style="1" customWidth="1"/>
    <col min="8694" max="8694" width="9.875" style="1" customWidth="1"/>
    <col min="8695" max="8695" width="8.375" style="1" customWidth="1"/>
    <col min="8696" max="8696" width="8.25" style="1" customWidth="1"/>
    <col min="8697" max="8697" width="5.625" style="1" customWidth="1"/>
    <col min="8698" max="8699" width="8.375" style="1" customWidth="1"/>
    <col min="8700" max="8700" width="11.125" style="1" customWidth="1"/>
    <col min="8701" max="8701" width="11.625" style="1" customWidth="1"/>
    <col min="8702" max="8948" width="9" style="1" customWidth="1"/>
    <col min="8949" max="8949" width="13.875" style="1" customWidth="1"/>
    <col min="8950" max="8950" width="9.875" style="1" customWidth="1"/>
    <col min="8951" max="8951" width="8.375" style="1" customWidth="1"/>
    <col min="8952" max="8952" width="8.25" style="1" customWidth="1"/>
    <col min="8953" max="8953" width="5.625" style="1" customWidth="1"/>
    <col min="8954" max="8955" width="8.375" style="1" customWidth="1"/>
    <col min="8956" max="8956" width="11.125" style="1" customWidth="1"/>
    <col min="8957" max="8957" width="11.625" style="1" customWidth="1"/>
    <col min="8958" max="9204" width="9" style="1" customWidth="1"/>
    <col min="9205" max="9205" width="13.875" style="1" customWidth="1"/>
    <col min="9206" max="9206" width="9.875" style="1" customWidth="1"/>
    <col min="9207" max="9207" width="8.375" style="1" customWidth="1"/>
    <col min="9208" max="9208" width="8.25" style="1" customWidth="1"/>
    <col min="9209" max="9209" width="5.625" style="1" customWidth="1"/>
    <col min="9210" max="9211" width="8.375" style="1" customWidth="1"/>
    <col min="9212" max="9212" width="11.125" style="1" customWidth="1"/>
    <col min="9213" max="9213" width="11.625" style="1" customWidth="1"/>
    <col min="9214" max="9460" width="9" style="1" customWidth="1"/>
    <col min="9461" max="9461" width="13.875" style="1" customWidth="1"/>
    <col min="9462" max="9462" width="9.875" style="1" customWidth="1"/>
    <col min="9463" max="9463" width="8.375" style="1" customWidth="1"/>
    <col min="9464" max="9464" width="8.25" style="1" customWidth="1"/>
    <col min="9465" max="9465" width="5.625" style="1" customWidth="1"/>
    <col min="9466" max="9467" width="8.375" style="1" customWidth="1"/>
    <col min="9468" max="9468" width="11.125" style="1" customWidth="1"/>
    <col min="9469" max="9469" width="11.625" style="1" customWidth="1"/>
    <col min="9470" max="9716" width="9" style="1" customWidth="1"/>
    <col min="9717" max="9717" width="13.875" style="1" customWidth="1"/>
    <col min="9718" max="9718" width="9.875" style="1" customWidth="1"/>
    <col min="9719" max="9719" width="8.375" style="1" customWidth="1"/>
    <col min="9720" max="9720" width="8.25" style="1" customWidth="1"/>
    <col min="9721" max="9721" width="5.625" style="1" customWidth="1"/>
    <col min="9722" max="9723" width="8.375" style="1" customWidth="1"/>
    <col min="9724" max="9724" width="11.125" style="1" customWidth="1"/>
    <col min="9725" max="9725" width="11.625" style="1" customWidth="1"/>
    <col min="9726" max="9972" width="9" style="1" customWidth="1"/>
    <col min="9973" max="9973" width="13.875" style="1" customWidth="1"/>
    <col min="9974" max="9974" width="9.875" style="1" customWidth="1"/>
    <col min="9975" max="9975" width="8.375" style="1" customWidth="1"/>
    <col min="9976" max="9976" width="8.25" style="1" customWidth="1"/>
    <col min="9977" max="9977" width="5.625" style="1" customWidth="1"/>
    <col min="9978" max="9979" width="8.375" style="1" customWidth="1"/>
    <col min="9980" max="9980" width="11.125" style="1" customWidth="1"/>
    <col min="9981" max="9981" width="11.625" style="1" customWidth="1"/>
    <col min="9982" max="10228" width="9" style="1" customWidth="1"/>
    <col min="10229" max="10229" width="13.875" style="1" customWidth="1"/>
    <col min="10230" max="10230" width="9.875" style="1" customWidth="1"/>
    <col min="10231" max="10231" width="8.375" style="1" customWidth="1"/>
    <col min="10232" max="10232" width="8.25" style="1" customWidth="1"/>
    <col min="10233" max="10233" width="5.625" style="1" customWidth="1"/>
    <col min="10234" max="10235" width="8.375" style="1" customWidth="1"/>
    <col min="10236" max="10236" width="11.125" style="1" customWidth="1"/>
    <col min="10237" max="10237" width="11.625" style="1" customWidth="1"/>
    <col min="10238" max="10484" width="9" style="1" customWidth="1"/>
    <col min="10485" max="10485" width="13.875" style="1" customWidth="1"/>
    <col min="10486" max="10486" width="9.875" style="1" customWidth="1"/>
    <col min="10487" max="10487" width="8.375" style="1" customWidth="1"/>
    <col min="10488" max="10488" width="8.25" style="1" customWidth="1"/>
    <col min="10489" max="10489" width="5.625" style="1" customWidth="1"/>
    <col min="10490" max="10491" width="8.375" style="1" customWidth="1"/>
    <col min="10492" max="10492" width="11.125" style="1" customWidth="1"/>
    <col min="10493" max="10493" width="11.625" style="1" customWidth="1"/>
    <col min="10494" max="10740" width="9" style="1" customWidth="1"/>
    <col min="10741" max="10741" width="13.875" style="1" customWidth="1"/>
    <col min="10742" max="10742" width="9.875" style="1" customWidth="1"/>
    <col min="10743" max="10743" width="8.375" style="1" customWidth="1"/>
    <col min="10744" max="10744" width="8.25" style="1" customWidth="1"/>
    <col min="10745" max="10745" width="5.625" style="1" customWidth="1"/>
    <col min="10746" max="10747" width="8.375" style="1" customWidth="1"/>
    <col min="10748" max="10748" width="11.125" style="1" customWidth="1"/>
    <col min="10749" max="10749" width="11.625" style="1" customWidth="1"/>
    <col min="10750" max="10996" width="9" style="1" customWidth="1"/>
    <col min="10997" max="10997" width="13.875" style="1" customWidth="1"/>
    <col min="10998" max="10998" width="9.875" style="1" customWidth="1"/>
    <col min="10999" max="10999" width="8.375" style="1" customWidth="1"/>
    <col min="11000" max="11000" width="8.25" style="1" customWidth="1"/>
    <col min="11001" max="11001" width="5.625" style="1" customWidth="1"/>
    <col min="11002" max="11003" width="8.375" style="1" customWidth="1"/>
    <col min="11004" max="11004" width="11.125" style="1" customWidth="1"/>
    <col min="11005" max="11005" width="11.625" style="1" customWidth="1"/>
    <col min="11006" max="11252" width="9" style="1" customWidth="1"/>
    <col min="11253" max="11253" width="13.875" style="1" customWidth="1"/>
    <col min="11254" max="11254" width="9.875" style="1" customWidth="1"/>
    <col min="11255" max="11255" width="8.375" style="1" customWidth="1"/>
    <col min="11256" max="11256" width="8.25" style="1" customWidth="1"/>
    <col min="11257" max="11257" width="5.625" style="1" customWidth="1"/>
    <col min="11258" max="11259" width="8.375" style="1" customWidth="1"/>
    <col min="11260" max="11260" width="11.125" style="1" customWidth="1"/>
    <col min="11261" max="11261" width="11.625" style="1" customWidth="1"/>
    <col min="11262" max="11508" width="9" style="1" customWidth="1"/>
    <col min="11509" max="11509" width="13.875" style="1" customWidth="1"/>
    <col min="11510" max="11510" width="9.875" style="1" customWidth="1"/>
    <col min="11511" max="11511" width="8.375" style="1" customWidth="1"/>
    <col min="11512" max="11512" width="8.25" style="1" customWidth="1"/>
    <col min="11513" max="11513" width="5.625" style="1" customWidth="1"/>
    <col min="11514" max="11515" width="8.375" style="1" customWidth="1"/>
    <col min="11516" max="11516" width="11.125" style="1" customWidth="1"/>
    <col min="11517" max="11517" width="11.625" style="1" customWidth="1"/>
    <col min="11518" max="11764" width="9" style="1" customWidth="1"/>
    <col min="11765" max="11765" width="13.875" style="1" customWidth="1"/>
    <col min="11766" max="11766" width="9.875" style="1" customWidth="1"/>
    <col min="11767" max="11767" width="8.375" style="1" customWidth="1"/>
    <col min="11768" max="11768" width="8.25" style="1" customWidth="1"/>
    <col min="11769" max="11769" width="5.625" style="1" customWidth="1"/>
    <col min="11770" max="11771" width="8.375" style="1" customWidth="1"/>
    <col min="11772" max="11772" width="11.125" style="1" customWidth="1"/>
    <col min="11773" max="11773" width="11.625" style="1" customWidth="1"/>
    <col min="11774" max="12020" width="9" style="1" customWidth="1"/>
    <col min="12021" max="12021" width="13.875" style="1" customWidth="1"/>
    <col min="12022" max="12022" width="9.875" style="1" customWidth="1"/>
    <col min="12023" max="12023" width="8.375" style="1" customWidth="1"/>
    <col min="12024" max="12024" width="8.25" style="1" customWidth="1"/>
    <col min="12025" max="12025" width="5.625" style="1" customWidth="1"/>
    <col min="12026" max="12027" width="8.375" style="1" customWidth="1"/>
    <col min="12028" max="12028" width="11.125" style="1" customWidth="1"/>
    <col min="12029" max="12029" width="11.625" style="1" customWidth="1"/>
    <col min="12030" max="12276" width="9" style="1" customWidth="1"/>
    <col min="12277" max="12277" width="13.875" style="1" customWidth="1"/>
    <col min="12278" max="12278" width="9.875" style="1" customWidth="1"/>
    <col min="12279" max="12279" width="8.375" style="1" customWidth="1"/>
    <col min="12280" max="12280" width="8.25" style="1" customWidth="1"/>
    <col min="12281" max="12281" width="5.625" style="1" customWidth="1"/>
    <col min="12282" max="12283" width="8.375" style="1" customWidth="1"/>
    <col min="12284" max="12284" width="11.125" style="1" customWidth="1"/>
    <col min="12285" max="12285" width="11.625" style="1" customWidth="1"/>
    <col min="12286" max="12532" width="9" style="1" customWidth="1"/>
    <col min="12533" max="12533" width="13.875" style="1" customWidth="1"/>
    <col min="12534" max="12534" width="9.875" style="1" customWidth="1"/>
    <col min="12535" max="12535" width="8.375" style="1" customWidth="1"/>
    <col min="12536" max="12536" width="8.25" style="1" customWidth="1"/>
    <col min="12537" max="12537" width="5.625" style="1" customWidth="1"/>
    <col min="12538" max="12539" width="8.375" style="1" customWidth="1"/>
    <col min="12540" max="12540" width="11.125" style="1" customWidth="1"/>
    <col min="12541" max="12541" width="11.625" style="1" customWidth="1"/>
    <col min="12542" max="12788" width="9" style="1" customWidth="1"/>
    <col min="12789" max="12789" width="13.875" style="1" customWidth="1"/>
    <col min="12790" max="12790" width="9.875" style="1" customWidth="1"/>
    <col min="12791" max="12791" width="8.375" style="1" customWidth="1"/>
    <col min="12792" max="12792" width="8.25" style="1" customWidth="1"/>
    <col min="12793" max="12793" width="5.625" style="1" customWidth="1"/>
    <col min="12794" max="12795" width="8.375" style="1" customWidth="1"/>
    <col min="12796" max="12796" width="11.125" style="1" customWidth="1"/>
    <col min="12797" max="12797" width="11.625" style="1" customWidth="1"/>
    <col min="12798" max="13044" width="9" style="1" customWidth="1"/>
    <col min="13045" max="13045" width="13.875" style="1" customWidth="1"/>
    <col min="13046" max="13046" width="9.875" style="1" customWidth="1"/>
    <col min="13047" max="13047" width="8.375" style="1" customWidth="1"/>
    <col min="13048" max="13048" width="8.25" style="1" customWidth="1"/>
    <col min="13049" max="13049" width="5.625" style="1" customWidth="1"/>
    <col min="13050" max="13051" width="8.375" style="1" customWidth="1"/>
    <col min="13052" max="13052" width="11.125" style="1" customWidth="1"/>
    <col min="13053" max="13053" width="11.625" style="1" customWidth="1"/>
    <col min="13054" max="13300" width="9" style="1" customWidth="1"/>
    <col min="13301" max="13301" width="13.875" style="1" customWidth="1"/>
    <col min="13302" max="13302" width="9.875" style="1" customWidth="1"/>
    <col min="13303" max="13303" width="8.375" style="1" customWidth="1"/>
    <col min="13304" max="13304" width="8.25" style="1" customWidth="1"/>
    <col min="13305" max="13305" width="5.625" style="1" customWidth="1"/>
    <col min="13306" max="13307" width="8.375" style="1" customWidth="1"/>
    <col min="13308" max="13308" width="11.125" style="1" customWidth="1"/>
    <col min="13309" max="13309" width="11.625" style="1" customWidth="1"/>
    <col min="13310" max="13556" width="9" style="1" customWidth="1"/>
    <col min="13557" max="13557" width="13.875" style="1" customWidth="1"/>
    <col min="13558" max="13558" width="9.875" style="1" customWidth="1"/>
    <col min="13559" max="13559" width="8.375" style="1" customWidth="1"/>
    <col min="13560" max="13560" width="8.25" style="1" customWidth="1"/>
    <col min="13561" max="13561" width="5.625" style="1" customWidth="1"/>
    <col min="13562" max="13563" width="8.375" style="1" customWidth="1"/>
    <col min="13564" max="13564" width="11.125" style="1" customWidth="1"/>
    <col min="13565" max="13565" width="11.625" style="1" customWidth="1"/>
    <col min="13566" max="13812" width="9" style="1" customWidth="1"/>
    <col min="13813" max="13813" width="13.875" style="1" customWidth="1"/>
    <col min="13814" max="13814" width="9.875" style="1" customWidth="1"/>
    <col min="13815" max="13815" width="8.375" style="1" customWidth="1"/>
    <col min="13816" max="13816" width="8.25" style="1" customWidth="1"/>
    <col min="13817" max="13817" width="5.625" style="1" customWidth="1"/>
    <col min="13818" max="13819" width="8.375" style="1" customWidth="1"/>
    <col min="13820" max="13820" width="11.125" style="1" customWidth="1"/>
    <col min="13821" max="13821" width="11.625" style="1" customWidth="1"/>
    <col min="13822" max="14068" width="9" style="1" customWidth="1"/>
    <col min="14069" max="14069" width="13.875" style="1" customWidth="1"/>
    <col min="14070" max="14070" width="9.875" style="1" customWidth="1"/>
    <col min="14071" max="14071" width="8.375" style="1" customWidth="1"/>
    <col min="14072" max="14072" width="8.25" style="1" customWidth="1"/>
    <col min="14073" max="14073" width="5.625" style="1" customWidth="1"/>
    <col min="14074" max="14075" width="8.375" style="1" customWidth="1"/>
    <col min="14076" max="14076" width="11.125" style="1" customWidth="1"/>
    <col min="14077" max="14077" width="11.625" style="1" customWidth="1"/>
    <col min="14078" max="14324" width="9" style="1" customWidth="1"/>
    <col min="14325" max="14325" width="13.875" style="1" customWidth="1"/>
    <col min="14326" max="14326" width="9.875" style="1" customWidth="1"/>
    <col min="14327" max="14327" width="8.375" style="1" customWidth="1"/>
    <col min="14328" max="14328" width="8.25" style="1" customWidth="1"/>
    <col min="14329" max="14329" width="5.625" style="1" customWidth="1"/>
    <col min="14330" max="14331" width="8.375" style="1" customWidth="1"/>
    <col min="14332" max="14332" width="11.125" style="1" customWidth="1"/>
    <col min="14333" max="14333" width="11.625" style="1" customWidth="1"/>
    <col min="14334" max="14580" width="9" style="1" customWidth="1"/>
    <col min="14581" max="14581" width="13.875" style="1" customWidth="1"/>
    <col min="14582" max="14582" width="9.875" style="1" customWidth="1"/>
    <col min="14583" max="14583" width="8.375" style="1" customWidth="1"/>
    <col min="14584" max="14584" width="8.25" style="1" customWidth="1"/>
    <col min="14585" max="14585" width="5.625" style="1" customWidth="1"/>
    <col min="14586" max="14587" width="8.375" style="1" customWidth="1"/>
    <col min="14588" max="14588" width="11.125" style="1" customWidth="1"/>
    <col min="14589" max="14589" width="11.625" style="1" customWidth="1"/>
    <col min="14590" max="14836" width="9" style="1" customWidth="1"/>
    <col min="14837" max="14837" width="13.875" style="1" customWidth="1"/>
    <col min="14838" max="14838" width="9.875" style="1" customWidth="1"/>
    <col min="14839" max="14839" width="8.375" style="1" customWidth="1"/>
    <col min="14840" max="14840" width="8.25" style="1" customWidth="1"/>
    <col min="14841" max="14841" width="5.625" style="1" customWidth="1"/>
    <col min="14842" max="14843" width="8.375" style="1" customWidth="1"/>
    <col min="14844" max="14844" width="11.125" style="1" customWidth="1"/>
    <col min="14845" max="14845" width="11.625" style="1" customWidth="1"/>
    <col min="14846" max="15092" width="9" style="1" customWidth="1"/>
    <col min="15093" max="15093" width="13.875" style="1" customWidth="1"/>
    <col min="15094" max="15094" width="9.875" style="1" customWidth="1"/>
    <col min="15095" max="15095" width="8.375" style="1" customWidth="1"/>
    <col min="15096" max="15096" width="8.25" style="1" customWidth="1"/>
    <col min="15097" max="15097" width="5.625" style="1" customWidth="1"/>
    <col min="15098" max="15099" width="8.375" style="1" customWidth="1"/>
    <col min="15100" max="15100" width="11.125" style="1" customWidth="1"/>
    <col min="15101" max="15101" width="11.625" style="1" customWidth="1"/>
    <col min="15102" max="15348" width="9" style="1" customWidth="1"/>
    <col min="15349" max="15349" width="13.875" style="1" customWidth="1"/>
    <col min="15350" max="15350" width="9.875" style="1" customWidth="1"/>
    <col min="15351" max="15351" width="8.375" style="1" customWidth="1"/>
    <col min="15352" max="15352" width="8.25" style="1" customWidth="1"/>
    <col min="15353" max="15353" width="5.625" style="1" customWidth="1"/>
    <col min="15354" max="15355" width="8.375" style="1" customWidth="1"/>
    <col min="15356" max="15356" width="11.125" style="1" customWidth="1"/>
    <col min="15357" max="15357" width="11.625" style="1" customWidth="1"/>
    <col min="15358" max="15604" width="9" style="1" customWidth="1"/>
    <col min="15605" max="15605" width="13.875" style="1" customWidth="1"/>
    <col min="15606" max="15606" width="9.875" style="1" customWidth="1"/>
    <col min="15607" max="15607" width="8.375" style="1" customWidth="1"/>
    <col min="15608" max="15608" width="8.25" style="1" customWidth="1"/>
    <col min="15609" max="15609" width="5.625" style="1" customWidth="1"/>
    <col min="15610" max="15611" width="8.375" style="1" customWidth="1"/>
    <col min="15612" max="15612" width="11.125" style="1" customWidth="1"/>
    <col min="15613" max="15613" width="11.625" style="1" customWidth="1"/>
    <col min="15614" max="15860" width="9" style="1" customWidth="1"/>
    <col min="15861" max="15861" width="13.875" style="1" customWidth="1"/>
    <col min="15862" max="15862" width="9.875" style="1" customWidth="1"/>
    <col min="15863" max="15863" width="8.375" style="1" customWidth="1"/>
    <col min="15864" max="15864" width="8.25" style="1" customWidth="1"/>
    <col min="15865" max="15865" width="5.625" style="1" customWidth="1"/>
    <col min="15866" max="15867" width="8.375" style="1" customWidth="1"/>
    <col min="15868" max="15868" width="11.125" style="1" customWidth="1"/>
    <col min="15869" max="15869" width="11.625" style="1" customWidth="1"/>
    <col min="15870" max="16116" width="9" style="1" customWidth="1"/>
    <col min="16117" max="16117" width="13.875" style="1" customWidth="1"/>
    <col min="16118" max="16118" width="9.875" style="1" customWidth="1"/>
    <col min="16119" max="16119" width="8.375" style="1" customWidth="1"/>
    <col min="16120" max="16120" width="8.25" style="1" customWidth="1"/>
    <col min="16121" max="16121" width="5.625" style="1" customWidth="1"/>
    <col min="16122" max="16123" width="8.375" style="1" customWidth="1"/>
    <col min="16124" max="16124" width="11.125" style="1" customWidth="1"/>
    <col min="16125" max="16125" width="11.625" style="1" customWidth="1"/>
    <col min="16126" max="16384" width="9" style="1" customWidth="1"/>
  </cols>
  <sheetData>
    <row r="1" ht="27.95" customHeight="1" spans="1:25" s="3" customFormat="1" x14ac:dyDescent="0.25">
      <c r="A1" s="372" t="s">
        <v>93</v>
      </c>
      <c r="B1" s="372"/>
      <c r="C1" s="372"/>
      <c r="D1" s="372"/>
      <c r="E1" s="372"/>
      <c r="F1" s="372"/>
      <c r="G1" s="372"/>
      <c r="H1" s="372"/>
      <c r="I1" s="37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334" t="s">
        <v>25</v>
      </c>
      <c r="B2" s="334"/>
      <c r="C2" s="334"/>
      <c r="D2" s="334"/>
      <c r="E2" s="334"/>
      <c r="F2" s="334"/>
      <c r="G2" s="334"/>
      <c r="H2" s="334"/>
      <c r="I2" s="33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x14ac:dyDescent="0.25">
      <c r="A4" s="212" t="s">
        <v>94</v>
      </c>
      <c r="B4" s="212"/>
      <c r="C4" s="212"/>
      <c r="D4" s="212"/>
      <c r="E4" s="212"/>
      <c r="F4" s="212"/>
      <c r="G4" s="212"/>
      <c r="H4" s="212"/>
      <c r="I4" s="2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94" t="s">
        <v>95</v>
      </c>
      <c r="B5" s="194"/>
      <c r="C5" s="194"/>
      <c r="D5" s="194"/>
      <c r="E5" s="194"/>
      <c r="F5" s="194"/>
      <c r="G5" s="194"/>
      <c r="H5" s="194"/>
      <c r="I5" s="19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 customHeight="1" spans="1:25" x14ac:dyDescent="0.25">
      <c r="A6" s="194"/>
      <c r="B6" s="194"/>
      <c r="C6" s="194"/>
      <c r="D6" s="194"/>
      <c r="E6" s="194"/>
      <c r="F6" s="194"/>
      <c r="G6" s="194"/>
      <c r="H6" s="194"/>
      <c r="I6" s="8" t="s">
        <v>96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22.5" customHeight="1" spans="1:25" x14ac:dyDescent="0.25">
      <c r="A7" s="3" t="s">
        <v>97</v>
      </c>
      <c r="B7" s="3"/>
      <c r="C7" s="3"/>
      <c r="D7" s="3" t="s">
        <v>4</v>
      </c>
      <c r="E7" s="194" t="str">
        <f>'OS-OUT'!H6</f>
        <v>2606S</v>
      </c>
      <c r="F7" s="194"/>
      <c r="G7" s="8" t="s">
        <v>5</v>
      </c>
      <c r="H7" s="214">
        <f>'OS-OUT'!L6</f>
        <v>46214</v>
      </c>
      <c r="I7" s="2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22.5" customHeight="1" spans="1:25" x14ac:dyDescent="0.25">
      <c r="A8" s="3" t="s">
        <v>98</v>
      </c>
      <c r="B8" s="3"/>
      <c r="C8" s="3"/>
      <c r="D8" s="373" t="s">
        <v>7</v>
      </c>
      <c r="E8" s="194">
        <v>7</v>
      </c>
      <c r="F8" s="194"/>
      <c r="G8" s="8" t="s">
        <v>8</v>
      </c>
      <c r="H8" s="14" t="s">
        <v>99</v>
      </c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9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1" customHeight="1" spans="1:25" x14ac:dyDescent="0.25">
      <c r="A10" s="374" t="s">
        <v>100</v>
      </c>
      <c r="B10" s="374" t="s">
        <v>87</v>
      </c>
      <c r="C10" s="374" t="s">
        <v>83</v>
      </c>
      <c r="D10" s="172" t="s">
        <v>101</v>
      </c>
      <c r="E10" s="207"/>
      <c r="F10" s="172" t="s">
        <v>102</v>
      </c>
      <c r="G10" s="207"/>
      <c r="H10" s="330" t="s">
        <v>103</v>
      </c>
      <c r="I10" s="374" t="s">
        <v>51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1" customHeight="1" spans="1:25" x14ac:dyDescent="0.25">
      <c r="A11" s="32"/>
      <c r="B11" s="32"/>
      <c r="C11" s="32"/>
      <c r="D11" s="375" t="s">
        <v>104</v>
      </c>
      <c r="E11" s="376"/>
      <c r="F11" s="377" t="s">
        <v>105</v>
      </c>
      <c r="G11" s="375" t="s">
        <v>106</v>
      </c>
      <c r="H11" s="378" t="s">
        <v>107</v>
      </c>
      <c r="I11" s="3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0.1" customHeight="1" spans="1:25" x14ac:dyDescent="0.25">
      <c r="A12" s="379"/>
      <c r="B12" s="380"/>
      <c r="C12" s="381"/>
      <c r="D12" s="269"/>
      <c r="E12" s="270"/>
      <c r="F12" s="382"/>
      <c r="G12" s="383"/>
      <c r="H12" s="384"/>
      <c r="I12" s="38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20.1" customHeight="1" spans="1:25" x14ac:dyDescent="0.25">
      <c r="A13" s="386"/>
      <c r="B13" s="387"/>
      <c r="C13" s="387"/>
      <c r="D13" s="172"/>
      <c r="E13" s="207"/>
      <c r="F13" s="382"/>
      <c r="G13" s="382"/>
      <c r="H13" s="388"/>
      <c r="I13" s="38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0.1" customHeight="1" spans="1:25" x14ac:dyDescent="0.25">
      <c r="A14" s="386"/>
      <c r="B14" s="387"/>
      <c r="C14" s="387"/>
      <c r="D14" s="172"/>
      <c r="E14" s="207"/>
      <c r="F14" s="382"/>
      <c r="G14" s="382"/>
      <c r="H14" s="388"/>
      <c r="I14" s="38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0.1" customHeight="1" spans="1:25" x14ac:dyDescent="0.25">
      <c r="A15" s="386"/>
      <c r="B15" s="387"/>
      <c r="C15" s="387"/>
      <c r="D15" s="172"/>
      <c r="E15" s="207"/>
      <c r="F15" s="382"/>
      <c r="G15" s="382"/>
      <c r="H15" s="388"/>
      <c r="I15" s="38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0.1" customHeight="1" spans="1:25" x14ac:dyDescent="0.25">
      <c r="A16" s="390"/>
      <c r="B16" s="391"/>
      <c r="C16" s="391"/>
      <c r="D16" s="178"/>
      <c r="E16" s="205"/>
      <c r="F16" s="392"/>
      <c r="G16" s="392"/>
      <c r="H16" s="393"/>
      <c r="I16" s="39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0.1" customHeight="1" spans="1:25" x14ac:dyDescent="0.25">
      <c r="A17" s="395"/>
      <c r="B17" s="396"/>
      <c r="C17" s="396"/>
      <c r="D17" s="195"/>
      <c r="E17" s="56"/>
      <c r="F17" s="397"/>
      <c r="G17" s="398"/>
      <c r="H17" s="388"/>
      <c r="I17" s="39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0.1" customHeight="1" spans="1:25" x14ac:dyDescent="0.25">
      <c r="A18" s="386"/>
      <c r="B18" s="400"/>
      <c r="C18" s="400"/>
      <c r="D18" s="172"/>
      <c r="E18" s="207"/>
      <c r="F18" s="382"/>
      <c r="G18" s="382"/>
      <c r="H18" s="388"/>
      <c r="I18" s="38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0.1" customHeight="1" spans="1:25" x14ac:dyDescent="0.25">
      <c r="A19" s="401"/>
      <c r="B19" s="401"/>
      <c r="C19" s="401"/>
      <c r="D19" s="172"/>
      <c r="E19" s="207"/>
      <c r="F19" s="382"/>
      <c r="G19" s="382"/>
      <c r="H19" s="388"/>
      <c r="I19" s="40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0.1" customHeight="1" spans="1:25" x14ac:dyDescent="0.25">
      <c r="A20" s="401"/>
      <c r="B20" s="401"/>
      <c r="C20" s="401"/>
      <c r="D20" s="172"/>
      <c r="E20" s="207"/>
      <c r="F20" s="382"/>
      <c r="G20" s="382"/>
      <c r="H20" s="388"/>
      <c r="I20" s="40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0.1" customHeight="1" spans="1:25" x14ac:dyDescent="0.25">
      <c r="A21" s="402"/>
      <c r="B21" s="402"/>
      <c r="C21" s="402"/>
      <c r="D21" s="178"/>
      <c r="E21" s="205"/>
      <c r="F21" s="392"/>
      <c r="G21" s="392"/>
      <c r="H21" s="393"/>
      <c r="I21" s="40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0.1" customHeight="1" spans="1:25" x14ac:dyDescent="0.25">
      <c r="A22" s="403"/>
      <c r="B22" s="403"/>
      <c r="C22" s="403"/>
      <c r="D22" s="29"/>
      <c r="E22" s="27"/>
      <c r="F22" s="397"/>
      <c r="G22" s="398"/>
      <c r="H22" s="404"/>
      <c r="I22" s="40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0.1" customHeight="1" spans="1:25" x14ac:dyDescent="0.25">
      <c r="A23" s="401"/>
      <c r="B23" s="401"/>
      <c r="C23" s="401"/>
      <c r="D23" s="172"/>
      <c r="E23" s="207"/>
      <c r="F23" s="382"/>
      <c r="G23" s="382"/>
      <c r="H23" s="388"/>
      <c r="I23" s="40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0.1" customHeight="1" spans="1:25" x14ac:dyDescent="0.25">
      <c r="A24" s="401"/>
      <c r="B24" s="401"/>
      <c r="C24" s="401"/>
      <c r="D24" s="172"/>
      <c r="E24" s="207"/>
      <c r="F24" s="382"/>
      <c r="G24" s="382"/>
      <c r="H24" s="388"/>
      <c r="I24" s="40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0.1" customHeight="1" spans="1:25" x14ac:dyDescent="0.25">
      <c r="A25" s="401"/>
      <c r="B25" s="401"/>
      <c r="C25" s="401"/>
      <c r="D25" s="172"/>
      <c r="E25" s="207"/>
      <c r="F25" s="382"/>
      <c r="G25" s="382"/>
      <c r="H25" s="388"/>
      <c r="I25" s="40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0.1" customHeight="1" spans="1:25" x14ac:dyDescent="0.25">
      <c r="A26" s="405"/>
      <c r="B26" s="405"/>
      <c r="C26" s="405"/>
      <c r="D26" s="178"/>
      <c r="E26" s="205"/>
      <c r="F26" s="392"/>
      <c r="G26" s="392"/>
      <c r="H26" s="374"/>
      <c r="I26" s="40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0.1" customHeight="1" spans="1:25" x14ac:dyDescent="0.25">
      <c r="A27" s="406"/>
      <c r="B27" s="406"/>
      <c r="C27" s="406"/>
      <c r="D27" s="29"/>
      <c r="E27" s="27"/>
      <c r="F27" s="397"/>
      <c r="G27" s="398"/>
      <c r="H27" s="28"/>
      <c r="I27" s="40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0.1" customHeight="1" spans="1:25" x14ac:dyDescent="0.25">
      <c r="A28" s="401"/>
      <c r="B28" s="401"/>
      <c r="C28" s="401"/>
      <c r="D28" s="172"/>
      <c r="E28" s="207"/>
      <c r="F28" s="382"/>
      <c r="G28" s="382"/>
      <c r="H28" s="330"/>
      <c r="I28" s="40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0.1" customHeight="1" spans="1:25" x14ac:dyDescent="0.25">
      <c r="A29" s="407"/>
      <c r="B29" s="407"/>
      <c r="C29" s="407"/>
      <c r="D29" s="172"/>
      <c r="E29" s="207"/>
      <c r="F29" s="382"/>
      <c r="G29" s="382"/>
      <c r="H29" s="330"/>
      <c r="I29" s="40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0.1" customHeight="1" spans="1:25" x14ac:dyDescent="0.25">
      <c r="A30" s="407"/>
      <c r="B30" s="407"/>
      <c r="C30" s="407"/>
      <c r="D30" s="172"/>
      <c r="E30" s="207"/>
      <c r="F30" s="382"/>
      <c r="G30" s="382"/>
      <c r="H30" s="330"/>
      <c r="I30" s="40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0.1" customHeight="1" spans="1:25" x14ac:dyDescent="0.25">
      <c r="A31" s="409"/>
      <c r="B31" s="409"/>
      <c r="C31" s="409"/>
      <c r="D31" s="286"/>
      <c r="E31" s="207"/>
      <c r="F31" s="382"/>
      <c r="G31" s="382"/>
      <c r="H31" s="259"/>
      <c r="I31" s="36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6.95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5" customHeight="1" spans="1:25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 spans="1:25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 spans="1:25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 spans="1:25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 spans="1:25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 spans="1:25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 spans="1:25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 spans="1:25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5.95" customHeight="1" spans="1:25" x14ac:dyDescent="0.25">
      <c r="A41" s="208"/>
      <c r="B41" s="208"/>
      <c r="C41" s="3"/>
      <c r="D41" s="208"/>
      <c r="E41" s="208"/>
      <c r="F41" s="208"/>
      <c r="G41" s="3"/>
      <c r="H41" s="208"/>
      <c r="I41" s="20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8" customHeight="1" spans="1:25" x14ac:dyDescent="0.25">
      <c r="A42" s="210"/>
      <c r="B42" s="210"/>
      <c r="C42" s="40"/>
      <c r="D42" s="210"/>
      <c r="E42" s="210"/>
      <c r="F42" s="210"/>
      <c r="G42" s="40"/>
      <c r="H42" s="210"/>
      <c r="I42" s="2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5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25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25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25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25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25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25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25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25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25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25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25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25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25">
      <c r="A110" s="1"/>
      <c r="B110" s="1"/>
      <c r="C110" s="1"/>
      <c r="D110" s="1"/>
      <c r="E110" s="1"/>
      <c r="F110" s="1"/>
      <c r="G110" s="1"/>
      <c r="H110" s="1"/>
      <c r="I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</sheetData>
  <mergeCells count="15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60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61</v>
      </c>
      <c r="B6" s="213" t="str">
        <f>'OS-OUT'!모선이름</f>
        <v>SAWASDEE SPICA</v>
      </c>
      <c r="C6" s="3"/>
      <c r="D6" s="3"/>
      <c r="E6" s="3"/>
      <c r="F6" s="3"/>
      <c r="G6" s="3"/>
      <c r="H6" s="194" t="s">
        <v>62</v>
      </c>
      <c r="I6" s="194"/>
      <c r="J6" s="194" t="str">
        <f>'OS-OUT'!H6</f>
        <v>2606S</v>
      </c>
      <c r="K6" s="194"/>
      <c r="L6" s="3"/>
      <c r="M6" s="3"/>
      <c r="N6" s="3"/>
      <c r="O6" s="213" t="s">
        <v>63</v>
      </c>
      <c r="P6" s="214">
        <f>'OS-OUT'!L6</f>
        <v>46214</v>
      </c>
      <c r="Q6" s="214"/>
      <c r="R6" s="214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3" t="s">
        <v>64</v>
      </c>
      <c r="B8" s="213" t="s">
        <v>25</v>
      </c>
      <c r="C8" s="213"/>
      <c r="D8" s="213"/>
      <c r="E8" s="213"/>
      <c r="F8" s="3"/>
      <c r="G8" s="3"/>
      <c r="H8" s="194" t="s">
        <v>41</v>
      </c>
      <c r="I8" s="194"/>
      <c r="J8" s="194" t="s">
        <v>66</v>
      </c>
      <c r="K8" s="194"/>
      <c r="L8" s="3"/>
      <c r="M8" s="3"/>
      <c r="N8" s="3"/>
      <c r="O8" s="213" t="s">
        <v>73</v>
      </c>
      <c r="P8" s="333">
        <f>'Final Work'!작업선석</f>
        <v>7</v>
      </c>
      <c r="Q8" s="333"/>
      <c r="R8" s="333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19" t="s">
        <v>11</v>
      </c>
      <c r="B10" s="219" t="s">
        <v>43</v>
      </c>
      <c r="C10" s="220" t="s">
        <v>68</v>
      </c>
      <c r="D10" s="209"/>
      <c r="E10" s="221"/>
      <c r="F10" s="220" t="s">
        <v>69</v>
      </c>
      <c r="G10" s="209"/>
      <c r="H10" s="209"/>
      <c r="I10" s="221"/>
      <c r="J10" s="219" t="s">
        <v>70</v>
      </c>
      <c r="K10" s="219" t="s">
        <v>71</v>
      </c>
      <c r="L10" s="220" t="s">
        <v>74</v>
      </c>
      <c r="M10" s="209"/>
      <c r="N10" s="209"/>
      <c r="O10" s="209"/>
      <c r="P10" s="209"/>
      <c r="Q10" s="209"/>
      <c r="R10" s="221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25"/>
      <c r="B11" s="225"/>
      <c r="C11" s="226"/>
      <c r="D11" s="325"/>
      <c r="E11" s="227"/>
      <c r="F11" s="226"/>
      <c r="G11" s="325"/>
      <c r="H11" s="325"/>
      <c r="I11" s="227"/>
      <c r="J11" s="225" t="s">
        <v>52</v>
      </c>
      <c r="K11" s="225"/>
      <c r="L11" s="226"/>
      <c r="M11" s="325"/>
      <c r="N11" s="325"/>
      <c r="O11" s="325"/>
      <c r="P11" s="325"/>
      <c r="Q11" s="325"/>
      <c r="R11" s="227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53"/>
      <c r="B12" s="53"/>
      <c r="C12" s="269"/>
      <c r="D12" s="326"/>
      <c r="E12" s="270"/>
      <c r="F12" s="269"/>
      <c r="G12" s="326"/>
      <c r="H12" s="326"/>
      <c r="I12" s="270"/>
      <c r="J12" s="53"/>
      <c r="K12" s="53"/>
      <c r="L12" s="327"/>
      <c r="M12" s="328"/>
      <c r="N12" s="328"/>
      <c r="O12" s="328"/>
      <c r="P12" s="328"/>
      <c r="Q12" s="328"/>
      <c r="R12" s="329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330"/>
      <c r="B13" s="330"/>
      <c r="C13" s="172"/>
      <c r="D13" s="331"/>
      <c r="E13" s="207"/>
      <c r="F13" s="172"/>
      <c r="G13" s="331"/>
      <c r="H13" s="331"/>
      <c r="I13" s="207"/>
      <c r="J13" s="330"/>
      <c r="K13" s="330"/>
      <c r="L13" s="332"/>
      <c r="M13" s="332"/>
      <c r="N13" s="332"/>
      <c r="O13" s="332"/>
      <c r="P13" s="332"/>
      <c r="Q13" s="332"/>
      <c r="R13" s="332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330"/>
      <c r="B14" s="330"/>
      <c r="C14" s="172"/>
      <c r="D14" s="331"/>
      <c r="E14" s="207"/>
      <c r="F14" s="172"/>
      <c r="G14" s="331"/>
      <c r="H14" s="331"/>
      <c r="I14" s="207"/>
      <c r="J14" s="330"/>
      <c r="K14" s="330"/>
      <c r="L14" s="332"/>
      <c r="M14" s="332"/>
      <c r="N14" s="332"/>
      <c r="O14" s="332"/>
      <c r="P14" s="332"/>
      <c r="Q14" s="332"/>
      <c r="R14" s="332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330"/>
      <c r="B15" s="330"/>
      <c r="C15" s="172"/>
      <c r="D15" s="331"/>
      <c r="E15" s="207"/>
      <c r="F15" s="172"/>
      <c r="G15" s="331"/>
      <c r="H15" s="331"/>
      <c r="I15" s="207"/>
      <c r="J15" s="330"/>
      <c r="K15" s="330"/>
      <c r="L15" s="332"/>
      <c r="M15" s="332"/>
      <c r="N15" s="332"/>
      <c r="O15" s="332"/>
      <c r="P15" s="332"/>
      <c r="Q15" s="332"/>
      <c r="R15" s="332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330"/>
      <c r="B16" s="330"/>
      <c r="C16" s="172"/>
      <c r="D16" s="331"/>
      <c r="E16" s="207"/>
      <c r="F16" s="172"/>
      <c r="G16" s="331"/>
      <c r="H16" s="331"/>
      <c r="I16" s="207"/>
      <c r="J16" s="330"/>
      <c r="K16" s="330"/>
      <c r="L16" s="332"/>
      <c r="M16" s="332"/>
      <c r="N16" s="332"/>
      <c r="O16" s="332"/>
      <c r="P16" s="332"/>
      <c r="Q16" s="332"/>
      <c r="R16" s="332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330"/>
      <c r="B17" s="330"/>
      <c r="C17" s="172"/>
      <c r="D17" s="331"/>
      <c r="E17" s="207"/>
      <c r="F17" s="172"/>
      <c r="G17" s="331"/>
      <c r="H17" s="331"/>
      <c r="I17" s="207"/>
      <c r="J17" s="330"/>
      <c r="K17" s="330"/>
      <c r="L17" s="332"/>
      <c r="M17" s="332"/>
      <c r="N17" s="332"/>
      <c r="O17" s="332"/>
      <c r="P17" s="332"/>
      <c r="Q17" s="332"/>
      <c r="R17" s="332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330"/>
      <c r="B18" s="330"/>
      <c r="C18" s="172"/>
      <c r="D18" s="331"/>
      <c r="E18" s="207"/>
      <c r="F18" s="172"/>
      <c r="G18" s="331"/>
      <c r="H18" s="331"/>
      <c r="I18" s="207"/>
      <c r="J18" s="330"/>
      <c r="K18" s="330"/>
      <c r="L18" s="332"/>
      <c r="M18" s="332"/>
      <c r="N18" s="332"/>
      <c r="O18" s="332"/>
      <c r="P18" s="332"/>
      <c r="Q18" s="332"/>
      <c r="R18" s="332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330"/>
      <c r="B19" s="330"/>
      <c r="C19" s="172"/>
      <c r="D19" s="331"/>
      <c r="E19" s="207"/>
      <c r="F19" s="172"/>
      <c r="G19" s="331"/>
      <c r="H19" s="331"/>
      <c r="I19" s="207"/>
      <c r="J19" s="330"/>
      <c r="K19" s="330"/>
      <c r="L19" s="332"/>
      <c r="M19" s="332"/>
      <c r="N19" s="332"/>
      <c r="O19" s="332"/>
      <c r="P19" s="332"/>
      <c r="Q19" s="332"/>
      <c r="R19" s="332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330"/>
      <c r="B20" s="330"/>
      <c r="C20" s="172"/>
      <c r="D20" s="331"/>
      <c r="E20" s="207"/>
      <c r="F20" s="172"/>
      <c r="G20" s="331"/>
      <c r="H20" s="331"/>
      <c r="I20" s="207"/>
      <c r="J20" s="330"/>
      <c r="K20" s="330"/>
      <c r="L20" s="332"/>
      <c r="M20" s="332"/>
      <c r="N20" s="332"/>
      <c r="O20" s="332"/>
      <c r="P20" s="332"/>
      <c r="Q20" s="332"/>
      <c r="R20" s="332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330"/>
      <c r="B21" s="330"/>
      <c r="C21" s="172"/>
      <c r="D21" s="331"/>
      <c r="E21" s="207"/>
      <c r="F21" s="172"/>
      <c r="G21" s="331"/>
      <c r="H21" s="331"/>
      <c r="I21" s="207"/>
      <c r="J21" s="330"/>
      <c r="K21" s="330"/>
      <c r="L21" s="332"/>
      <c r="M21" s="332"/>
      <c r="N21" s="332"/>
      <c r="O21" s="332"/>
      <c r="P21" s="332"/>
      <c r="Q21" s="332"/>
      <c r="R21" s="332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330"/>
      <c r="B22" s="330"/>
      <c r="C22" s="172"/>
      <c r="D22" s="331"/>
      <c r="E22" s="207"/>
      <c r="F22" s="172"/>
      <c r="G22" s="331"/>
      <c r="H22" s="331"/>
      <c r="I22" s="207"/>
      <c r="J22" s="330"/>
      <c r="K22" s="330"/>
      <c r="L22" s="332"/>
      <c r="M22" s="332"/>
      <c r="N22" s="332"/>
      <c r="O22" s="332"/>
      <c r="P22" s="332"/>
      <c r="Q22" s="332"/>
      <c r="R22" s="332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330"/>
      <c r="B23" s="330"/>
      <c r="C23" s="172"/>
      <c r="D23" s="331"/>
      <c r="E23" s="207"/>
      <c r="F23" s="172"/>
      <c r="G23" s="331"/>
      <c r="H23" s="331"/>
      <c r="I23" s="207"/>
      <c r="J23" s="330"/>
      <c r="K23" s="330"/>
      <c r="L23" s="332"/>
      <c r="M23" s="332"/>
      <c r="N23" s="332"/>
      <c r="O23" s="332"/>
      <c r="P23" s="332"/>
      <c r="Q23" s="332"/>
      <c r="R23" s="332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330"/>
      <c r="B24" s="330"/>
      <c r="C24" s="172"/>
      <c r="D24" s="331"/>
      <c r="E24" s="207"/>
      <c r="F24" s="172"/>
      <c r="G24" s="331"/>
      <c r="H24" s="331"/>
      <c r="I24" s="207"/>
      <c r="J24" s="330"/>
      <c r="K24" s="330"/>
      <c r="L24" s="332"/>
      <c r="M24" s="332"/>
      <c r="N24" s="332"/>
      <c r="O24" s="332"/>
      <c r="P24" s="332"/>
      <c r="Q24" s="332"/>
      <c r="R24" s="332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330"/>
      <c r="B25" s="330"/>
      <c r="C25" s="172"/>
      <c r="D25" s="331"/>
      <c r="E25" s="207"/>
      <c r="F25" s="172"/>
      <c r="G25" s="331"/>
      <c r="H25" s="331"/>
      <c r="I25" s="207"/>
      <c r="J25" s="330"/>
      <c r="K25" s="330"/>
      <c r="L25" s="332"/>
      <c r="M25" s="332"/>
      <c r="N25" s="332"/>
      <c r="O25" s="332"/>
      <c r="P25" s="332"/>
      <c r="Q25" s="332"/>
      <c r="R25" s="332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330"/>
      <c r="B26" s="330"/>
      <c r="C26" s="172"/>
      <c r="D26" s="331"/>
      <c r="E26" s="207"/>
      <c r="F26" s="172"/>
      <c r="G26" s="331"/>
      <c r="H26" s="331"/>
      <c r="I26" s="207"/>
      <c r="J26" s="330"/>
      <c r="K26" s="330"/>
      <c r="L26" s="332"/>
      <c r="M26" s="332"/>
      <c r="N26" s="332"/>
      <c r="O26" s="332"/>
      <c r="P26" s="332"/>
      <c r="Q26" s="332"/>
      <c r="R26" s="332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330"/>
      <c r="B27" s="330"/>
      <c r="C27" s="172"/>
      <c r="D27" s="331"/>
      <c r="E27" s="207"/>
      <c r="F27" s="172"/>
      <c r="G27" s="331"/>
      <c r="H27" s="331"/>
      <c r="I27" s="207"/>
      <c r="J27" s="330"/>
      <c r="K27" s="330"/>
      <c r="L27" s="332"/>
      <c r="M27" s="332"/>
      <c r="N27" s="332"/>
      <c r="O27" s="332"/>
      <c r="P27" s="332"/>
      <c r="Q27" s="332"/>
      <c r="R27" s="332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330"/>
      <c r="B28" s="330"/>
      <c r="C28" s="172"/>
      <c r="D28" s="331"/>
      <c r="E28" s="207"/>
      <c r="F28" s="172"/>
      <c r="G28" s="331"/>
      <c r="H28" s="331"/>
      <c r="I28" s="207"/>
      <c r="J28" s="330"/>
      <c r="K28" s="330"/>
      <c r="L28" s="332"/>
      <c r="M28" s="332"/>
      <c r="N28" s="332"/>
      <c r="O28" s="332"/>
      <c r="P28" s="332"/>
      <c r="Q28" s="332"/>
      <c r="R28" s="332"/>
      <c r="S28" s="3"/>
      <c r="T28" s="3"/>
      <c r="U28" s="3"/>
      <c r="V28" s="3"/>
      <c r="W28" s="3"/>
      <c r="X28" s="3"/>
      <c r="Y28" s="3"/>
    </row>
    <row r="29" ht="18.9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x14ac:dyDescent="0.25">
      <c r="A31" s="208"/>
      <c r="B31" s="208"/>
      <c r="C31" s="208"/>
      <c r="D31" s="208"/>
      <c r="E31" s="3"/>
      <c r="F31" s="3"/>
      <c r="G31" s="3"/>
      <c r="H31" s="3"/>
      <c r="I31" s="208"/>
      <c r="J31" s="208"/>
      <c r="K31" s="208"/>
      <c r="L31" s="3"/>
      <c r="M31" s="3"/>
      <c r="N31" s="3"/>
      <c r="O31" s="208"/>
      <c r="P31" s="208"/>
      <c r="Q31" s="208"/>
      <c r="R31" s="208"/>
      <c r="S31" s="3"/>
      <c r="T31" s="3"/>
      <c r="U31" s="3"/>
      <c r="V31" s="3"/>
      <c r="W31" s="3"/>
      <c r="X31" s="3"/>
      <c r="Y31" s="3"/>
    </row>
    <row r="32" spans="1:25" x14ac:dyDescent="0.25">
      <c r="A32" s="209" t="s">
        <v>22</v>
      </c>
      <c r="B32" s="209"/>
      <c r="C32" s="209"/>
      <c r="D32" s="209"/>
      <c r="E32" s="3"/>
      <c r="F32" s="3"/>
      <c r="G32" s="3"/>
      <c r="H32" s="3"/>
      <c r="I32" s="209" t="s">
        <v>56</v>
      </c>
      <c r="J32" s="209"/>
      <c r="K32" s="209"/>
      <c r="L32" s="3"/>
      <c r="M32" s="3"/>
      <c r="N32" s="3"/>
      <c r="O32" s="209" t="s">
        <v>23</v>
      </c>
      <c r="P32" s="209"/>
      <c r="Q32" s="209"/>
      <c r="R32" s="209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5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1" width="7.25" style="1" customWidth="1"/>
    <col min="2" max="2" width="6.75" style="1" customWidth="1"/>
    <col min="3" max="3" width="7.625" style="1" customWidth="1"/>
    <col min="4" max="4" width="5.625" style="2" customWidth="1"/>
    <col min="5" max="15" width="5.625" style="1" customWidth="1"/>
    <col min="16" max="222" width="9" style="1" customWidth="1"/>
    <col min="223" max="224" width="7" style="1" customWidth="1"/>
    <col min="225" max="225" width="9.125" style="1" customWidth="1"/>
    <col min="226" max="234" width="7.125" style="1" customWidth="1"/>
    <col min="235" max="478" width="9" style="1" customWidth="1"/>
    <col min="479" max="480" width="7" style="1" customWidth="1"/>
    <col min="481" max="481" width="9.125" style="1" customWidth="1"/>
    <col min="482" max="490" width="7.125" style="1" customWidth="1"/>
    <col min="491" max="734" width="9" style="1" customWidth="1"/>
    <col min="735" max="736" width="7" style="1" customWidth="1"/>
    <col min="737" max="737" width="9.125" style="1" customWidth="1"/>
    <col min="738" max="746" width="7.125" style="1" customWidth="1"/>
    <col min="747" max="990" width="9" style="1" customWidth="1"/>
    <col min="991" max="992" width="7" style="1" customWidth="1"/>
    <col min="993" max="993" width="9.125" style="1" customWidth="1"/>
    <col min="994" max="1002" width="7.125" style="1" customWidth="1"/>
    <col min="1003" max="1246" width="9" style="1" customWidth="1"/>
    <col min="1247" max="1248" width="7" style="1" customWidth="1"/>
    <col min="1249" max="1249" width="9.125" style="1" customWidth="1"/>
    <col min="1250" max="1258" width="7.125" style="1" customWidth="1"/>
    <col min="1259" max="1502" width="9" style="1" customWidth="1"/>
    <col min="1503" max="1504" width="7" style="1" customWidth="1"/>
    <col min="1505" max="1505" width="9.125" style="1" customWidth="1"/>
    <col min="1506" max="1514" width="7.125" style="1" customWidth="1"/>
    <col min="1515" max="1758" width="9" style="1" customWidth="1"/>
    <col min="1759" max="1760" width="7" style="1" customWidth="1"/>
    <col min="1761" max="1761" width="9.125" style="1" customWidth="1"/>
    <col min="1762" max="1770" width="7.125" style="1" customWidth="1"/>
    <col min="1771" max="2014" width="9" style="1" customWidth="1"/>
    <col min="2015" max="2016" width="7" style="1" customWidth="1"/>
    <col min="2017" max="2017" width="9.125" style="1" customWidth="1"/>
    <col min="2018" max="2026" width="7.125" style="1" customWidth="1"/>
    <col min="2027" max="2270" width="9" style="1" customWidth="1"/>
    <col min="2271" max="2272" width="7" style="1" customWidth="1"/>
    <col min="2273" max="2273" width="9.125" style="1" customWidth="1"/>
    <col min="2274" max="2282" width="7.125" style="1" customWidth="1"/>
    <col min="2283" max="2526" width="9" style="1" customWidth="1"/>
    <col min="2527" max="2528" width="7" style="1" customWidth="1"/>
    <col min="2529" max="2529" width="9.125" style="1" customWidth="1"/>
    <col min="2530" max="2538" width="7.125" style="1" customWidth="1"/>
    <col min="2539" max="2782" width="9" style="1" customWidth="1"/>
    <col min="2783" max="2784" width="7" style="1" customWidth="1"/>
    <col min="2785" max="2785" width="9.125" style="1" customWidth="1"/>
    <col min="2786" max="2794" width="7.125" style="1" customWidth="1"/>
    <col min="2795" max="3038" width="9" style="1" customWidth="1"/>
    <col min="3039" max="3040" width="7" style="1" customWidth="1"/>
    <col min="3041" max="3041" width="9.125" style="1" customWidth="1"/>
    <col min="3042" max="3050" width="7.125" style="1" customWidth="1"/>
    <col min="3051" max="3294" width="9" style="1" customWidth="1"/>
    <col min="3295" max="3296" width="7" style="1" customWidth="1"/>
    <col min="3297" max="3297" width="9.125" style="1" customWidth="1"/>
    <col min="3298" max="3306" width="7.125" style="1" customWidth="1"/>
    <col min="3307" max="3550" width="9" style="1" customWidth="1"/>
    <col min="3551" max="3552" width="7" style="1" customWidth="1"/>
    <col min="3553" max="3553" width="9.125" style="1" customWidth="1"/>
    <col min="3554" max="3562" width="7.125" style="1" customWidth="1"/>
    <col min="3563" max="3806" width="9" style="1" customWidth="1"/>
    <col min="3807" max="3808" width="7" style="1" customWidth="1"/>
    <col min="3809" max="3809" width="9.125" style="1" customWidth="1"/>
    <col min="3810" max="3818" width="7.125" style="1" customWidth="1"/>
    <col min="3819" max="4062" width="9" style="1" customWidth="1"/>
    <col min="4063" max="4064" width="7" style="1" customWidth="1"/>
    <col min="4065" max="4065" width="9.125" style="1" customWidth="1"/>
    <col min="4066" max="4074" width="7.125" style="1" customWidth="1"/>
    <col min="4075" max="4318" width="9" style="1" customWidth="1"/>
    <col min="4319" max="4320" width="7" style="1" customWidth="1"/>
    <col min="4321" max="4321" width="9.125" style="1" customWidth="1"/>
    <col min="4322" max="4330" width="7.125" style="1" customWidth="1"/>
    <col min="4331" max="4574" width="9" style="1" customWidth="1"/>
    <col min="4575" max="4576" width="7" style="1" customWidth="1"/>
    <col min="4577" max="4577" width="9.125" style="1" customWidth="1"/>
    <col min="4578" max="4586" width="7.125" style="1" customWidth="1"/>
    <col min="4587" max="4830" width="9" style="1" customWidth="1"/>
    <col min="4831" max="4832" width="7" style="1" customWidth="1"/>
    <col min="4833" max="4833" width="9.125" style="1" customWidth="1"/>
    <col min="4834" max="4842" width="7.125" style="1" customWidth="1"/>
    <col min="4843" max="5086" width="9" style="1" customWidth="1"/>
    <col min="5087" max="5088" width="7" style="1" customWidth="1"/>
    <col min="5089" max="5089" width="9.125" style="1" customWidth="1"/>
    <col min="5090" max="5098" width="7.125" style="1" customWidth="1"/>
    <col min="5099" max="5342" width="9" style="1" customWidth="1"/>
    <col min="5343" max="5344" width="7" style="1" customWidth="1"/>
    <col min="5345" max="5345" width="9.125" style="1" customWidth="1"/>
    <col min="5346" max="5354" width="7.125" style="1" customWidth="1"/>
    <col min="5355" max="5598" width="9" style="1" customWidth="1"/>
    <col min="5599" max="5600" width="7" style="1" customWidth="1"/>
    <col min="5601" max="5601" width="9.125" style="1" customWidth="1"/>
    <col min="5602" max="5610" width="7.125" style="1" customWidth="1"/>
    <col min="5611" max="5854" width="9" style="1" customWidth="1"/>
    <col min="5855" max="5856" width="7" style="1" customWidth="1"/>
    <col min="5857" max="5857" width="9.125" style="1" customWidth="1"/>
    <col min="5858" max="5866" width="7.125" style="1" customWidth="1"/>
    <col min="5867" max="6110" width="9" style="1" customWidth="1"/>
    <col min="6111" max="6112" width="7" style="1" customWidth="1"/>
    <col min="6113" max="6113" width="9.125" style="1" customWidth="1"/>
    <col min="6114" max="6122" width="7.125" style="1" customWidth="1"/>
    <col min="6123" max="6366" width="9" style="1" customWidth="1"/>
    <col min="6367" max="6368" width="7" style="1" customWidth="1"/>
    <col min="6369" max="6369" width="9.125" style="1" customWidth="1"/>
    <col min="6370" max="6378" width="7.125" style="1" customWidth="1"/>
    <col min="6379" max="6622" width="9" style="1" customWidth="1"/>
    <col min="6623" max="6624" width="7" style="1" customWidth="1"/>
    <col min="6625" max="6625" width="9.125" style="1" customWidth="1"/>
    <col min="6626" max="6634" width="7.125" style="1" customWidth="1"/>
    <col min="6635" max="6878" width="9" style="1" customWidth="1"/>
    <col min="6879" max="6880" width="7" style="1" customWidth="1"/>
    <col min="6881" max="6881" width="9.125" style="1" customWidth="1"/>
    <col min="6882" max="6890" width="7.125" style="1" customWidth="1"/>
    <col min="6891" max="7134" width="9" style="1" customWidth="1"/>
    <col min="7135" max="7136" width="7" style="1" customWidth="1"/>
    <col min="7137" max="7137" width="9.125" style="1" customWidth="1"/>
    <col min="7138" max="7146" width="7.125" style="1" customWidth="1"/>
    <col min="7147" max="7390" width="9" style="1" customWidth="1"/>
    <col min="7391" max="7392" width="7" style="1" customWidth="1"/>
    <col min="7393" max="7393" width="9.125" style="1" customWidth="1"/>
    <col min="7394" max="7402" width="7.125" style="1" customWidth="1"/>
    <col min="7403" max="7646" width="9" style="1" customWidth="1"/>
    <col min="7647" max="7648" width="7" style="1" customWidth="1"/>
    <col min="7649" max="7649" width="9.125" style="1" customWidth="1"/>
    <col min="7650" max="7658" width="7.125" style="1" customWidth="1"/>
    <col min="7659" max="7902" width="9" style="1" customWidth="1"/>
    <col min="7903" max="7904" width="7" style="1" customWidth="1"/>
    <col min="7905" max="7905" width="9.125" style="1" customWidth="1"/>
    <col min="7906" max="7914" width="7.125" style="1" customWidth="1"/>
    <col min="7915" max="8158" width="9" style="1" customWidth="1"/>
    <col min="8159" max="8160" width="7" style="1" customWidth="1"/>
    <col min="8161" max="8161" width="9.125" style="1" customWidth="1"/>
    <col min="8162" max="8170" width="7.125" style="1" customWidth="1"/>
    <col min="8171" max="8414" width="9" style="1" customWidth="1"/>
    <col min="8415" max="8416" width="7" style="1" customWidth="1"/>
    <col min="8417" max="8417" width="9.125" style="1" customWidth="1"/>
    <col min="8418" max="8426" width="7.125" style="1" customWidth="1"/>
    <col min="8427" max="8670" width="9" style="1" customWidth="1"/>
    <col min="8671" max="8672" width="7" style="1" customWidth="1"/>
    <col min="8673" max="8673" width="9.125" style="1" customWidth="1"/>
    <col min="8674" max="8682" width="7.125" style="1" customWidth="1"/>
    <col min="8683" max="8926" width="9" style="1" customWidth="1"/>
    <col min="8927" max="8928" width="7" style="1" customWidth="1"/>
    <col min="8929" max="8929" width="9.125" style="1" customWidth="1"/>
    <col min="8930" max="8938" width="7.125" style="1" customWidth="1"/>
    <col min="8939" max="9182" width="9" style="1" customWidth="1"/>
    <col min="9183" max="9184" width="7" style="1" customWidth="1"/>
    <col min="9185" max="9185" width="9.125" style="1" customWidth="1"/>
    <col min="9186" max="9194" width="7.125" style="1" customWidth="1"/>
    <col min="9195" max="9438" width="9" style="1" customWidth="1"/>
    <col min="9439" max="9440" width="7" style="1" customWidth="1"/>
    <col min="9441" max="9441" width="9.125" style="1" customWidth="1"/>
    <col min="9442" max="9450" width="7.125" style="1" customWidth="1"/>
    <col min="9451" max="9694" width="9" style="1" customWidth="1"/>
    <col min="9695" max="9696" width="7" style="1" customWidth="1"/>
    <col min="9697" max="9697" width="9.125" style="1" customWidth="1"/>
    <col min="9698" max="9706" width="7.125" style="1" customWidth="1"/>
    <col min="9707" max="9950" width="9" style="1" customWidth="1"/>
    <col min="9951" max="9952" width="7" style="1" customWidth="1"/>
    <col min="9953" max="9953" width="9.125" style="1" customWidth="1"/>
    <col min="9954" max="9962" width="7.125" style="1" customWidth="1"/>
    <col min="9963" max="10206" width="9" style="1" customWidth="1"/>
    <col min="10207" max="10208" width="7" style="1" customWidth="1"/>
    <col min="10209" max="10209" width="9.125" style="1" customWidth="1"/>
    <col min="10210" max="10218" width="7.125" style="1" customWidth="1"/>
    <col min="10219" max="10462" width="9" style="1" customWidth="1"/>
    <col min="10463" max="10464" width="7" style="1" customWidth="1"/>
    <col min="10465" max="10465" width="9.125" style="1" customWidth="1"/>
    <col min="10466" max="10474" width="7.125" style="1" customWidth="1"/>
    <col min="10475" max="10718" width="9" style="1" customWidth="1"/>
    <col min="10719" max="10720" width="7" style="1" customWidth="1"/>
    <col min="10721" max="10721" width="9.125" style="1" customWidth="1"/>
    <col min="10722" max="10730" width="7.125" style="1" customWidth="1"/>
    <col min="10731" max="10974" width="9" style="1" customWidth="1"/>
    <col min="10975" max="10976" width="7" style="1" customWidth="1"/>
    <col min="10977" max="10977" width="9.125" style="1" customWidth="1"/>
    <col min="10978" max="10986" width="7.125" style="1" customWidth="1"/>
    <col min="10987" max="11230" width="9" style="1" customWidth="1"/>
    <col min="11231" max="11232" width="7" style="1" customWidth="1"/>
    <col min="11233" max="11233" width="9.125" style="1" customWidth="1"/>
    <col min="11234" max="11242" width="7.125" style="1" customWidth="1"/>
    <col min="11243" max="11486" width="9" style="1" customWidth="1"/>
    <col min="11487" max="11488" width="7" style="1" customWidth="1"/>
    <col min="11489" max="11489" width="9.125" style="1" customWidth="1"/>
    <col min="11490" max="11498" width="7.125" style="1" customWidth="1"/>
    <col min="11499" max="11742" width="9" style="1" customWidth="1"/>
    <col min="11743" max="11744" width="7" style="1" customWidth="1"/>
    <col min="11745" max="11745" width="9.125" style="1" customWidth="1"/>
    <col min="11746" max="11754" width="7.125" style="1" customWidth="1"/>
    <col min="11755" max="11998" width="9" style="1" customWidth="1"/>
    <col min="11999" max="12000" width="7" style="1" customWidth="1"/>
    <col min="12001" max="12001" width="9.125" style="1" customWidth="1"/>
    <col min="12002" max="12010" width="7.125" style="1" customWidth="1"/>
    <col min="12011" max="12254" width="9" style="1" customWidth="1"/>
    <col min="12255" max="12256" width="7" style="1" customWidth="1"/>
    <col min="12257" max="12257" width="9.125" style="1" customWidth="1"/>
    <col min="12258" max="12266" width="7.125" style="1" customWidth="1"/>
    <col min="12267" max="12510" width="9" style="1" customWidth="1"/>
    <col min="12511" max="12512" width="7" style="1" customWidth="1"/>
    <col min="12513" max="12513" width="9.125" style="1" customWidth="1"/>
    <col min="12514" max="12522" width="7.125" style="1" customWidth="1"/>
    <col min="12523" max="12766" width="9" style="1" customWidth="1"/>
    <col min="12767" max="12768" width="7" style="1" customWidth="1"/>
    <col min="12769" max="12769" width="9.125" style="1" customWidth="1"/>
    <col min="12770" max="12778" width="7.125" style="1" customWidth="1"/>
    <col min="12779" max="13022" width="9" style="1" customWidth="1"/>
    <col min="13023" max="13024" width="7" style="1" customWidth="1"/>
    <col min="13025" max="13025" width="9.125" style="1" customWidth="1"/>
    <col min="13026" max="13034" width="7.125" style="1" customWidth="1"/>
    <col min="13035" max="13278" width="9" style="1" customWidth="1"/>
    <col min="13279" max="13280" width="7" style="1" customWidth="1"/>
    <col min="13281" max="13281" width="9.125" style="1" customWidth="1"/>
    <col min="13282" max="13290" width="7.125" style="1" customWidth="1"/>
    <col min="13291" max="13534" width="9" style="1" customWidth="1"/>
    <col min="13535" max="13536" width="7" style="1" customWidth="1"/>
    <col min="13537" max="13537" width="9.125" style="1" customWidth="1"/>
    <col min="13538" max="13546" width="7.125" style="1" customWidth="1"/>
    <col min="13547" max="13790" width="9" style="1" customWidth="1"/>
    <col min="13791" max="13792" width="7" style="1" customWidth="1"/>
    <col min="13793" max="13793" width="9.125" style="1" customWidth="1"/>
    <col min="13794" max="13802" width="7.125" style="1" customWidth="1"/>
    <col min="13803" max="14046" width="9" style="1" customWidth="1"/>
    <col min="14047" max="14048" width="7" style="1" customWidth="1"/>
    <col min="14049" max="14049" width="9.125" style="1" customWidth="1"/>
    <col min="14050" max="14058" width="7.125" style="1" customWidth="1"/>
    <col min="14059" max="14302" width="9" style="1" customWidth="1"/>
    <col min="14303" max="14304" width="7" style="1" customWidth="1"/>
    <col min="14305" max="14305" width="9.125" style="1" customWidth="1"/>
    <col min="14306" max="14314" width="7.125" style="1" customWidth="1"/>
    <col min="14315" max="14558" width="9" style="1" customWidth="1"/>
    <col min="14559" max="14560" width="7" style="1" customWidth="1"/>
    <col min="14561" max="14561" width="9.125" style="1" customWidth="1"/>
    <col min="14562" max="14570" width="7.125" style="1" customWidth="1"/>
    <col min="14571" max="14814" width="9" style="1" customWidth="1"/>
    <col min="14815" max="14816" width="7" style="1" customWidth="1"/>
    <col min="14817" max="14817" width="9.125" style="1" customWidth="1"/>
    <col min="14818" max="14826" width="7.125" style="1" customWidth="1"/>
    <col min="14827" max="15070" width="9" style="1" customWidth="1"/>
    <col min="15071" max="15072" width="7" style="1" customWidth="1"/>
    <col min="15073" max="15073" width="9.125" style="1" customWidth="1"/>
    <col min="15074" max="15082" width="7.125" style="1" customWidth="1"/>
    <col min="15083" max="15326" width="9" style="1" customWidth="1"/>
    <col min="15327" max="15328" width="7" style="1" customWidth="1"/>
    <col min="15329" max="15329" width="9.125" style="1" customWidth="1"/>
    <col min="15330" max="15338" width="7.125" style="1" customWidth="1"/>
    <col min="15339" max="15582" width="9" style="1" customWidth="1"/>
    <col min="15583" max="15584" width="7" style="1" customWidth="1"/>
    <col min="15585" max="15585" width="9.125" style="1" customWidth="1"/>
    <col min="15586" max="15594" width="7.125" style="1" customWidth="1"/>
    <col min="15595" max="15838" width="9" style="1" customWidth="1"/>
    <col min="15839" max="15840" width="7" style="1" customWidth="1"/>
    <col min="15841" max="15841" width="9.125" style="1" customWidth="1"/>
    <col min="15842" max="15850" width="7.125" style="1" customWidth="1"/>
    <col min="15851" max="16094" width="9" style="1" customWidth="1"/>
    <col min="16095" max="16096" width="7" style="1" customWidth="1"/>
    <col min="16097" max="16097" width="9.125" style="1" customWidth="1"/>
    <col min="16098" max="16106" width="7.125" style="1" customWidth="1"/>
    <col min="16107" max="16384" width="9" style="1" customWidth="1"/>
  </cols>
  <sheetData>
    <row r="1" ht="40.1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5.1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8" t="s">
        <v>5</v>
      </c>
      <c r="L4" s="13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6"/>
      <c r="C6" s="1"/>
      <c r="D6" s="2"/>
      <c r="E6" s="17"/>
      <c r="F6" s="11" t="s">
        <v>7</v>
      </c>
      <c r="G6" s="12"/>
      <c r="H6" s="12"/>
      <c r="I6" s="12"/>
      <c r="J6" s="1"/>
      <c r="K6" s="8" t="s">
        <v>8</v>
      </c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5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(0)</v>
      </c>
      <c r="E8" s="25"/>
      <c r="F8" s="25"/>
      <c r="G8" s="25"/>
      <c r="H8" s="24" t="str">
        <f>+"LOAD ("&amp;H74+I74+J74+K74+H75+I75+J75+K75&amp;")"</f>
        <v>LOAD (613)</v>
      </c>
      <c r="I8" s="25"/>
      <c r="J8" s="25"/>
      <c r="K8" s="26"/>
      <c r="L8" s="27" t="str">
        <f>+"SHIFT ("&amp;L74+M74+N74+O74+L75+M75+N75+O75&amp;")"</f>
        <v>SHIFT (0)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5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6.15" customHeight="1" hidden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6.15" customHeight="1" hidden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6.15" customHeight="1" hidden="1" spans="1:25" s="40" customFormat="1" x14ac:dyDescent="0.25">
      <c r="A12" s="49"/>
      <c r="B12" s="50"/>
      <c r="C12" s="57" t="s">
        <v>17</v>
      </c>
      <c r="D12" s="58"/>
      <c r="E12" s="59"/>
      <c r="F12" s="59"/>
      <c r="G12" s="60"/>
      <c r="H12" s="58"/>
      <c r="I12" s="59"/>
      <c r="J12" s="59"/>
      <c r="K12" s="61"/>
      <c r="L12" s="62"/>
      <c r="M12" s="59"/>
      <c r="N12" s="59"/>
      <c r="O12" s="61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6.15" customHeight="1" hidden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50"/>
      <c r="C14" s="63" t="s">
        <v>17</v>
      </c>
      <c r="D14" s="58"/>
      <c r="E14" s="59"/>
      <c r="F14" s="59"/>
      <c r="G14" s="60"/>
      <c r="H14" s="58"/>
      <c r="I14" s="59"/>
      <c r="J14" s="59"/>
      <c r="K14" s="61"/>
      <c r="L14" s="62"/>
      <c r="M14" s="59"/>
      <c r="N14" s="59"/>
      <c r="O14" s="61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49"/>
      <c r="B15" s="50"/>
      <c r="C15" s="64" t="s">
        <v>18</v>
      </c>
      <c r="D15" s="65"/>
      <c r="E15" s="66"/>
      <c r="F15" s="66"/>
      <c r="G15" s="67"/>
      <c r="H15" s="65"/>
      <c r="I15" s="66"/>
      <c r="J15" s="66"/>
      <c r="K15" s="68"/>
      <c r="L15" s="69"/>
      <c r="M15" s="66"/>
      <c r="N15" s="66"/>
      <c r="O15" s="68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6.15" customHeight="1" spans="1:25" s="40" customFormat="1" x14ac:dyDescent="0.25">
      <c r="A16" s="49"/>
      <c r="B16" s="50"/>
      <c r="C16" s="70" t="s">
        <v>17</v>
      </c>
      <c r="D16" s="71"/>
      <c r="E16" s="72"/>
      <c r="F16" s="72"/>
      <c r="G16" s="73"/>
      <c r="H16" s="71"/>
      <c r="I16" s="72"/>
      <c r="J16" s="72"/>
      <c r="K16" s="74"/>
      <c r="L16" s="75"/>
      <c r="M16" s="72"/>
      <c r="N16" s="72"/>
      <c r="O16" s="74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6.15" customHeight="1" spans="1:25" s="40" customFormat="1" x14ac:dyDescent="0.25">
      <c r="A17" s="49"/>
      <c r="B17" s="50"/>
      <c r="C17" s="64" t="s">
        <v>18</v>
      </c>
      <c r="D17" s="65"/>
      <c r="E17" s="66"/>
      <c r="F17" s="66"/>
      <c r="G17" s="67"/>
      <c r="H17" s="65"/>
      <c r="I17" s="66"/>
      <c r="J17" s="66"/>
      <c r="K17" s="68"/>
      <c r="L17" s="69"/>
      <c r="M17" s="66"/>
      <c r="N17" s="66"/>
      <c r="O17" s="68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6.15" customHeight="1" spans="1:25" s="40" customFormat="1" x14ac:dyDescent="0.25">
      <c r="A18" s="49"/>
      <c r="B18" s="50"/>
      <c r="C18" s="63" t="s">
        <v>17</v>
      </c>
      <c r="D18" s="58"/>
      <c r="E18" s="59"/>
      <c r="F18" s="59"/>
      <c r="G18" s="60"/>
      <c r="H18" s="58"/>
      <c r="I18" s="59"/>
      <c r="J18" s="59"/>
      <c r="K18" s="61"/>
      <c r="L18" s="62"/>
      <c r="M18" s="59"/>
      <c r="N18" s="59"/>
      <c r="O18" s="61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6.15" customHeight="1" spans="1:25" s="40" customFormat="1" x14ac:dyDescent="0.25">
      <c r="A19" s="49"/>
      <c r="B19" s="50"/>
      <c r="C19" s="64" t="s">
        <v>18</v>
      </c>
      <c r="D19" s="65"/>
      <c r="E19" s="66"/>
      <c r="F19" s="66"/>
      <c r="G19" s="67"/>
      <c r="H19" s="65"/>
      <c r="I19" s="66"/>
      <c r="J19" s="66"/>
      <c r="K19" s="68"/>
      <c r="L19" s="69"/>
      <c r="M19" s="66"/>
      <c r="N19" s="66"/>
      <c r="O19" s="68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6.15" customHeight="1" spans="1:25" s="40" customFormat="1" x14ac:dyDescent="0.25">
      <c r="A20" s="49"/>
      <c r="B20" s="50"/>
      <c r="C20" s="63" t="s">
        <v>17</v>
      </c>
      <c r="D20" s="58"/>
      <c r="E20" s="59"/>
      <c r="F20" s="59"/>
      <c r="G20" s="60"/>
      <c r="H20" s="58"/>
      <c r="I20" s="59"/>
      <c r="J20" s="59"/>
      <c r="K20" s="61"/>
      <c r="L20" s="62"/>
      <c r="M20" s="59"/>
      <c r="N20" s="59"/>
      <c r="O20" s="61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6.15" customHeight="1" spans="1:25" s="40" customFormat="1" x14ac:dyDescent="0.25">
      <c r="A21" s="76"/>
      <c r="B21" s="77"/>
      <c r="C21" s="78" t="s">
        <v>18</v>
      </c>
      <c r="D21" s="79"/>
      <c r="E21" s="80"/>
      <c r="F21" s="80"/>
      <c r="G21" s="81"/>
      <c r="H21" s="79"/>
      <c r="I21" s="80"/>
      <c r="J21" s="80"/>
      <c r="K21" s="82"/>
      <c r="L21" s="83"/>
      <c r="M21" s="80"/>
      <c r="N21" s="80"/>
      <c r="O21" s="8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6.15" customHeight="1" hidden="1" spans="1:25" s="40" customFormat="1" x14ac:dyDescent="0.25">
      <c r="A22" s="84"/>
      <c r="B22" s="85"/>
      <c r="C22" s="86" t="s">
        <v>17</v>
      </c>
      <c r="D22" s="71"/>
      <c r="E22" s="72"/>
      <c r="F22" s="72"/>
      <c r="G22" s="73"/>
      <c r="H22" s="71"/>
      <c r="I22" s="72"/>
      <c r="J22" s="72"/>
      <c r="K22" s="74"/>
      <c r="L22" s="75"/>
      <c r="M22" s="72"/>
      <c r="N22" s="72"/>
      <c r="O22" s="74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6.15" customHeight="1" hidden="1" spans="1:25" s="40" customFormat="1" x14ac:dyDescent="0.25">
      <c r="A23" s="49"/>
      <c r="B23" s="50"/>
      <c r="C23" s="51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6.15" customHeight="1" hidden="1" spans="1:25" s="40" customFormat="1" x14ac:dyDescent="0.25">
      <c r="A24" s="49"/>
      <c r="B24" s="50"/>
      <c r="C24" s="86" t="s">
        <v>17</v>
      </c>
      <c r="D24" s="71"/>
      <c r="E24" s="72"/>
      <c r="F24" s="72"/>
      <c r="G24" s="74"/>
      <c r="H24" s="71"/>
      <c r="I24" s="72"/>
      <c r="J24" s="72"/>
      <c r="K24" s="74"/>
      <c r="L24" s="75"/>
      <c r="M24" s="72"/>
      <c r="N24" s="72"/>
      <c r="O24" s="74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6.15" customHeight="1" hidden="1" spans="1:25" s="40" customFormat="1" x14ac:dyDescent="0.25">
      <c r="A25" s="49"/>
      <c r="B25" s="5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50"/>
      <c r="C26" s="70" t="s">
        <v>17</v>
      </c>
      <c r="D26" s="71"/>
      <c r="E26" s="72"/>
      <c r="F26" s="72"/>
      <c r="G26" s="74"/>
      <c r="H26" s="71"/>
      <c r="I26" s="72"/>
      <c r="J26" s="72"/>
      <c r="K26" s="74"/>
      <c r="L26" s="75"/>
      <c r="M26" s="72"/>
      <c r="N26" s="72"/>
      <c r="O26" s="74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49"/>
      <c r="B27" s="50"/>
      <c r="C27" s="87" t="s">
        <v>18</v>
      </c>
      <c r="D27" s="52"/>
      <c r="E27" s="53"/>
      <c r="F27" s="53"/>
      <c r="G27" s="55"/>
      <c r="H27" s="52"/>
      <c r="I27" s="53"/>
      <c r="J27" s="53"/>
      <c r="K27" s="55"/>
      <c r="L27" s="56"/>
      <c r="M27" s="53"/>
      <c r="N27" s="53"/>
      <c r="O27" s="55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6.15" customHeight="1" spans="1:25" s="40" customFormat="1" x14ac:dyDescent="0.25">
      <c r="A28" s="49"/>
      <c r="B28" s="50"/>
      <c r="C28" s="70" t="s">
        <v>17</v>
      </c>
      <c r="D28" s="88"/>
      <c r="E28" s="89"/>
      <c r="F28" s="89"/>
      <c r="G28" s="90"/>
      <c r="H28" s="88"/>
      <c r="I28" s="89"/>
      <c r="J28" s="89"/>
      <c r="K28" s="91"/>
      <c r="L28" s="92"/>
      <c r="M28" s="89"/>
      <c r="N28" s="89"/>
      <c r="O28" s="91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6.15" customHeight="1" spans="1:25" s="40" customFormat="1" x14ac:dyDescent="0.25">
      <c r="A29" s="49"/>
      <c r="B29" s="50"/>
      <c r="C29" s="87" t="s">
        <v>18</v>
      </c>
      <c r="D29" s="88"/>
      <c r="E29" s="89"/>
      <c r="F29" s="89"/>
      <c r="G29" s="90"/>
      <c r="H29" s="88"/>
      <c r="I29" s="89"/>
      <c r="J29" s="89"/>
      <c r="K29" s="91"/>
      <c r="L29" s="92"/>
      <c r="M29" s="89"/>
      <c r="N29" s="89"/>
      <c r="O29" s="91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6.15" customHeight="1" spans="1:25" s="40" customFormat="1" x14ac:dyDescent="0.25">
      <c r="A30" s="49"/>
      <c r="B30" s="50"/>
      <c r="C30" s="63" t="s">
        <v>17</v>
      </c>
      <c r="D30" s="58"/>
      <c r="E30" s="59"/>
      <c r="F30" s="59"/>
      <c r="G30" s="60"/>
      <c r="H30" s="58"/>
      <c r="I30" s="59"/>
      <c r="J30" s="59"/>
      <c r="K30" s="61"/>
      <c r="L30" s="62"/>
      <c r="M30" s="59"/>
      <c r="N30" s="59"/>
      <c r="O30" s="61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6.15" customHeight="1" spans="1:25" s="40" customFormat="1" x14ac:dyDescent="0.25">
      <c r="A31" s="49"/>
      <c r="B31" s="50"/>
      <c r="C31" s="87" t="s">
        <v>18</v>
      </c>
      <c r="D31" s="52"/>
      <c r="E31" s="53"/>
      <c r="F31" s="53"/>
      <c r="G31" s="54"/>
      <c r="H31" s="52"/>
      <c r="I31" s="53"/>
      <c r="J31" s="53"/>
      <c r="K31" s="55"/>
      <c r="L31" s="56"/>
      <c r="M31" s="53"/>
      <c r="N31" s="53"/>
      <c r="O31" s="55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6.15" customHeight="1" spans="1:25" s="40" customFormat="1" x14ac:dyDescent="0.25">
      <c r="A32" s="49"/>
      <c r="B32" s="50"/>
      <c r="C32" s="63" t="s">
        <v>17</v>
      </c>
      <c r="D32" s="58"/>
      <c r="E32" s="59"/>
      <c r="F32" s="59"/>
      <c r="G32" s="60"/>
      <c r="H32" s="58"/>
      <c r="I32" s="59"/>
      <c r="J32" s="59"/>
      <c r="K32" s="61"/>
      <c r="L32" s="62"/>
      <c r="M32" s="59"/>
      <c r="N32" s="59"/>
      <c r="O32" s="61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6.15" customHeight="1" spans="1:25" s="40" customFormat="1" x14ac:dyDescent="0.25">
      <c r="A33" s="76"/>
      <c r="B33" s="77"/>
      <c r="C33" s="93" t="s">
        <v>18</v>
      </c>
      <c r="D33" s="94"/>
      <c r="E33" s="95"/>
      <c r="F33" s="95"/>
      <c r="G33" s="96"/>
      <c r="H33" s="94"/>
      <c r="I33" s="95"/>
      <c r="J33" s="95"/>
      <c r="K33" s="97"/>
      <c r="L33" s="98"/>
      <c r="M33" s="95"/>
      <c r="N33" s="95"/>
      <c r="O33" s="97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6.35" customHeight="1" hidden="1" spans="1:25" s="40" customFormat="1" x14ac:dyDescent="0.25">
      <c r="A34" s="49"/>
      <c r="B34" s="99"/>
      <c r="C34" s="70" t="s">
        <v>17</v>
      </c>
      <c r="D34" s="71"/>
      <c r="E34" s="72"/>
      <c r="F34" s="72"/>
      <c r="G34" s="74"/>
      <c r="H34" s="71"/>
      <c r="I34" s="72"/>
      <c r="J34" s="72"/>
      <c r="K34" s="74"/>
      <c r="L34" s="75"/>
      <c r="M34" s="72"/>
      <c r="N34" s="72"/>
      <c r="O34" s="74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6.35" customHeight="1" hidden="1" spans="1:25" s="40" customFormat="1" x14ac:dyDescent="0.25">
      <c r="A35" s="49"/>
      <c r="B35" s="50"/>
      <c r="C35" s="87" t="s">
        <v>18</v>
      </c>
      <c r="D35" s="52"/>
      <c r="E35" s="53"/>
      <c r="F35" s="53"/>
      <c r="G35" s="55"/>
      <c r="H35" s="52"/>
      <c r="I35" s="53"/>
      <c r="J35" s="53"/>
      <c r="K35" s="55"/>
      <c r="L35" s="56"/>
      <c r="M35" s="53"/>
      <c r="N35" s="53"/>
      <c r="O35" s="55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6.35" customHeight="1" hidden="1" spans="1:25" s="40" customFormat="1" x14ac:dyDescent="0.25">
      <c r="A36" s="49"/>
      <c r="B36" s="50"/>
      <c r="C36" s="63" t="s">
        <v>17</v>
      </c>
      <c r="D36" s="58"/>
      <c r="E36" s="59"/>
      <c r="F36" s="59"/>
      <c r="G36" s="61"/>
      <c r="H36" s="58"/>
      <c r="I36" s="59"/>
      <c r="J36" s="59"/>
      <c r="K36" s="61"/>
      <c r="L36" s="62"/>
      <c r="M36" s="59"/>
      <c r="N36" s="59"/>
      <c r="O36" s="61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6.35" customHeight="1" hidden="1" spans="1:25" s="40" customFormat="1" x14ac:dyDescent="0.25">
      <c r="A37" s="49"/>
      <c r="B37" s="50"/>
      <c r="C37" s="87" t="s">
        <v>18</v>
      </c>
      <c r="D37" s="52"/>
      <c r="E37" s="53"/>
      <c r="F37" s="53"/>
      <c r="G37" s="55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6.15" customHeight="1" spans="1:25" s="40" customFormat="1" x14ac:dyDescent="0.25">
      <c r="A38" s="49"/>
      <c r="B38" s="50"/>
      <c r="C38" s="63" t="s">
        <v>17</v>
      </c>
      <c r="D38" s="58"/>
      <c r="E38" s="59"/>
      <c r="F38" s="59"/>
      <c r="G38" s="61"/>
      <c r="H38" s="58"/>
      <c r="I38" s="59"/>
      <c r="J38" s="59"/>
      <c r="K38" s="61"/>
      <c r="L38" s="62"/>
      <c r="M38" s="59"/>
      <c r="N38" s="59"/>
      <c r="O38" s="61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6.15" customHeight="1" spans="1:25" s="40" customFormat="1" x14ac:dyDescent="0.25">
      <c r="A39" s="49"/>
      <c r="B39" s="50"/>
      <c r="C39" s="87" t="s">
        <v>18</v>
      </c>
      <c r="D39" s="52"/>
      <c r="E39" s="53"/>
      <c r="F39" s="53"/>
      <c r="G39" s="55"/>
      <c r="H39" s="52"/>
      <c r="I39" s="53"/>
      <c r="J39" s="53"/>
      <c r="K39" s="55"/>
      <c r="L39" s="56"/>
      <c r="M39" s="53"/>
      <c r="N39" s="53"/>
      <c r="O39" s="55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6.15" customHeight="1" spans="1:25" s="40" customFormat="1" x14ac:dyDescent="0.25">
      <c r="A40" s="49"/>
      <c r="B40" s="50"/>
      <c r="C40" s="70" t="s">
        <v>17</v>
      </c>
      <c r="D40" s="71"/>
      <c r="E40" s="72"/>
      <c r="F40" s="72"/>
      <c r="G40" s="74"/>
      <c r="H40" s="71"/>
      <c r="I40" s="72"/>
      <c r="J40" s="72"/>
      <c r="K40" s="74"/>
      <c r="L40" s="75"/>
      <c r="M40" s="72"/>
      <c r="N40" s="72"/>
      <c r="O40" s="74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6.15" customHeight="1" spans="1:25" s="40" customFormat="1" x14ac:dyDescent="0.25">
      <c r="A41" s="49"/>
      <c r="B41" s="50"/>
      <c r="C41" s="87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6.15" customHeight="1" spans="1:25" s="40" customFormat="1" x14ac:dyDescent="0.25">
      <c r="A42" s="49"/>
      <c r="B42" s="50"/>
      <c r="C42" s="63" t="s">
        <v>17</v>
      </c>
      <c r="D42" s="58"/>
      <c r="E42" s="59"/>
      <c r="F42" s="59"/>
      <c r="G42" s="60"/>
      <c r="H42" s="58"/>
      <c r="I42" s="59"/>
      <c r="J42" s="59"/>
      <c r="K42" s="61"/>
      <c r="L42" s="62"/>
      <c r="M42" s="59"/>
      <c r="N42" s="59"/>
      <c r="O42" s="61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6.15" customHeight="1" spans="1:25" s="40" customFormat="1" x14ac:dyDescent="0.25">
      <c r="A43" s="76"/>
      <c r="B43" s="77"/>
      <c r="C43" s="93" t="s">
        <v>18</v>
      </c>
      <c r="D43" s="94"/>
      <c r="E43" s="95"/>
      <c r="F43" s="95"/>
      <c r="G43" s="96"/>
      <c r="H43" s="94"/>
      <c r="I43" s="95"/>
      <c r="J43" s="95"/>
      <c r="K43" s="97"/>
      <c r="L43" s="98"/>
      <c r="M43" s="95"/>
      <c r="N43" s="95"/>
      <c r="O43" s="97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3.9" customHeight="1" hidden="1" spans="1:25" s="40" customFormat="1" x14ac:dyDescent="0.25">
      <c r="A44" s="84"/>
      <c r="B44" s="100"/>
      <c r="C44" s="70" t="s">
        <v>17</v>
      </c>
      <c r="D44" s="71"/>
      <c r="E44" s="72"/>
      <c r="F44" s="72"/>
      <c r="G44" s="73"/>
      <c r="H44" s="71"/>
      <c r="I44" s="72"/>
      <c r="J44" s="72"/>
      <c r="K44" s="74"/>
      <c r="L44" s="75"/>
      <c r="M44" s="72"/>
      <c r="N44" s="72"/>
      <c r="O44" s="74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3.9" customHeight="1" hidden="1" spans="1:25" s="40" customFormat="1" x14ac:dyDescent="0.25">
      <c r="A45" s="49"/>
      <c r="B45" s="85"/>
      <c r="C45" s="87" t="s">
        <v>18</v>
      </c>
      <c r="D45" s="52"/>
      <c r="E45" s="53"/>
      <c r="F45" s="53"/>
      <c r="G45" s="54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3.9" customHeight="1" hidden="1" spans="1:25" s="40" customFormat="1" x14ac:dyDescent="0.25">
      <c r="A46" s="49"/>
      <c r="B46" s="101"/>
      <c r="C46" s="63" t="s">
        <v>17</v>
      </c>
      <c r="D46" s="58"/>
      <c r="E46" s="59"/>
      <c r="F46" s="59"/>
      <c r="G46" s="60"/>
      <c r="H46" s="58"/>
      <c r="I46" s="59"/>
      <c r="J46" s="59"/>
      <c r="K46" s="61"/>
      <c r="L46" s="62"/>
      <c r="M46" s="59"/>
      <c r="N46" s="59"/>
      <c r="O46" s="61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3.9" customHeight="1" hidden="1" spans="1:25" s="40" customFormat="1" x14ac:dyDescent="0.25">
      <c r="A47" s="49"/>
      <c r="B47" s="85"/>
      <c r="C47" s="87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3.9" customHeight="1" hidden="1" spans="1:25" s="40" customFormat="1" x14ac:dyDescent="0.25">
      <c r="A48" s="49"/>
      <c r="B48" s="101"/>
      <c r="C48" s="63" t="s">
        <v>17</v>
      </c>
      <c r="D48" s="58"/>
      <c r="E48" s="59"/>
      <c r="F48" s="59"/>
      <c r="G48" s="61"/>
      <c r="H48" s="58"/>
      <c r="I48" s="59"/>
      <c r="J48" s="59"/>
      <c r="K48" s="61"/>
      <c r="L48" s="62"/>
      <c r="M48" s="59"/>
      <c r="N48" s="59"/>
      <c r="O48" s="61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3.9" customHeight="1" hidden="1" spans="1:25" s="40" customFormat="1" x14ac:dyDescent="0.25">
      <c r="A49" s="49"/>
      <c r="B49" s="85"/>
      <c r="C49" s="87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3.9" customHeight="1" hidden="1" spans="1:25" s="40" customFormat="1" x14ac:dyDescent="0.25">
      <c r="A50" s="49"/>
      <c r="B50" s="101"/>
      <c r="C50" s="63" t="s">
        <v>17</v>
      </c>
      <c r="D50" s="58"/>
      <c r="E50" s="59"/>
      <c r="F50" s="59"/>
      <c r="G50" s="61"/>
      <c r="H50" s="58"/>
      <c r="I50" s="59"/>
      <c r="J50" s="59"/>
      <c r="K50" s="61"/>
      <c r="L50" s="62"/>
      <c r="M50" s="59"/>
      <c r="N50" s="59"/>
      <c r="O50" s="61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3.9" customHeight="1" hidden="1" spans="1:25" s="40" customFormat="1" x14ac:dyDescent="0.25">
      <c r="A51" s="49"/>
      <c r="B51" s="85"/>
      <c r="C51" s="87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3.9" customHeight="1" hidden="1" spans="1:25" s="40" customFormat="1" x14ac:dyDescent="0.25">
      <c r="A52" s="49"/>
      <c r="B52" s="101"/>
      <c r="C52" s="63" t="s">
        <v>17</v>
      </c>
      <c r="D52" s="58"/>
      <c r="E52" s="59"/>
      <c r="F52" s="59"/>
      <c r="G52" s="61"/>
      <c r="H52" s="58"/>
      <c r="I52" s="59"/>
      <c r="J52" s="59"/>
      <c r="K52" s="61"/>
      <c r="L52" s="62"/>
      <c r="M52" s="59"/>
      <c r="N52" s="59"/>
      <c r="O52" s="61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3.9" customHeight="1" hidden="1" spans="1:25" s="40" customFormat="1" x14ac:dyDescent="0.25">
      <c r="A53" s="102"/>
      <c r="B53" s="85"/>
      <c r="C53" s="87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101"/>
      <c r="C54" s="70" t="s">
        <v>17</v>
      </c>
      <c r="D54" s="71"/>
      <c r="E54" s="72"/>
      <c r="F54" s="72"/>
      <c r="G54" s="74"/>
      <c r="H54" s="71"/>
      <c r="I54" s="72"/>
      <c r="J54" s="72"/>
      <c r="K54" s="74"/>
      <c r="L54" s="75"/>
      <c r="M54" s="72"/>
      <c r="N54" s="72"/>
      <c r="O54" s="74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49"/>
      <c r="B55" s="85"/>
      <c r="C55" s="87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103"/>
      <c r="B56" s="104"/>
      <c r="C56" s="63" t="s">
        <v>17</v>
      </c>
      <c r="D56" s="58"/>
      <c r="E56" s="59"/>
      <c r="F56" s="59"/>
      <c r="G56" s="60"/>
      <c r="H56" s="58"/>
      <c r="I56" s="59"/>
      <c r="J56" s="59"/>
      <c r="K56" s="61"/>
      <c r="L56" s="62"/>
      <c r="M56" s="59"/>
      <c r="N56" s="59"/>
      <c r="O56" s="61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102"/>
      <c r="B57" s="85"/>
      <c r="C57" s="87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103"/>
      <c r="B58" s="100"/>
      <c r="C58" s="63" t="s">
        <v>17</v>
      </c>
      <c r="D58" s="58"/>
      <c r="E58" s="59"/>
      <c r="F58" s="59"/>
      <c r="G58" s="60"/>
      <c r="H58" s="58"/>
      <c r="I58" s="59"/>
      <c r="J58" s="59"/>
      <c r="K58" s="61"/>
      <c r="L58" s="62"/>
      <c r="M58" s="59"/>
      <c r="N58" s="59"/>
      <c r="O58" s="61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102"/>
      <c r="B59" s="85"/>
      <c r="C59" s="87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101"/>
      <c r="C60" s="63" t="s">
        <v>17</v>
      </c>
      <c r="D60" s="58"/>
      <c r="E60" s="59"/>
      <c r="F60" s="59"/>
      <c r="G60" s="60"/>
      <c r="H60" s="58"/>
      <c r="I60" s="59"/>
      <c r="J60" s="59"/>
      <c r="K60" s="61"/>
      <c r="L60" s="62"/>
      <c r="M60" s="59"/>
      <c r="N60" s="59"/>
      <c r="O60" s="61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102"/>
      <c r="B61" s="85"/>
      <c r="C61" s="87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101"/>
      <c r="C62" s="63" t="s">
        <v>17</v>
      </c>
      <c r="D62" s="58"/>
      <c r="E62" s="59"/>
      <c r="F62" s="59"/>
      <c r="G62" s="61"/>
      <c r="H62" s="58"/>
      <c r="I62" s="59"/>
      <c r="J62" s="59"/>
      <c r="K62" s="61"/>
      <c r="L62" s="62"/>
      <c r="M62" s="59"/>
      <c r="N62" s="59"/>
      <c r="O62" s="61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102"/>
      <c r="B63" s="85"/>
      <c r="C63" s="87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101"/>
      <c r="C64" s="63" t="s">
        <v>17</v>
      </c>
      <c r="D64" s="58"/>
      <c r="E64" s="59"/>
      <c r="F64" s="59"/>
      <c r="G64" s="61"/>
      <c r="H64" s="58"/>
      <c r="I64" s="59"/>
      <c r="J64" s="59"/>
      <c r="K64" s="61"/>
      <c r="L64" s="62"/>
      <c r="M64" s="59"/>
      <c r="N64" s="59"/>
      <c r="O64" s="61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102"/>
      <c r="B65" s="85"/>
      <c r="C65" s="87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101"/>
      <c r="C66" s="63" t="s">
        <v>17</v>
      </c>
      <c r="D66" s="58"/>
      <c r="E66" s="59"/>
      <c r="F66" s="59"/>
      <c r="G66" s="61"/>
      <c r="H66" s="58"/>
      <c r="I66" s="59"/>
      <c r="J66" s="59"/>
      <c r="K66" s="61"/>
      <c r="L66" s="62"/>
      <c r="M66" s="59"/>
      <c r="N66" s="59"/>
      <c r="O66" s="61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102"/>
      <c r="B67" s="85"/>
      <c r="C67" s="87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101"/>
      <c r="C68" s="70" t="s">
        <v>17</v>
      </c>
      <c r="D68" s="71"/>
      <c r="E68" s="72"/>
      <c r="F68" s="72"/>
      <c r="G68" s="74"/>
      <c r="H68" s="71"/>
      <c r="I68" s="72"/>
      <c r="J68" s="72"/>
      <c r="K68" s="74"/>
      <c r="L68" s="75"/>
      <c r="M68" s="72"/>
      <c r="N68" s="72"/>
      <c r="O68" s="74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49"/>
      <c r="B69" s="85"/>
      <c r="C69" s="87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103"/>
      <c r="B70" s="104"/>
      <c r="C70" s="63" t="s">
        <v>17</v>
      </c>
      <c r="D70" s="58"/>
      <c r="E70" s="59"/>
      <c r="F70" s="59"/>
      <c r="G70" s="60"/>
      <c r="H70" s="58"/>
      <c r="I70" s="59"/>
      <c r="J70" s="59"/>
      <c r="K70" s="61"/>
      <c r="L70" s="62"/>
      <c r="M70" s="59"/>
      <c r="N70" s="59"/>
      <c r="O70" s="61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102"/>
      <c r="B71" s="85"/>
      <c r="C71" s="87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104"/>
      <c r="C72" s="63" t="s">
        <v>17</v>
      </c>
      <c r="D72" s="58"/>
      <c r="E72" s="59"/>
      <c r="F72" s="59"/>
      <c r="G72" s="60"/>
      <c r="H72" s="58"/>
      <c r="I72" s="59"/>
      <c r="J72" s="59"/>
      <c r="K72" s="61"/>
      <c r="L72" s="62"/>
      <c r="M72" s="59"/>
      <c r="N72" s="59"/>
      <c r="O72" s="61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105"/>
      <c r="B73" s="106"/>
      <c r="C73" s="107" t="s">
        <v>18</v>
      </c>
      <c r="D73" s="108"/>
      <c r="E73" s="32"/>
      <c r="F73" s="32"/>
      <c r="G73" s="109"/>
      <c r="H73" s="108"/>
      <c r="I73" s="32"/>
      <c r="J73" s="32"/>
      <c r="K73" s="110"/>
      <c r="L73" s="111"/>
      <c r="M73" s="32"/>
      <c r="N73" s="32"/>
      <c r="O73" s="11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6.9" customHeight="1" spans="1:25" s="40" customFormat="1" x14ac:dyDescent="0.25">
      <c r="A74" s="112" t="s">
        <v>19</v>
      </c>
      <c r="B74" s="42"/>
      <c r="C74" s="113"/>
      <c r="D74" s="114">
        <f t="shared" ref="D74:G75" si="0">SUM(D10,D12,D14,D16,D18,D20,D24,D26,D30,D32,D34,D36,D38,D40,D42,D44,D46,D48,D50,D52,D54,D56,D58,D60,D62,D64,D66,D68,D70,D72,D28)</f>
        <v>0</v>
      </c>
      <c r="E74" s="115">
        <f t="shared" si="0"/>
        <v>0</v>
      </c>
      <c r="F74" s="115">
        <f t="shared" si="0"/>
        <v>0</v>
      </c>
      <c r="G74" s="116">
        <f t="shared" si="0"/>
        <v>0</v>
      </c>
      <c r="H74" s="117">
        <f>SUM(H52,H48,H46,H44,H42,H40,H38,H32,H30,H26,H24,H22,H20,H18,H16,H14,H12,H10,H28,H34,H36)</f>
        <v>56</v>
      </c>
      <c r="I74" s="118">
        <f t="shared" ref="I74:K74" si="1">SUM(I52,I48,I46,I44,I42,I40,I38,I32,I30,I26,I24,I22,I20,I18,I16,I14,I12,I10,I28,I34,I36)</f>
        <v>0</v>
      </c>
      <c r="J74" s="115">
        <f t="shared" si="1"/>
        <v>32</v>
      </c>
      <c r="K74" s="116">
        <f t="shared" si="1"/>
        <v>0</v>
      </c>
      <c r="L74" s="114">
        <f>SUM(L10,L12,L14,L16,L18,L20,L24,L26,L30,L32,L34,L36,L38,L40,L42,L44,L46,L48,L50,L52,L54,L56,L58,L60,L62,L64,L66,L68,L70,L72,L28)</f>
        <v>0</v>
      </c>
      <c r="M74" s="119">
        <f t="shared" ref="M74:O74" si="2">SUM(M10,M12,M14,M16,M18,M20,M24,M26,M30,M32,M34,M36,M38,M40,M42,M44,M46,M48,M50,M52,M54,M56,M58,M60,M62,M64,M66,M68,M70,M72,M28)</f>
        <v>0</v>
      </c>
      <c r="N74" s="119">
        <f t="shared" si="2"/>
        <v>0</v>
      </c>
      <c r="O74" s="120">
        <f t="shared" si="2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6.9" customHeight="1" spans="1:25" s="40" customFormat="1" x14ac:dyDescent="0.25">
      <c r="A75" s="121"/>
      <c r="B75" s="122"/>
      <c r="C75" s="123"/>
      <c r="D75" s="124">
        <f t="shared" si="0"/>
        <v>0</v>
      </c>
      <c r="E75" s="125">
        <f t="shared" si="0"/>
        <v>0</v>
      </c>
      <c r="F75" s="125">
        <f t="shared" si="0"/>
        <v>0</v>
      </c>
      <c r="G75" s="126">
        <f t="shared" si="0"/>
        <v>0</v>
      </c>
      <c r="H75" s="127">
        <f>SUM(H53,H49,H47,H45,H43,H41,H39,H33,H31,H27,H25,H23,H21,H19,H17,H15,H13,H11,H35,H37)</f>
        <v>26</v>
      </c>
      <c r="I75" s="128">
        <f t="shared" ref="I75:K75" si="3">SUM(I53,I49,I47,I45,I43,I41,I39,I33,I31,I27,I25,I23,I21,I19,I17,I15,I13,I11,I35,I37)</f>
        <v>0</v>
      </c>
      <c r="J75" s="129">
        <f t="shared" si="3"/>
        <v>499</v>
      </c>
      <c r="K75" s="126">
        <f t="shared" si="3"/>
        <v>0</v>
      </c>
      <c r="L75" s="124">
        <f>SUM(L11,L13,L15,L17,L19,L21,L25,L27,L31,L33,L35,L37,L39,L41,L43,L45,L47,L49,L51,L53,L55,L57,L59,L61,L63,L65,L67,L69,L71,L73,L29)</f>
        <v>0</v>
      </c>
      <c r="M75" s="130">
        <f t="shared" ref="M75:O75" si="4">SUM(M11,M13,M15,M17,M19,M21,M25,M27,M31,M33,M35,M37,M39,M41,M43,M45,M47,M49,M51,M53,M55,M57,M59,M61,M63,M65,M67,M69,M71,M73,M29)</f>
        <v>0</v>
      </c>
      <c r="N75" s="130">
        <f t="shared" si="4"/>
        <v>0</v>
      </c>
      <c r="O75" s="131">
        <f t="shared" si="4"/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32"/>
      <c r="B76" s="132"/>
      <c r="C76" s="90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34" t="s">
        <v>20</v>
      </c>
      <c r="B77" s="135"/>
      <c r="C77" s="135"/>
      <c r="D77" s="135"/>
      <c r="E77" s="135"/>
      <c r="F77" s="135"/>
      <c r="G77" s="136"/>
      <c r="H77" s="137" t="s">
        <v>21</v>
      </c>
      <c r="I77" s="138"/>
      <c r="J77" s="138"/>
      <c r="K77" s="138"/>
      <c r="L77" s="138"/>
      <c r="M77" s="138"/>
      <c r="N77" s="138"/>
      <c r="O77" s="13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140"/>
      <c r="B78" s="141"/>
      <c r="C78" s="141"/>
      <c r="D78" s="141"/>
      <c r="E78" s="141"/>
      <c r="F78" s="141"/>
      <c r="G78" s="142"/>
      <c r="H78" s="140"/>
      <c r="I78" s="141"/>
      <c r="J78" s="141"/>
      <c r="K78" s="141"/>
      <c r="L78" s="141"/>
      <c r="M78" s="141"/>
      <c r="N78" s="141"/>
      <c r="O78" s="14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143"/>
      <c r="B79" s="144"/>
      <c r="C79" s="144"/>
      <c r="D79" s="144"/>
      <c r="E79" s="144"/>
      <c r="F79" s="144"/>
      <c r="G79" s="145"/>
      <c r="H79" s="143"/>
      <c r="I79" s="144"/>
      <c r="J79" s="144"/>
      <c r="K79" s="144"/>
      <c r="L79" s="144"/>
      <c r="M79" s="144"/>
      <c r="N79" s="144"/>
      <c r="O79" s="14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146"/>
      <c r="B80" s="147"/>
      <c r="C80" s="147"/>
      <c r="D80" s="147"/>
      <c r="E80" s="147"/>
      <c r="F80" s="147"/>
      <c r="G80" s="148"/>
      <c r="H80" s="146"/>
      <c r="I80" s="147"/>
      <c r="J80" s="147"/>
      <c r="K80" s="147"/>
      <c r="L80" s="147"/>
      <c r="M80" s="147"/>
      <c r="N80" s="147"/>
      <c r="O80" s="14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143"/>
      <c r="B81" s="144"/>
      <c r="C81" s="144"/>
      <c r="D81" s="144"/>
      <c r="E81" s="144"/>
      <c r="F81" s="144"/>
      <c r="G81" s="145"/>
      <c r="H81" s="143"/>
      <c r="I81" s="144"/>
      <c r="J81" s="144"/>
      <c r="K81" s="144"/>
      <c r="L81" s="144"/>
      <c r="M81" s="144"/>
      <c r="N81" s="144"/>
      <c r="O81" s="145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5" customHeight="1" spans="1:25" x14ac:dyDescent="0.25">
      <c r="A82" s="146"/>
      <c r="B82" s="147"/>
      <c r="C82" s="147"/>
      <c r="D82" s="147"/>
      <c r="E82" s="147"/>
      <c r="F82" s="147"/>
      <c r="G82" s="148"/>
      <c r="H82" s="146"/>
      <c r="I82" s="147"/>
      <c r="J82" s="147"/>
      <c r="K82" s="147"/>
      <c r="L82" s="147"/>
      <c r="M82" s="147"/>
      <c r="N82" s="147"/>
      <c r="O82" s="148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5" customHeight="1" spans="1:25" x14ac:dyDescent="0.25">
      <c r="A83" s="146"/>
      <c r="B83" s="147"/>
      <c r="C83" s="147"/>
      <c r="D83" s="147"/>
      <c r="E83" s="147"/>
      <c r="F83" s="147"/>
      <c r="G83" s="148"/>
      <c r="H83" s="146"/>
      <c r="I83" s="147"/>
      <c r="J83" s="147"/>
      <c r="K83" s="147"/>
      <c r="L83" s="147"/>
      <c r="M83" s="147"/>
      <c r="N83" s="147"/>
      <c r="O83" s="148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5" customHeight="1" spans="1:25" x14ac:dyDescent="0.25">
      <c r="A84" s="143"/>
      <c r="B84" s="144"/>
      <c r="C84" s="144"/>
      <c r="D84" s="144"/>
      <c r="E84" s="144"/>
      <c r="F84" s="144"/>
      <c r="G84" s="145"/>
      <c r="H84" s="143"/>
      <c r="I84" s="144"/>
      <c r="J84" s="144"/>
      <c r="K84" s="144"/>
      <c r="L84" s="144"/>
      <c r="M84" s="144"/>
      <c r="N84" s="144"/>
      <c r="O84" s="145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5" customHeight="1" spans="1:25" x14ac:dyDescent="0.25">
      <c r="A85" s="149"/>
      <c r="B85" s="150"/>
      <c r="C85" s="150"/>
      <c r="D85" s="150"/>
      <c r="E85" s="150"/>
      <c r="F85" s="150"/>
      <c r="G85" s="151"/>
      <c r="H85" s="149"/>
      <c r="I85" s="150"/>
      <c r="J85" s="150"/>
      <c r="K85" s="150"/>
      <c r="L85" s="150"/>
      <c r="M85" s="150"/>
      <c r="N85" s="150"/>
      <c r="O85" s="15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7.1" customHeight="1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7.1" customHeight="1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7.1" customHeight="1" spans="1:25" x14ac:dyDescent="0.25">
      <c r="A89" s="152"/>
      <c r="B89" s="152"/>
      <c r="C89" s="152"/>
      <c r="D89" s="153"/>
      <c r="E89" s="1"/>
      <c r="F89" s="1"/>
      <c r="G89" s="1"/>
      <c r="H89" s="1"/>
      <c r="I89" s="1"/>
      <c r="J89" s="152"/>
      <c r="K89" s="152"/>
      <c r="L89" s="152"/>
      <c r="M89" s="152"/>
      <c r="N89" s="152"/>
      <c r="O89" s="152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9.5" customHeight="1" spans="1:25" x14ac:dyDescent="0.25">
      <c r="A90" s="154" t="s">
        <v>22</v>
      </c>
      <c r="B90" s="154"/>
      <c r="C90" s="154"/>
      <c r="D90" s="154"/>
      <c r="E90" s="155"/>
      <c r="F90" s="155"/>
      <c r="G90" s="155"/>
      <c r="H90" s="155"/>
      <c r="I90" s="1"/>
      <c r="J90" s="154" t="s">
        <v>23</v>
      </c>
      <c r="K90" s="154"/>
      <c r="L90" s="154"/>
      <c r="M90" s="154"/>
      <c r="N90" s="154"/>
      <c r="O90" s="154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</sheetData>
  <mergeCells count="33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4:G84"/>
    <mergeCell ref="H84:O84"/>
    <mergeCell ref="A85:G85"/>
    <mergeCell ref="H85:O85"/>
    <mergeCell ref="A90:D90"/>
    <mergeCell ref="J90:O90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8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37"/>
  <sheetViews>
    <sheetView workbookViewId="0" zoomScale="90" zoomScaleNormal="9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7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72" t="s">
        <v>108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</row>
    <row r="2" ht="17.25" customHeight="1" spans="1:36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</row>
    <row r="3" ht="4.5" customHeight="1" spans="1:36" x14ac:dyDescent="0.25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</row>
    <row r="4" ht="26.25" customHeight="1" spans="1:36" x14ac:dyDescent="0.25">
      <c r="A4" s="212" t="s">
        <v>109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</row>
    <row r="5" ht="6" customHeight="1" spans="1:36" x14ac:dyDescent="0.25">
      <c r="A5" s="410"/>
      <c r="B5" s="410"/>
      <c r="C5" s="410"/>
      <c r="D5" s="410"/>
      <c r="E5" s="410"/>
      <c r="F5" s="410"/>
      <c r="G5" s="410"/>
      <c r="H5" s="410"/>
      <c r="I5" s="410"/>
      <c r="J5" s="410"/>
      <c r="K5" s="410"/>
      <c r="L5" s="410"/>
      <c r="M5" s="410"/>
      <c r="N5" s="410"/>
      <c r="O5" s="410"/>
      <c r="P5" s="410"/>
      <c r="Q5" s="410"/>
      <c r="R5" s="410"/>
      <c r="S5" s="410"/>
      <c r="T5" s="410"/>
      <c r="U5" s="410"/>
      <c r="V5" s="410"/>
      <c r="W5" s="410"/>
      <c r="X5" s="410"/>
      <c r="Y5" s="410"/>
      <c r="Z5" s="410"/>
      <c r="AA5" s="410"/>
      <c r="AB5" s="410"/>
      <c r="AC5" s="410"/>
      <c r="AD5" s="410"/>
      <c r="AE5" s="410"/>
      <c r="AF5" s="410"/>
      <c r="AG5" s="410"/>
      <c r="AH5" s="410"/>
      <c r="AI5" s="410"/>
      <c r="AJ5" s="410"/>
    </row>
    <row r="6" spans="1:36" s="16" customFormat="1" x14ac:dyDescent="0.25">
      <c r="A6" s="266" t="s">
        <v>110</v>
      </c>
      <c r="B6" s="266"/>
      <c r="C6" s="266"/>
      <c r="D6" s="266" t="str">
        <f>'Final Work'!B4</f>
        <v>SAWASDEE SPICA</v>
      </c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 t="s">
        <v>4</v>
      </c>
      <c r="P6" s="40"/>
      <c r="Q6" s="40"/>
      <c r="R6" s="90" t="str">
        <f>'Final Work'!G4</f>
        <v>2606S</v>
      </c>
      <c r="S6" s="90"/>
      <c r="T6" s="90"/>
      <c r="U6" s="90"/>
      <c r="V6" s="90"/>
      <c r="W6" s="90"/>
      <c r="X6" s="40"/>
      <c r="Y6" s="90" t="s">
        <v>5</v>
      </c>
      <c r="Z6" s="90"/>
      <c r="AA6" s="90"/>
      <c r="AB6" s="411">
        <f>'Final Work'!L4</f>
        <v>46214</v>
      </c>
      <c r="AC6" s="411"/>
      <c r="AD6" s="411"/>
      <c r="AE6" s="411"/>
      <c r="AF6" s="411"/>
      <c r="AG6" s="411"/>
      <c r="AH6" s="411"/>
      <c r="AI6" s="411"/>
      <c r="AJ6" s="411"/>
    </row>
    <row r="7" ht="6" customHeight="1" spans="1:36" s="16" customFormat="1" x14ac:dyDescent="0.25">
      <c r="A7" s="412"/>
      <c r="B7" s="412"/>
      <c r="C7" s="412"/>
      <c r="D7" s="412"/>
      <c r="E7" s="412"/>
      <c r="F7" s="412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  <c r="AA7" s="412"/>
      <c r="AB7" s="412"/>
      <c r="AC7" s="412"/>
      <c r="AD7" s="412"/>
      <c r="AE7" s="412"/>
      <c r="AF7" s="412"/>
      <c r="AG7" s="412"/>
      <c r="AH7" s="412"/>
      <c r="AI7" s="412"/>
      <c r="AJ7" s="412"/>
    </row>
    <row r="8" spans="1:36" s="16" customFormat="1" x14ac:dyDescent="0.25">
      <c r="A8" s="412" t="s">
        <v>111</v>
      </c>
      <c r="B8" s="412"/>
      <c r="C8" s="412"/>
      <c r="D8" s="413" t="s">
        <v>66</v>
      </c>
      <c r="E8" s="413"/>
      <c r="F8" s="413"/>
      <c r="G8" s="413"/>
      <c r="H8" s="413"/>
      <c r="I8" s="413"/>
      <c r="J8" s="155"/>
      <c r="K8" s="155"/>
      <c r="L8" s="40"/>
      <c r="M8" s="40"/>
      <c r="N8" s="40"/>
      <c r="O8" s="413" t="s">
        <v>7</v>
      </c>
      <c r="P8" s="155"/>
      <c r="Q8" s="155"/>
      <c r="R8" s="412">
        <f>'Final Work'!G6</f>
        <v>7</v>
      </c>
      <c r="S8" s="412"/>
      <c r="T8" s="412"/>
      <c r="U8" s="412"/>
      <c r="V8" s="412"/>
      <c r="W8" s="412"/>
      <c r="X8" s="155"/>
      <c r="Y8" s="412" t="s">
        <v>112</v>
      </c>
      <c r="Z8" s="412"/>
      <c r="AA8" s="412"/>
      <c r="AB8" s="412" t="s">
        <v>25</v>
      </c>
      <c r="AC8" s="412"/>
      <c r="AD8" s="412"/>
      <c r="AE8" s="412"/>
      <c r="AF8" s="412"/>
      <c r="AG8" s="412"/>
      <c r="AH8" s="412"/>
      <c r="AI8" s="412"/>
      <c r="AJ8" s="412"/>
    </row>
    <row r="9" ht="4.5" customHeight="1" spans="1:36" x14ac:dyDescent="0.25">
      <c r="A9" s="414"/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  <c r="V9" s="414"/>
      <c r="W9" s="414"/>
      <c r="X9" s="414"/>
      <c r="Y9" s="414"/>
      <c r="Z9" s="414"/>
      <c r="AA9" s="414"/>
      <c r="AB9" s="414"/>
      <c r="AC9" s="414"/>
      <c r="AD9" s="414"/>
      <c r="AE9" s="414"/>
      <c r="AF9" s="414"/>
      <c r="AG9" s="414"/>
      <c r="AH9" s="414"/>
      <c r="AI9" s="414"/>
      <c r="AJ9" s="414"/>
    </row>
    <row r="10" ht="17.1" customHeight="1" spans="1:36" s="40" customFormat="1" x14ac:dyDescent="0.25">
      <c r="A10" s="415" t="s">
        <v>113</v>
      </c>
      <c r="B10" s="416"/>
      <c r="C10" s="416"/>
      <c r="D10" s="416"/>
      <c r="E10" s="416"/>
      <c r="F10" s="416"/>
      <c r="G10" s="416"/>
      <c r="H10" s="417" t="s">
        <v>89</v>
      </c>
      <c r="I10" s="28"/>
      <c r="J10" s="28"/>
      <c r="K10" s="28"/>
      <c r="L10" s="28"/>
      <c r="M10" s="28"/>
      <c r="N10" s="28"/>
      <c r="O10" s="30"/>
      <c r="P10" s="417" t="s">
        <v>90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51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418" t="s">
        <v>114</v>
      </c>
      <c r="B11" s="419"/>
      <c r="C11" s="419"/>
      <c r="D11" s="419"/>
      <c r="E11" s="419"/>
      <c r="F11" s="419"/>
      <c r="G11" s="419"/>
      <c r="H11" s="37" t="s">
        <v>13</v>
      </c>
      <c r="I11" s="35"/>
      <c r="J11" s="35" t="s">
        <v>14</v>
      </c>
      <c r="K11" s="35"/>
      <c r="L11" s="35" t="s">
        <v>115</v>
      </c>
      <c r="M11" s="35"/>
      <c r="N11" s="35" t="s">
        <v>16</v>
      </c>
      <c r="O11" s="420"/>
      <c r="P11" s="37" t="s">
        <v>13</v>
      </c>
      <c r="Q11" s="35"/>
      <c r="R11" s="35" t="s">
        <v>14</v>
      </c>
      <c r="S11" s="35"/>
      <c r="T11" s="35" t="s">
        <v>115</v>
      </c>
      <c r="U11" s="35"/>
      <c r="V11" s="35" t="s">
        <v>16</v>
      </c>
      <c r="W11" s="420"/>
      <c r="X11" s="39"/>
      <c r="Y11" s="35"/>
      <c r="Z11" s="420"/>
      <c r="AA11" s="39"/>
      <c r="AB11" s="35"/>
      <c r="AC11" s="35"/>
      <c r="AD11" s="35"/>
      <c r="AE11" s="35"/>
      <c r="AF11" s="35"/>
      <c r="AG11" s="35"/>
      <c r="AH11" s="35"/>
      <c r="AI11" s="35"/>
      <c r="AJ11" s="420"/>
    </row>
    <row r="12" ht="19.9" customHeight="1" spans="1:36" s="40" customFormat="1" x14ac:dyDescent="0.25">
      <c r="A12" s="421" t="s">
        <v>116</v>
      </c>
      <c r="B12" s="422"/>
      <c r="C12" s="422"/>
      <c r="D12" s="269"/>
      <c r="E12" s="326"/>
      <c r="F12" s="326"/>
      <c r="G12" s="423"/>
      <c r="H12" s="424"/>
      <c r="I12" s="195"/>
      <c r="J12" s="115"/>
      <c r="K12" s="268"/>
      <c r="L12" s="425"/>
      <c r="M12" s="53"/>
      <c r="N12" s="425"/>
      <c r="O12" s="53"/>
      <c r="P12" s="424"/>
      <c r="Q12" s="195"/>
      <c r="R12" s="118"/>
      <c r="S12" s="270"/>
      <c r="T12" s="118"/>
      <c r="U12" s="270"/>
      <c r="V12" s="118"/>
      <c r="W12" s="423"/>
      <c r="X12" s="114">
        <f t="shared" ref="X12:X18" si="0">SUM(H12:W12)</f>
        <v>0</v>
      </c>
      <c r="Y12" s="115"/>
      <c r="Z12" s="426"/>
      <c r="AA12" s="427"/>
      <c r="AB12" s="428"/>
      <c r="AC12" s="428"/>
      <c r="AD12" s="428"/>
      <c r="AE12" s="428"/>
      <c r="AF12" s="428"/>
      <c r="AG12" s="428"/>
      <c r="AH12" s="428"/>
      <c r="AI12" s="428"/>
      <c r="AJ12" s="429"/>
    </row>
    <row r="13" ht="19.9" customHeight="1" spans="1:36" s="40" customFormat="1" x14ac:dyDescent="0.25">
      <c r="A13" s="430"/>
      <c r="B13" s="431"/>
      <c r="C13" s="431"/>
      <c r="D13" s="286"/>
      <c r="E13" s="331"/>
      <c r="F13" s="331"/>
      <c r="G13" s="432"/>
      <c r="H13" s="424"/>
      <c r="I13" s="195"/>
      <c r="J13" s="433"/>
      <c r="K13" s="259"/>
      <c r="L13" s="433"/>
      <c r="M13" s="259"/>
      <c r="N13" s="433"/>
      <c r="O13" s="259"/>
      <c r="P13" s="424"/>
      <c r="Q13" s="195"/>
      <c r="R13" s="434"/>
      <c r="S13" s="53"/>
      <c r="T13" s="434"/>
      <c r="U13" s="53"/>
      <c r="V13" s="434"/>
      <c r="W13" s="195"/>
      <c r="X13" s="435">
        <f t="shared" si="0"/>
        <v>0</v>
      </c>
      <c r="Y13" s="433"/>
      <c r="Z13" s="436"/>
      <c r="AA13" s="437"/>
      <c r="AB13" s="438"/>
      <c r="AC13" s="438"/>
      <c r="AD13" s="438"/>
      <c r="AE13" s="438"/>
      <c r="AF13" s="438"/>
      <c r="AG13" s="438"/>
      <c r="AH13" s="438"/>
      <c r="AI13" s="438"/>
      <c r="AJ13" s="439"/>
    </row>
    <row r="14" ht="19.9" customHeight="1" spans="1:36" s="40" customFormat="1" x14ac:dyDescent="0.25">
      <c r="A14" s="430"/>
      <c r="B14" s="431"/>
      <c r="C14" s="431"/>
      <c r="D14" s="286"/>
      <c r="E14" s="331"/>
      <c r="F14" s="331"/>
      <c r="G14" s="432"/>
      <c r="H14" s="424"/>
      <c r="I14" s="195"/>
      <c r="J14" s="434"/>
      <c r="K14" s="53"/>
      <c r="L14" s="425"/>
      <c r="M14" s="53"/>
      <c r="N14" s="425"/>
      <c r="O14" s="53"/>
      <c r="P14" s="424"/>
      <c r="Q14" s="195"/>
      <c r="R14" s="433"/>
      <c r="S14" s="259"/>
      <c r="T14" s="425"/>
      <c r="U14" s="53"/>
      <c r="V14" s="425"/>
      <c r="W14" s="195"/>
      <c r="X14" s="440">
        <f t="shared" si="0"/>
        <v>0</v>
      </c>
      <c r="Y14" s="441"/>
      <c r="Z14" s="442"/>
      <c r="AA14" s="437"/>
      <c r="AB14" s="438"/>
      <c r="AC14" s="438"/>
      <c r="AD14" s="438"/>
      <c r="AE14" s="438"/>
      <c r="AF14" s="438"/>
      <c r="AG14" s="438"/>
      <c r="AH14" s="438"/>
      <c r="AI14" s="438"/>
      <c r="AJ14" s="439"/>
    </row>
    <row r="15" ht="19.9" customHeight="1" spans="1:36" s="40" customFormat="1" x14ac:dyDescent="0.25">
      <c r="A15" s="430"/>
      <c r="B15" s="431"/>
      <c r="C15" s="431"/>
      <c r="D15" s="286"/>
      <c r="E15" s="331"/>
      <c r="F15" s="331"/>
      <c r="G15" s="432"/>
      <c r="H15" s="424"/>
      <c r="I15" s="195"/>
      <c r="J15" s="434"/>
      <c r="K15" s="53"/>
      <c r="L15" s="425"/>
      <c r="M15" s="53"/>
      <c r="N15" s="425"/>
      <c r="O15" s="53"/>
      <c r="P15" s="424"/>
      <c r="Q15" s="195"/>
      <c r="R15" s="433"/>
      <c r="S15" s="259"/>
      <c r="T15" s="425"/>
      <c r="U15" s="53"/>
      <c r="V15" s="425"/>
      <c r="W15" s="195"/>
      <c r="X15" s="440">
        <f t="shared" si="0"/>
        <v>0</v>
      </c>
      <c r="Y15" s="441"/>
      <c r="Z15" s="442"/>
      <c r="AA15" s="437"/>
      <c r="AB15" s="438"/>
      <c r="AC15" s="438"/>
      <c r="AD15" s="438"/>
      <c r="AE15" s="438"/>
      <c r="AF15" s="438"/>
      <c r="AG15" s="438"/>
      <c r="AH15" s="438"/>
      <c r="AI15" s="438"/>
      <c r="AJ15" s="439"/>
    </row>
    <row r="16" ht="19.9" customHeight="1" hidden="1" spans="1:36" s="40" customFormat="1" x14ac:dyDescent="0.25">
      <c r="A16" s="430"/>
      <c r="B16" s="431"/>
      <c r="C16" s="431"/>
      <c r="D16" s="286"/>
      <c r="E16" s="331"/>
      <c r="F16" s="331"/>
      <c r="G16" s="432"/>
      <c r="H16" s="440"/>
      <c r="I16" s="207"/>
      <c r="J16" s="443"/>
      <c r="K16" s="207"/>
      <c r="L16" s="443"/>
      <c r="M16" s="207"/>
      <c r="N16" s="443"/>
      <c r="O16" s="432"/>
      <c r="P16" s="440"/>
      <c r="Q16" s="207"/>
      <c r="R16" s="443"/>
      <c r="S16" s="207"/>
      <c r="T16" s="443"/>
      <c r="U16" s="207"/>
      <c r="V16" s="443"/>
      <c r="W16" s="432"/>
      <c r="X16" s="440">
        <f t="shared" si="0"/>
        <v>0</v>
      </c>
      <c r="Y16" s="441"/>
      <c r="Z16" s="442"/>
      <c r="AA16" s="437"/>
      <c r="AB16" s="438"/>
      <c r="AC16" s="438"/>
      <c r="AD16" s="438"/>
      <c r="AE16" s="438"/>
      <c r="AF16" s="438"/>
      <c r="AG16" s="438"/>
      <c r="AH16" s="438"/>
      <c r="AI16" s="438"/>
      <c r="AJ16" s="439"/>
    </row>
    <row r="17" ht="19.9" customHeight="1" hidden="1" spans="1:36" s="40" customFormat="1" x14ac:dyDescent="0.25">
      <c r="A17" s="430"/>
      <c r="B17" s="431"/>
      <c r="C17" s="431"/>
      <c r="D17" s="286"/>
      <c r="E17" s="331"/>
      <c r="F17" s="331"/>
      <c r="G17" s="432"/>
      <c r="H17" s="440"/>
      <c r="I17" s="207"/>
      <c r="J17" s="443"/>
      <c r="K17" s="207"/>
      <c r="L17" s="443"/>
      <c r="M17" s="207"/>
      <c r="N17" s="443"/>
      <c r="O17" s="432"/>
      <c r="P17" s="440"/>
      <c r="Q17" s="207"/>
      <c r="R17" s="443"/>
      <c r="S17" s="207"/>
      <c r="T17" s="443"/>
      <c r="U17" s="207"/>
      <c r="V17" s="443"/>
      <c r="W17" s="432"/>
      <c r="X17" s="440">
        <f>SUM(H17:W17)</f>
        <v>0</v>
      </c>
      <c r="Y17" s="441"/>
      <c r="Z17" s="442"/>
      <c r="AA17" s="437"/>
      <c r="AB17" s="438"/>
      <c r="AC17" s="438"/>
      <c r="AD17" s="438"/>
      <c r="AE17" s="438"/>
      <c r="AF17" s="438"/>
      <c r="AG17" s="438"/>
      <c r="AH17" s="438"/>
      <c r="AI17" s="438"/>
      <c r="AJ17" s="439"/>
    </row>
    <row r="18" ht="19.9" customHeight="1" spans="1:36" s="40" customFormat="1" x14ac:dyDescent="0.25">
      <c r="A18" s="430"/>
      <c r="B18" s="431"/>
      <c r="C18" s="431"/>
      <c r="D18" s="444"/>
      <c r="E18" s="36"/>
      <c r="F18" s="36"/>
      <c r="G18" s="38"/>
      <c r="H18" s="445"/>
      <c r="I18" s="444"/>
      <c r="J18" s="446"/>
      <c r="K18" s="35"/>
      <c r="L18" s="447"/>
      <c r="M18" s="35"/>
      <c r="N18" s="447"/>
      <c r="O18" s="35"/>
      <c r="P18" s="445"/>
      <c r="Q18" s="444"/>
      <c r="R18" s="446"/>
      <c r="S18" s="35"/>
      <c r="T18" s="447"/>
      <c r="U18" s="35"/>
      <c r="V18" s="447"/>
      <c r="W18" s="444"/>
      <c r="X18" s="448">
        <f t="shared" si="0"/>
        <v>0</v>
      </c>
      <c r="Y18" s="449"/>
      <c r="Z18" s="450"/>
      <c r="AA18" s="451"/>
      <c r="AB18" s="452"/>
      <c r="AC18" s="452"/>
      <c r="AD18" s="452"/>
      <c r="AE18" s="452"/>
      <c r="AF18" s="452"/>
      <c r="AG18" s="452"/>
      <c r="AH18" s="452"/>
      <c r="AI18" s="452"/>
      <c r="AJ18" s="453"/>
    </row>
    <row r="19" ht="19.9" customHeight="1" spans="1:36" s="40" customFormat="1" x14ac:dyDescent="0.25">
      <c r="A19" s="454"/>
      <c r="B19" s="455"/>
      <c r="C19" s="455"/>
      <c r="D19" s="80" t="s">
        <v>117</v>
      </c>
      <c r="E19" s="80"/>
      <c r="F19" s="80"/>
      <c r="G19" s="456"/>
      <c r="H19" s="457">
        <f>SUM(H12:I18)</f>
        <v>0</v>
      </c>
      <c r="I19" s="458"/>
      <c r="J19" s="459">
        <f>SUM(J12:K18)</f>
        <v>0</v>
      </c>
      <c r="K19" s="460"/>
      <c r="L19" s="459">
        <f>SUM(L12:M18)</f>
        <v>0</v>
      </c>
      <c r="M19" s="460"/>
      <c r="N19" s="459">
        <f>SUM(N12:O18)</f>
        <v>0</v>
      </c>
      <c r="O19" s="461"/>
      <c r="P19" s="457">
        <f>SUM(P12:Q18)</f>
        <v>0</v>
      </c>
      <c r="Q19" s="458"/>
      <c r="R19" s="458">
        <f>SUM(R12:S18)</f>
        <v>0</v>
      </c>
      <c r="S19" s="458"/>
      <c r="T19" s="458">
        <f>SUM(T12:U18)</f>
        <v>0</v>
      </c>
      <c r="U19" s="458"/>
      <c r="V19" s="458">
        <f>SUM(V12:W18)</f>
        <v>0</v>
      </c>
      <c r="W19" s="462"/>
      <c r="X19" s="463">
        <f>SUM(X12:Z18)</f>
        <v>0</v>
      </c>
      <c r="Y19" s="464"/>
      <c r="Z19" s="465"/>
      <c r="AA19" s="466"/>
      <c r="AB19" s="467"/>
      <c r="AC19" s="467"/>
      <c r="AD19" s="467"/>
      <c r="AE19" s="467"/>
      <c r="AF19" s="467"/>
      <c r="AG19" s="467"/>
      <c r="AH19" s="467"/>
      <c r="AI19" s="467"/>
      <c r="AJ19" s="468"/>
    </row>
    <row r="20" ht="19.9" customHeight="1" spans="1:36" s="40" customFormat="1" x14ac:dyDescent="0.25">
      <c r="A20" s="469" t="s">
        <v>118</v>
      </c>
      <c r="B20" s="470"/>
      <c r="C20" s="471"/>
      <c r="D20" s="195"/>
      <c r="E20" s="54"/>
      <c r="F20" s="54"/>
      <c r="G20" s="55"/>
      <c r="H20" s="424"/>
      <c r="I20" s="195"/>
      <c r="J20" s="434"/>
      <c r="K20" s="53"/>
      <c r="L20" s="434"/>
      <c r="M20" s="53"/>
      <c r="N20" s="434"/>
      <c r="O20" s="53"/>
      <c r="P20" s="424"/>
      <c r="Q20" s="195"/>
      <c r="R20" s="434"/>
      <c r="S20" s="53"/>
      <c r="T20" s="434"/>
      <c r="U20" s="53"/>
      <c r="V20" s="434"/>
      <c r="W20" s="195"/>
      <c r="X20" s="472">
        <f t="shared" ref="X20:X26" si="1">SUM(H20:W20)</f>
        <v>389</v>
      </c>
      <c r="Y20" s="473"/>
      <c r="Z20" s="474"/>
      <c r="AA20" s="475"/>
      <c r="AB20" s="476"/>
      <c r="AC20" s="476"/>
      <c r="AD20" s="476"/>
      <c r="AE20" s="476"/>
      <c r="AF20" s="476"/>
      <c r="AG20" s="476"/>
      <c r="AH20" s="476"/>
      <c r="AI20" s="476"/>
      <c r="AJ20" s="477"/>
    </row>
    <row r="21" ht="19.9" customHeight="1" spans="1:36" s="40" customFormat="1" x14ac:dyDescent="0.25">
      <c r="A21" s="430"/>
      <c r="B21" s="431"/>
      <c r="C21" s="478"/>
      <c r="D21" s="286"/>
      <c r="E21" s="331"/>
      <c r="F21" s="331"/>
      <c r="G21" s="432"/>
      <c r="H21" s="424"/>
      <c r="I21" s="195"/>
      <c r="J21" s="433"/>
      <c r="K21" s="259"/>
      <c r="L21" s="433"/>
      <c r="M21" s="259"/>
      <c r="N21" s="433"/>
      <c r="O21" s="259"/>
      <c r="P21" s="424"/>
      <c r="Q21" s="195"/>
      <c r="R21" s="434"/>
      <c r="S21" s="53"/>
      <c r="T21" s="434"/>
      <c r="U21" s="53"/>
      <c r="V21" s="434"/>
      <c r="W21" s="195"/>
      <c r="X21" s="435">
        <f t="shared" si="1"/>
        <v>223</v>
      </c>
      <c r="Y21" s="433"/>
      <c r="Z21" s="436"/>
      <c r="AA21" s="479" t="s">
        <v>119</v>
      </c>
      <c r="AB21" s="480"/>
      <c r="AC21" s="480"/>
      <c r="AD21" s="480"/>
      <c r="AE21" s="480"/>
      <c r="AF21" s="480"/>
      <c r="AG21" s="480"/>
      <c r="AH21" s="480"/>
      <c r="AI21" s="480"/>
      <c r="AJ21" s="481"/>
    </row>
    <row r="22" ht="19.9" customHeight="1" spans="1:36" s="40" customFormat="1" x14ac:dyDescent="0.25">
      <c r="A22" s="430"/>
      <c r="B22" s="431"/>
      <c r="C22" s="478"/>
      <c r="D22" s="198"/>
      <c r="E22" s="482"/>
      <c r="F22" s="482"/>
      <c r="G22" s="483"/>
      <c r="H22" s="448"/>
      <c r="I22" s="198"/>
      <c r="J22" s="449"/>
      <c r="K22" s="374"/>
      <c r="L22" s="449"/>
      <c r="M22" s="374"/>
      <c r="N22" s="449"/>
      <c r="O22" s="374"/>
      <c r="P22" s="448"/>
      <c r="Q22" s="198"/>
      <c r="R22" s="449"/>
      <c r="S22" s="374"/>
      <c r="T22" s="449"/>
      <c r="U22" s="374"/>
      <c r="V22" s="449"/>
      <c r="W22" s="198"/>
      <c r="X22" s="435">
        <f t="shared" si="1"/>
        <v>1</v>
      </c>
      <c r="Y22" s="433"/>
      <c r="Z22" s="436"/>
      <c r="AA22" s="479"/>
      <c r="AB22" s="480"/>
      <c r="AC22" s="480"/>
      <c r="AD22" s="480"/>
      <c r="AE22" s="480"/>
      <c r="AF22" s="480"/>
      <c r="AG22" s="480"/>
      <c r="AH22" s="480"/>
      <c r="AI22" s="480"/>
      <c r="AJ22" s="481"/>
    </row>
    <row r="23" ht="19.9" customHeight="1" spans="1:36" s="40" customFormat="1" x14ac:dyDescent="0.25">
      <c r="A23" s="430"/>
      <c r="B23" s="431"/>
      <c r="C23" s="478"/>
      <c r="D23" s="198"/>
      <c r="E23" s="482"/>
      <c r="F23" s="482"/>
      <c r="G23" s="483"/>
      <c r="H23" s="448"/>
      <c r="I23" s="198"/>
      <c r="J23" s="449"/>
      <c r="K23" s="374"/>
      <c r="L23" s="449"/>
      <c r="M23" s="374"/>
      <c r="N23" s="449"/>
      <c r="O23" s="374"/>
      <c r="P23" s="448"/>
      <c r="Q23" s="198"/>
      <c r="R23" s="449"/>
      <c r="S23" s="374"/>
      <c r="T23" s="449"/>
      <c r="U23" s="374"/>
      <c r="V23" s="449"/>
      <c r="W23" s="198"/>
      <c r="X23" s="435">
        <f t="shared" si="1"/>
        <v>0</v>
      </c>
      <c r="Y23" s="433"/>
      <c r="Z23" s="436"/>
      <c r="AA23" s="484"/>
      <c r="AB23" s="485"/>
      <c r="AC23" s="485"/>
      <c r="AD23" s="485"/>
      <c r="AE23" s="485"/>
      <c r="AF23" s="485"/>
      <c r="AG23" s="485"/>
      <c r="AH23" s="485"/>
      <c r="AI23" s="485"/>
      <c r="AJ23" s="486"/>
    </row>
    <row r="24" ht="19.9" customHeight="1" hidden="1" spans="1:36" s="40" customFormat="1" x14ac:dyDescent="0.25">
      <c r="A24" s="430"/>
      <c r="B24" s="431"/>
      <c r="C24" s="478"/>
      <c r="D24" s="198"/>
      <c r="E24" s="482"/>
      <c r="F24" s="482"/>
      <c r="G24" s="483"/>
      <c r="H24" s="448"/>
      <c r="I24" s="198"/>
      <c r="J24" s="449"/>
      <c r="K24" s="374"/>
      <c r="L24" s="449"/>
      <c r="M24" s="374"/>
      <c r="N24" s="449"/>
      <c r="O24" s="374"/>
      <c r="P24" s="448"/>
      <c r="Q24" s="198"/>
      <c r="R24" s="449"/>
      <c r="S24" s="374"/>
      <c r="T24" s="449"/>
      <c r="U24" s="374"/>
      <c r="V24" s="449"/>
      <c r="W24" s="198"/>
      <c r="X24" s="435">
        <f t="shared" si="1"/>
        <v>0</v>
      </c>
      <c r="Y24" s="433"/>
      <c r="Z24" s="436"/>
      <c r="AA24" s="484"/>
      <c r="AB24" s="485"/>
      <c r="AC24" s="485"/>
      <c r="AD24" s="485"/>
      <c r="AE24" s="485"/>
      <c r="AF24" s="485"/>
      <c r="AG24" s="485"/>
      <c r="AH24" s="485"/>
      <c r="AI24" s="485"/>
      <c r="AJ24" s="486"/>
    </row>
    <row r="25" ht="19.9" customHeight="1" hidden="1" spans="1:36" s="40" customFormat="1" x14ac:dyDescent="0.25">
      <c r="A25" s="430"/>
      <c r="B25" s="431"/>
      <c r="C25" s="478"/>
      <c r="D25" s="198"/>
      <c r="E25" s="482"/>
      <c r="F25" s="482"/>
      <c r="G25" s="483"/>
      <c r="H25" s="448"/>
      <c r="I25" s="198"/>
      <c r="J25" s="449"/>
      <c r="K25" s="374"/>
      <c r="L25" s="449"/>
      <c r="M25" s="374"/>
      <c r="N25" s="449"/>
      <c r="O25" s="374"/>
      <c r="P25" s="448"/>
      <c r="Q25" s="198"/>
      <c r="R25" s="449"/>
      <c r="S25" s="374"/>
      <c r="T25" s="449"/>
      <c r="U25" s="374"/>
      <c r="V25" s="449"/>
      <c r="W25" s="198"/>
      <c r="X25" s="435">
        <f t="shared" si="1"/>
        <v>0</v>
      </c>
      <c r="Y25" s="433"/>
      <c r="Z25" s="436"/>
      <c r="AA25" s="484"/>
      <c r="AB25" s="485"/>
      <c r="AC25" s="485"/>
      <c r="AD25" s="485"/>
      <c r="AE25" s="485"/>
      <c r="AF25" s="485"/>
      <c r="AG25" s="485"/>
      <c r="AH25" s="485"/>
      <c r="AI25" s="485"/>
      <c r="AJ25" s="486"/>
    </row>
    <row r="26" ht="19.9" customHeight="1" spans="1:36" s="40" customFormat="1" x14ac:dyDescent="0.25">
      <c r="A26" s="430"/>
      <c r="B26" s="431"/>
      <c r="C26" s="478"/>
      <c r="D26" s="187"/>
      <c r="E26" s="482"/>
      <c r="F26" s="482"/>
      <c r="G26" s="483"/>
      <c r="H26" s="448"/>
      <c r="I26" s="198"/>
      <c r="J26" s="449"/>
      <c r="K26" s="374"/>
      <c r="L26" s="449"/>
      <c r="M26" s="374"/>
      <c r="N26" s="449"/>
      <c r="O26" s="374"/>
      <c r="P26" s="448"/>
      <c r="Q26" s="198"/>
      <c r="R26" s="449"/>
      <c r="S26" s="374"/>
      <c r="T26" s="449"/>
      <c r="U26" s="374"/>
      <c r="V26" s="449"/>
      <c r="W26" s="198"/>
      <c r="X26" s="448">
        <f t="shared" si="1"/>
        <v>0</v>
      </c>
      <c r="Y26" s="449"/>
      <c r="Z26" s="450"/>
      <c r="AA26" s="487"/>
      <c r="AB26" s="488"/>
      <c r="AC26" s="488"/>
      <c r="AD26" s="488"/>
      <c r="AE26" s="488"/>
      <c r="AF26" s="488"/>
      <c r="AG26" s="488"/>
      <c r="AH26" s="488"/>
      <c r="AI26" s="488"/>
      <c r="AJ26" s="489"/>
    </row>
    <row r="27" ht="19.9" customHeight="1" spans="1:36" s="40" customFormat="1" x14ac:dyDescent="0.25">
      <c r="A27" s="454"/>
      <c r="B27" s="455"/>
      <c r="C27" s="490"/>
      <c r="D27" s="491" t="s">
        <v>117</v>
      </c>
      <c r="E27" s="491"/>
      <c r="F27" s="491"/>
      <c r="G27" s="492"/>
      <c r="H27" s="463">
        <f>SUM(H20:I26)</f>
        <v>56</v>
      </c>
      <c r="I27" s="464"/>
      <c r="J27" s="459">
        <f>SUM(J20:K26)</f>
        <v>0</v>
      </c>
      <c r="K27" s="460"/>
      <c r="L27" s="459">
        <f>SUM(L20:M26)</f>
        <v>32</v>
      </c>
      <c r="M27" s="460"/>
      <c r="N27" s="459">
        <f>SUM(N20:O26)</f>
        <v>0</v>
      </c>
      <c r="O27" s="461"/>
      <c r="P27" s="463">
        <f>SUM(P20:Q26)</f>
        <v>26</v>
      </c>
      <c r="Q27" s="464"/>
      <c r="R27" s="464">
        <f>SUM(R20:S26)</f>
        <v>0</v>
      </c>
      <c r="S27" s="464"/>
      <c r="T27" s="464">
        <f>SUM(T20:U26)</f>
        <v>499</v>
      </c>
      <c r="U27" s="464"/>
      <c r="V27" s="464">
        <f>SUM(V20:W26)</f>
        <v>0</v>
      </c>
      <c r="W27" s="465"/>
      <c r="X27" s="463">
        <f>SUM(X20:Z26)</f>
        <v>613</v>
      </c>
      <c r="Y27" s="464"/>
      <c r="Z27" s="465"/>
      <c r="AA27" s="493"/>
      <c r="AB27" s="494"/>
      <c r="AC27" s="494"/>
      <c r="AD27" s="494"/>
      <c r="AE27" s="494"/>
      <c r="AF27" s="494"/>
      <c r="AG27" s="494"/>
      <c r="AH27" s="494"/>
      <c r="AI27" s="494"/>
      <c r="AJ27" s="495"/>
    </row>
    <row r="28" ht="19.9" customHeight="1" spans="1:36" s="40" customFormat="1" x14ac:dyDescent="0.25">
      <c r="A28" s="52" t="s">
        <v>120</v>
      </c>
      <c r="B28" s="53"/>
      <c r="C28" s="53"/>
      <c r="D28" s="53" t="s">
        <v>121</v>
      </c>
      <c r="E28" s="53"/>
      <c r="F28" s="53"/>
      <c r="G28" s="195"/>
      <c r="H28" s="424"/>
      <c r="I28" s="434"/>
      <c r="J28" s="496"/>
      <c r="K28" s="497"/>
      <c r="L28" s="496"/>
      <c r="M28" s="497"/>
      <c r="N28" s="496"/>
      <c r="O28" s="498"/>
      <c r="P28" s="424"/>
      <c r="Q28" s="434"/>
      <c r="R28" s="434"/>
      <c r="S28" s="434"/>
      <c r="T28" s="434"/>
      <c r="U28" s="434"/>
      <c r="V28" s="434"/>
      <c r="W28" s="499"/>
      <c r="X28" s="425"/>
      <c r="Y28" s="434"/>
      <c r="Z28" s="499"/>
      <c r="AA28" s="500"/>
      <c r="AB28" s="501"/>
      <c r="AC28" s="501"/>
      <c r="AD28" s="501"/>
      <c r="AE28" s="501"/>
      <c r="AF28" s="501"/>
      <c r="AG28" s="501"/>
      <c r="AH28" s="501"/>
      <c r="AI28" s="501"/>
      <c r="AJ28" s="502"/>
    </row>
    <row r="29" ht="19.9" customHeight="1" spans="1:36" s="40" customFormat="1" x14ac:dyDescent="0.25">
      <c r="A29" s="37"/>
      <c r="B29" s="35"/>
      <c r="C29" s="35"/>
      <c r="D29" s="35" t="s">
        <v>121</v>
      </c>
      <c r="E29" s="35"/>
      <c r="F29" s="35"/>
      <c r="G29" s="444"/>
      <c r="H29" s="445"/>
      <c r="I29" s="446"/>
      <c r="J29" s="446"/>
      <c r="K29" s="446"/>
      <c r="L29" s="446"/>
      <c r="M29" s="446"/>
      <c r="N29" s="446"/>
      <c r="O29" s="503"/>
      <c r="P29" s="445"/>
      <c r="Q29" s="446"/>
      <c r="R29" s="446"/>
      <c r="S29" s="446"/>
      <c r="T29" s="446"/>
      <c r="U29" s="446"/>
      <c r="V29" s="446"/>
      <c r="W29" s="503"/>
      <c r="X29" s="447"/>
      <c r="Y29" s="446"/>
      <c r="Z29" s="503"/>
      <c r="AA29" s="504"/>
      <c r="AB29" s="505"/>
      <c r="AC29" s="505"/>
      <c r="AD29" s="505"/>
      <c r="AE29" s="505"/>
      <c r="AF29" s="505"/>
      <c r="AG29" s="505"/>
      <c r="AH29" s="505"/>
      <c r="AI29" s="505"/>
      <c r="AJ29" s="506"/>
    </row>
    <row r="30" ht="19.9" customHeight="1" spans="1:36" s="40" customFormat="1" x14ac:dyDescent="0.25">
      <c r="A30" s="79" t="s">
        <v>122</v>
      </c>
      <c r="B30" s="80"/>
      <c r="C30" s="80"/>
      <c r="D30" s="80"/>
      <c r="E30" s="80"/>
      <c r="F30" s="80"/>
      <c r="G30" s="507"/>
      <c r="H30" s="457">
        <f>SUM(H19+H27+H28+H29)</f>
        <v>56</v>
      </c>
      <c r="I30" s="458"/>
      <c r="J30" s="458">
        <f>SUM(J19+J27+J28+J29)</f>
        <v>0</v>
      </c>
      <c r="K30" s="458"/>
      <c r="L30" s="458">
        <f>SUM(L19+L27+L28+L29)</f>
        <v>32</v>
      </c>
      <c r="M30" s="458"/>
      <c r="N30" s="458">
        <f>SUM(N19+N27+N28+N29)</f>
        <v>0</v>
      </c>
      <c r="O30" s="462"/>
      <c r="P30" s="457">
        <f>SUM(P19+P27+P28+P29)</f>
        <v>26</v>
      </c>
      <c r="Q30" s="458"/>
      <c r="R30" s="458">
        <f>SUM(R19+R27+R28+R29)</f>
        <v>0</v>
      </c>
      <c r="S30" s="458"/>
      <c r="T30" s="458">
        <f>SUM(T19+T27+T28+T29)</f>
        <v>499</v>
      </c>
      <c r="U30" s="458"/>
      <c r="V30" s="458">
        <f>SUM(V19+V27+V28+V29)</f>
        <v>0</v>
      </c>
      <c r="W30" s="462"/>
      <c r="X30" s="508">
        <f>SUM(X19+X27+X28+X29)</f>
        <v>613</v>
      </c>
      <c r="Y30" s="458"/>
      <c r="Z30" s="462"/>
      <c r="AA30" s="509"/>
      <c r="AB30" s="510"/>
      <c r="AC30" s="510"/>
      <c r="AD30" s="510"/>
      <c r="AE30" s="510"/>
      <c r="AF30" s="510"/>
      <c r="AG30" s="510"/>
      <c r="AH30" s="510"/>
      <c r="AI30" s="510"/>
      <c r="AJ30" s="511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12" t="s">
        <v>123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13" t="s">
        <v>124</v>
      </c>
      <c r="B34" s="514"/>
      <c r="C34" s="514"/>
      <c r="D34" s="515"/>
      <c r="E34" s="516" t="s">
        <v>125</v>
      </c>
      <c r="F34" s="517"/>
      <c r="G34" s="517"/>
      <c r="H34" s="517"/>
      <c r="I34" s="517"/>
      <c r="J34" s="517"/>
      <c r="K34" s="517" t="s">
        <v>126</v>
      </c>
      <c r="L34" s="517"/>
      <c r="M34" s="517"/>
      <c r="N34" s="517"/>
      <c r="O34" s="517"/>
      <c r="P34" s="518"/>
      <c r="Q34" s="516" t="s">
        <v>127</v>
      </c>
      <c r="R34" s="517"/>
      <c r="S34" s="517"/>
      <c r="T34" s="517"/>
      <c r="U34" s="517"/>
      <c r="V34" s="518"/>
      <c r="W34" s="516" t="s">
        <v>51</v>
      </c>
      <c r="X34" s="517"/>
      <c r="Y34" s="517"/>
      <c r="Z34" s="517"/>
      <c r="AA34" s="517"/>
      <c r="AB34" s="517"/>
      <c r="AC34" s="517"/>
      <c r="AD34" s="517"/>
      <c r="AE34" s="517"/>
      <c r="AF34" s="517"/>
      <c r="AG34" s="517"/>
      <c r="AH34" s="517"/>
      <c r="AI34" s="517"/>
      <c r="AJ34" s="518"/>
    </row>
    <row r="35" ht="15.75" customHeight="1" hidden="1" spans="1:37" s="519" customFormat="1" x14ac:dyDescent="0.25">
      <c r="A35" s="520" t="s">
        <v>128</v>
      </c>
      <c r="B35" s="521"/>
      <c r="C35" s="521"/>
      <c r="D35" s="522"/>
      <c r="E35" s="523">
        <v>0.40277777777737356</v>
      </c>
      <c r="F35" s="524"/>
      <c r="G35" s="524"/>
      <c r="H35" s="524"/>
      <c r="I35" s="524"/>
      <c r="J35" s="525"/>
      <c r="K35" s="526"/>
      <c r="L35" s="524"/>
      <c r="M35" s="524"/>
      <c r="N35" s="524"/>
      <c r="O35" s="524"/>
      <c r="P35" s="527"/>
      <c r="Q35" s="528">
        <f t="shared" ref="Q35:Q36" si="2">IF(AND(NOT(ISBLANK(K35)),NOT(ISBLANK(E35))), IF(K35&gt;E35,K35-E35,24-E35+K35), "")</f>
      </c>
      <c r="R35" s="529"/>
      <c r="S35" s="529"/>
      <c r="T35" s="529"/>
      <c r="U35" s="529"/>
      <c r="V35" s="530"/>
      <c r="W35" s="531" t="s">
        <v>129</v>
      </c>
      <c r="X35" s="532"/>
      <c r="Y35" s="532"/>
      <c r="Z35" s="532"/>
      <c r="AA35" s="532"/>
      <c r="AB35" s="532"/>
      <c r="AC35" s="532"/>
      <c r="AD35" s="532"/>
      <c r="AE35" s="532"/>
      <c r="AF35" s="532"/>
      <c r="AG35" s="532"/>
      <c r="AH35" s="532"/>
      <c r="AI35" s="532"/>
      <c r="AJ35" s="533"/>
      <c r="AK35" s="534"/>
    </row>
    <row r="36" ht="15.75" customHeight="1" hidden="1" spans="1:37" s="519" customFormat="1" x14ac:dyDescent="0.25">
      <c r="A36" s="535" t="s">
        <v>130</v>
      </c>
      <c r="B36" s="536"/>
      <c r="C36" s="536"/>
      <c r="D36" s="537"/>
      <c r="E36" s="538">
        <f>E35</f>
        <v>0.40277777777737356</v>
      </c>
      <c r="F36" s="539"/>
      <c r="G36" s="539"/>
      <c r="H36" s="539"/>
      <c r="I36" s="539"/>
      <c r="J36" s="540"/>
      <c r="K36" s="541">
        <v>0.5</v>
      </c>
      <c r="L36" s="539"/>
      <c r="M36" s="539"/>
      <c r="N36" s="539"/>
      <c r="O36" s="539"/>
      <c r="P36" s="542"/>
      <c r="Q36" s="543">
        <f t="shared" si="2"/>
        <v>0.09722222222262644</v>
      </c>
      <c r="R36" s="544"/>
      <c r="S36" s="544"/>
      <c r="T36" s="544"/>
      <c r="U36" s="544"/>
      <c r="V36" s="545"/>
      <c r="W36" s="546" t="s">
        <v>131</v>
      </c>
      <c r="X36" s="547"/>
      <c r="Y36" s="547"/>
      <c r="Z36" s="547"/>
      <c r="AA36" s="547"/>
      <c r="AB36" s="547"/>
      <c r="AC36" s="547"/>
      <c r="AD36" s="547"/>
      <c r="AE36" s="547"/>
      <c r="AF36" s="547"/>
      <c r="AG36" s="547"/>
      <c r="AH36" s="547"/>
      <c r="AI36" s="547"/>
      <c r="AJ36" s="548"/>
      <c r="AK36" s="534"/>
    </row>
    <row r="37" ht="15.75" customHeight="1" hidden="1" spans="1:37" s="519" customFormat="1" x14ac:dyDescent="0.25">
      <c r="A37" s="549"/>
      <c r="B37" s="550"/>
      <c r="C37" s="550"/>
      <c r="D37" s="551"/>
      <c r="E37" s="523">
        <f>K36</f>
        <v>0.5</v>
      </c>
      <c r="F37" s="524"/>
      <c r="G37" s="524"/>
      <c r="H37" s="524"/>
      <c r="I37" s="524"/>
      <c r="J37" s="525"/>
      <c r="K37" s="541">
        <v>0.5416666666678793</v>
      </c>
      <c r="L37" s="539"/>
      <c r="M37" s="539"/>
      <c r="N37" s="539"/>
      <c r="O37" s="539"/>
      <c r="P37" s="542"/>
      <c r="Q37" s="543">
        <f t="shared" ref="Q37:Q48" si="3">IF(AND(NOT(ISBLANK(K37)),NOT(ISBLANK(E37))), IF(K37&gt;E37,K37-E37,24-E37+K37), "")</f>
        <v>0.041666666667879326</v>
      </c>
      <c r="R37" s="544"/>
      <c r="S37" s="544"/>
      <c r="T37" s="544"/>
      <c r="U37" s="544"/>
      <c r="V37" s="545"/>
      <c r="W37" s="546" t="s">
        <v>132</v>
      </c>
      <c r="X37" s="547"/>
      <c r="Y37" s="547"/>
      <c r="Z37" s="547"/>
      <c r="AA37" s="547"/>
      <c r="AB37" s="547"/>
      <c r="AC37" s="547"/>
      <c r="AD37" s="547"/>
      <c r="AE37" s="547"/>
      <c r="AF37" s="547"/>
      <c r="AG37" s="547"/>
      <c r="AH37" s="547"/>
      <c r="AI37" s="547"/>
      <c r="AJ37" s="548"/>
      <c r="AK37" s="534"/>
    </row>
    <row r="38" ht="15.75" customHeight="1" hidden="1" spans="1:37" s="519" customFormat="1" x14ac:dyDescent="0.25">
      <c r="A38" s="549"/>
      <c r="B38" s="550"/>
      <c r="C38" s="550"/>
      <c r="D38" s="551"/>
      <c r="E38" s="523">
        <f>K37</f>
        <v>0.5416666666678793</v>
      </c>
      <c r="F38" s="524"/>
      <c r="G38" s="524"/>
      <c r="H38" s="524"/>
      <c r="I38" s="524"/>
      <c r="J38" s="525"/>
      <c r="K38" s="541">
        <v>0.6979166666678793</v>
      </c>
      <c r="L38" s="539"/>
      <c r="M38" s="539"/>
      <c r="N38" s="539"/>
      <c r="O38" s="539"/>
      <c r="P38" s="542"/>
      <c r="Q38" s="543">
        <f t="shared" si="3"/>
        <v>0.15625</v>
      </c>
      <c r="R38" s="544"/>
      <c r="S38" s="544"/>
      <c r="T38" s="544"/>
      <c r="U38" s="544"/>
      <c r="V38" s="545"/>
      <c r="W38" s="546" t="s">
        <v>131</v>
      </c>
      <c r="X38" s="547"/>
      <c r="Y38" s="547"/>
      <c r="Z38" s="547"/>
      <c r="AA38" s="547"/>
      <c r="AB38" s="547"/>
      <c r="AC38" s="547"/>
      <c r="AD38" s="547"/>
      <c r="AE38" s="547"/>
      <c r="AF38" s="547"/>
      <c r="AG38" s="547"/>
      <c r="AH38" s="547"/>
      <c r="AI38" s="547"/>
      <c r="AJ38" s="548"/>
      <c r="AK38" s="534"/>
    </row>
    <row r="39" ht="15.75" customHeight="1" hidden="1" spans="1:37" s="519" customFormat="1" x14ac:dyDescent="0.25">
      <c r="A39" s="549"/>
      <c r="B39" s="550"/>
      <c r="C39" s="550"/>
      <c r="D39" s="551"/>
      <c r="E39" s="523"/>
      <c r="F39" s="524"/>
      <c r="G39" s="524"/>
      <c r="H39" s="524"/>
      <c r="I39" s="524"/>
      <c r="J39" s="525"/>
      <c r="K39" s="541">
        <f>K38</f>
        <v>0.6979166666678793</v>
      </c>
      <c r="L39" s="539"/>
      <c r="M39" s="539"/>
      <c r="N39" s="539"/>
      <c r="O39" s="539"/>
      <c r="P39" s="542"/>
      <c r="Q39" s="543">
        <f t="shared" si="3"/>
      </c>
      <c r="R39" s="544"/>
      <c r="S39" s="544"/>
      <c r="T39" s="544"/>
      <c r="U39" s="544"/>
      <c r="V39" s="545"/>
      <c r="W39" s="546" t="s">
        <v>133</v>
      </c>
      <c r="X39" s="547"/>
      <c r="Y39" s="547"/>
      <c r="Z39" s="547"/>
      <c r="AA39" s="547"/>
      <c r="AB39" s="547"/>
      <c r="AC39" s="547"/>
      <c r="AD39" s="547"/>
      <c r="AE39" s="547"/>
      <c r="AF39" s="547"/>
      <c r="AG39" s="547"/>
      <c r="AH39" s="547"/>
      <c r="AI39" s="547"/>
      <c r="AJ39" s="548"/>
      <c r="AK39" s="534"/>
    </row>
    <row r="40" ht="15.75" customHeight="1" hidden="1" spans="1:37" s="519" customFormat="1" x14ac:dyDescent="0.25">
      <c r="A40" s="549"/>
      <c r="B40" s="550"/>
      <c r="C40" s="550"/>
      <c r="D40" s="551"/>
      <c r="E40" s="523">
        <f>K39</f>
        <v>0.6979166666678793</v>
      </c>
      <c r="F40" s="524"/>
      <c r="G40" s="524"/>
      <c r="H40" s="524"/>
      <c r="I40" s="524"/>
      <c r="J40" s="525"/>
      <c r="K40" s="541"/>
      <c r="L40" s="539"/>
      <c r="M40" s="539"/>
      <c r="N40" s="539"/>
      <c r="O40" s="539"/>
      <c r="P40" s="542"/>
      <c r="Q40" s="543">
        <f t="shared" si="3"/>
      </c>
      <c r="R40" s="544"/>
      <c r="S40" s="544"/>
      <c r="T40" s="544"/>
      <c r="U40" s="544"/>
      <c r="V40" s="545"/>
      <c r="W40" s="531" t="s">
        <v>134</v>
      </c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3"/>
      <c r="AK40" s="534"/>
    </row>
    <row r="41" ht="15.75" customHeight="1" hidden="1" spans="1:37" s="519" customFormat="1" x14ac:dyDescent="0.25">
      <c r="A41" s="535"/>
      <c r="B41" s="536"/>
      <c r="C41" s="536"/>
      <c r="D41" s="537"/>
      <c r="E41" s="523">
        <f>E40</f>
        <v>0.6979166666678793</v>
      </c>
      <c r="F41" s="524"/>
      <c r="G41" s="524"/>
      <c r="H41" s="524"/>
      <c r="I41" s="524"/>
      <c r="J41" s="525"/>
      <c r="K41" s="541">
        <v>0.7291666666678793</v>
      </c>
      <c r="L41" s="539"/>
      <c r="M41" s="539"/>
      <c r="N41" s="539"/>
      <c r="O41" s="539"/>
      <c r="P41" s="542"/>
      <c r="Q41" s="543">
        <f t="shared" si="3"/>
        <v>0.03125</v>
      </c>
      <c r="R41" s="544"/>
      <c r="S41" s="544"/>
      <c r="T41" s="544"/>
      <c r="U41" s="544"/>
      <c r="V41" s="545"/>
      <c r="W41" s="531" t="s">
        <v>135</v>
      </c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3"/>
      <c r="AK41" s="534"/>
    </row>
    <row r="42" ht="15.75" customHeight="1" hidden="1" spans="1:37" s="519" customFormat="1" x14ac:dyDescent="0.25">
      <c r="A42" s="549"/>
      <c r="B42" s="550"/>
      <c r="C42" s="550"/>
      <c r="D42" s="551"/>
      <c r="E42" s="523">
        <f>K41</f>
        <v>0.7291666666678793</v>
      </c>
      <c r="F42" s="524"/>
      <c r="G42" s="524"/>
      <c r="H42" s="524"/>
      <c r="I42" s="524"/>
      <c r="J42" s="525"/>
      <c r="K42" s="541">
        <v>0.7916666666678793</v>
      </c>
      <c r="L42" s="539"/>
      <c r="M42" s="539"/>
      <c r="N42" s="539"/>
      <c r="O42" s="539"/>
      <c r="P42" s="542"/>
      <c r="Q42" s="543">
        <f t="shared" si="3"/>
        <v>0.0625</v>
      </c>
      <c r="R42" s="544"/>
      <c r="S42" s="544"/>
      <c r="T42" s="544"/>
      <c r="U42" s="544"/>
      <c r="V42" s="545"/>
      <c r="W42" s="546" t="s">
        <v>132</v>
      </c>
      <c r="X42" s="547"/>
      <c r="Y42" s="547"/>
      <c r="Z42" s="547"/>
      <c r="AA42" s="547"/>
      <c r="AB42" s="547"/>
      <c r="AC42" s="547"/>
      <c r="AD42" s="547"/>
      <c r="AE42" s="547"/>
      <c r="AF42" s="547"/>
      <c r="AG42" s="547"/>
      <c r="AH42" s="547"/>
      <c r="AI42" s="547"/>
      <c r="AJ42" s="548"/>
      <c r="AK42" s="534"/>
    </row>
    <row r="43" ht="15.75" customHeight="1" hidden="1" spans="1:37" s="519" customFormat="1" x14ac:dyDescent="0.25">
      <c r="A43" s="549"/>
      <c r="B43" s="550"/>
      <c r="C43" s="550"/>
      <c r="D43" s="551"/>
      <c r="E43" s="523">
        <f>K42</f>
        <v>0.7916666666678793</v>
      </c>
      <c r="F43" s="524"/>
      <c r="G43" s="524"/>
      <c r="H43" s="524"/>
      <c r="I43" s="524"/>
      <c r="J43" s="525"/>
      <c r="K43" s="541">
        <v>0.96875</v>
      </c>
      <c r="L43" s="539"/>
      <c r="M43" s="539"/>
      <c r="N43" s="539"/>
      <c r="O43" s="539"/>
      <c r="P43" s="542"/>
      <c r="Q43" s="543">
        <f t="shared" si="3"/>
        <v>0.17708333333212067</v>
      </c>
      <c r="R43" s="544"/>
      <c r="S43" s="544"/>
      <c r="T43" s="544"/>
      <c r="U43" s="544"/>
      <c r="V43" s="545"/>
      <c r="W43" s="531" t="s">
        <v>135</v>
      </c>
      <c r="X43" s="532"/>
      <c r="Y43" s="532"/>
      <c r="Z43" s="532"/>
      <c r="AA43" s="532"/>
      <c r="AB43" s="532"/>
      <c r="AC43" s="532"/>
      <c r="AD43" s="532"/>
      <c r="AE43" s="532"/>
      <c r="AF43" s="532"/>
      <c r="AG43" s="532"/>
      <c r="AH43" s="532"/>
      <c r="AI43" s="532"/>
      <c r="AJ43" s="533"/>
      <c r="AK43" s="534"/>
    </row>
    <row r="44" ht="15.75" customHeight="1" hidden="1" spans="1:37" s="519" customFormat="1" x14ac:dyDescent="0.25">
      <c r="A44" s="549"/>
      <c r="B44" s="550"/>
      <c r="C44" s="550"/>
      <c r="D44" s="551"/>
      <c r="E44" s="523"/>
      <c r="F44" s="524"/>
      <c r="G44" s="524"/>
      <c r="H44" s="524"/>
      <c r="I44" s="524"/>
      <c r="J44" s="525"/>
      <c r="K44" s="541">
        <f>K43</f>
        <v>0.96875</v>
      </c>
      <c r="L44" s="539"/>
      <c r="M44" s="539"/>
      <c r="N44" s="539"/>
      <c r="O44" s="539"/>
      <c r="P44" s="542"/>
      <c r="Q44" s="543">
        <f t="shared" si="3"/>
      </c>
      <c r="R44" s="544"/>
      <c r="S44" s="544"/>
      <c r="T44" s="544"/>
      <c r="U44" s="544"/>
      <c r="V44" s="545"/>
      <c r="W44" s="546" t="s">
        <v>136</v>
      </c>
      <c r="X44" s="547"/>
      <c r="Y44" s="547"/>
      <c r="Z44" s="547"/>
      <c r="AA44" s="547"/>
      <c r="AB44" s="547"/>
      <c r="AC44" s="547"/>
      <c r="AD44" s="547"/>
      <c r="AE44" s="547"/>
      <c r="AF44" s="547"/>
      <c r="AG44" s="547"/>
      <c r="AH44" s="547"/>
      <c r="AI44" s="547"/>
      <c r="AJ44" s="548"/>
      <c r="AK44" s="534"/>
    </row>
    <row r="45" ht="15.75" customHeight="1" hidden="1" spans="1:37" s="519" customFormat="1" x14ac:dyDescent="0.25">
      <c r="A45" s="549"/>
      <c r="B45" s="550"/>
      <c r="C45" s="550"/>
      <c r="D45" s="551"/>
      <c r="E45" s="523"/>
      <c r="F45" s="524"/>
      <c r="G45" s="524"/>
      <c r="H45" s="524"/>
      <c r="I45" s="524"/>
      <c r="J45" s="525"/>
      <c r="K45" s="541"/>
      <c r="L45" s="539"/>
      <c r="M45" s="539"/>
      <c r="N45" s="539"/>
      <c r="O45" s="539"/>
      <c r="P45" s="542"/>
      <c r="Q45" s="543">
        <f t="shared" si="3"/>
      </c>
      <c r="R45" s="544"/>
      <c r="S45" s="544"/>
      <c r="T45" s="544"/>
      <c r="U45" s="544"/>
      <c r="V45" s="545"/>
      <c r="W45" s="531"/>
      <c r="X45" s="532"/>
      <c r="Y45" s="532"/>
      <c r="Z45" s="532"/>
      <c r="AA45" s="532"/>
      <c r="AB45" s="532"/>
      <c r="AC45" s="532"/>
      <c r="AD45" s="532"/>
      <c r="AE45" s="532"/>
      <c r="AF45" s="532"/>
      <c r="AG45" s="532"/>
      <c r="AH45" s="532"/>
      <c r="AI45" s="532"/>
      <c r="AJ45" s="533"/>
      <c r="AK45" s="534"/>
    </row>
    <row r="46" ht="15.75" customHeight="1" hidden="1" spans="1:37" s="519" customFormat="1" x14ac:dyDescent="0.25">
      <c r="A46" s="549"/>
      <c r="B46" s="550"/>
      <c r="C46" s="550"/>
      <c r="D46" s="551"/>
      <c r="E46" s="523"/>
      <c r="F46" s="524"/>
      <c r="G46" s="524"/>
      <c r="H46" s="524"/>
      <c r="I46" s="524"/>
      <c r="J46" s="525"/>
      <c r="K46" s="541"/>
      <c r="L46" s="539"/>
      <c r="M46" s="539"/>
      <c r="N46" s="539"/>
      <c r="O46" s="539"/>
      <c r="P46" s="542"/>
      <c r="Q46" s="543">
        <f t="shared" si="3"/>
      </c>
      <c r="R46" s="544"/>
      <c r="S46" s="544"/>
      <c r="T46" s="544"/>
      <c r="U46" s="544"/>
      <c r="V46" s="545"/>
      <c r="W46" s="546"/>
      <c r="X46" s="547"/>
      <c r="Y46" s="547"/>
      <c r="Z46" s="547"/>
      <c r="AA46" s="547"/>
      <c r="AB46" s="547"/>
      <c r="AC46" s="547"/>
      <c r="AD46" s="547"/>
      <c r="AE46" s="547"/>
      <c r="AF46" s="547"/>
      <c r="AG46" s="547"/>
      <c r="AH46" s="547"/>
      <c r="AI46" s="547"/>
      <c r="AJ46" s="548"/>
      <c r="AK46" s="534"/>
    </row>
    <row r="47" ht="15.75" customHeight="1" hidden="1" spans="1:37" s="519" customFormat="1" x14ac:dyDescent="0.25">
      <c r="A47" s="549"/>
      <c r="B47" s="550"/>
      <c r="C47" s="550"/>
      <c r="D47" s="551"/>
      <c r="E47" s="523"/>
      <c r="F47" s="524"/>
      <c r="G47" s="524"/>
      <c r="H47" s="524"/>
      <c r="I47" s="524"/>
      <c r="J47" s="525"/>
      <c r="K47" s="541"/>
      <c r="L47" s="539"/>
      <c r="M47" s="539"/>
      <c r="N47" s="539"/>
      <c r="O47" s="539"/>
      <c r="P47" s="542"/>
      <c r="Q47" s="543">
        <f t="shared" si="3"/>
      </c>
      <c r="R47" s="544"/>
      <c r="S47" s="544"/>
      <c r="T47" s="544"/>
      <c r="U47" s="544"/>
      <c r="V47" s="545"/>
      <c r="W47" s="546"/>
      <c r="X47" s="547"/>
      <c r="Y47" s="547"/>
      <c r="Z47" s="547"/>
      <c r="AA47" s="547"/>
      <c r="AB47" s="547"/>
      <c r="AC47" s="547"/>
      <c r="AD47" s="547"/>
      <c r="AE47" s="547"/>
      <c r="AF47" s="547"/>
      <c r="AG47" s="547"/>
      <c r="AH47" s="547"/>
      <c r="AI47" s="547"/>
      <c r="AJ47" s="548"/>
      <c r="AK47" s="534"/>
    </row>
    <row r="48" ht="15.75" customHeight="1" hidden="1" spans="1:37" s="519" customFormat="1" x14ac:dyDescent="0.25">
      <c r="A48" s="549"/>
      <c r="B48" s="550"/>
      <c r="C48" s="550"/>
      <c r="D48" s="551"/>
      <c r="E48" s="523"/>
      <c r="F48" s="524"/>
      <c r="G48" s="524"/>
      <c r="H48" s="524"/>
      <c r="I48" s="524"/>
      <c r="J48" s="525"/>
      <c r="K48" s="541"/>
      <c r="L48" s="539"/>
      <c r="M48" s="539"/>
      <c r="N48" s="539"/>
      <c r="O48" s="539"/>
      <c r="P48" s="542"/>
      <c r="Q48" s="543">
        <f t="shared" si="3"/>
      </c>
      <c r="R48" s="544"/>
      <c r="S48" s="544"/>
      <c r="T48" s="544"/>
      <c r="U48" s="544"/>
      <c r="V48" s="545"/>
      <c r="W48" s="546"/>
      <c r="X48" s="547"/>
      <c r="Y48" s="547"/>
      <c r="Z48" s="547"/>
      <c r="AA48" s="547"/>
      <c r="AB48" s="547"/>
      <c r="AC48" s="547"/>
      <c r="AD48" s="547"/>
      <c r="AE48" s="547"/>
      <c r="AF48" s="547"/>
      <c r="AG48" s="547"/>
      <c r="AH48" s="547"/>
      <c r="AI48" s="547"/>
      <c r="AJ48" s="548"/>
      <c r="AK48" s="534"/>
    </row>
    <row r="49" ht="15.75" customHeight="1" hidden="1" spans="1:37" s="519" customFormat="1" x14ac:dyDescent="0.25">
      <c r="A49" s="549"/>
      <c r="B49" s="550"/>
      <c r="C49" s="550"/>
      <c r="D49" s="551"/>
      <c r="E49" s="523"/>
      <c r="F49" s="524"/>
      <c r="G49" s="524"/>
      <c r="H49" s="524"/>
      <c r="I49" s="524"/>
      <c r="J49" s="525"/>
      <c r="K49" s="541"/>
      <c r="L49" s="539"/>
      <c r="M49" s="539"/>
      <c r="N49" s="539"/>
      <c r="O49" s="539"/>
      <c r="P49" s="542"/>
      <c r="Q49" s="543"/>
      <c r="R49" s="544"/>
      <c r="S49" s="544"/>
      <c r="T49" s="544"/>
      <c r="U49" s="544"/>
      <c r="V49" s="545"/>
      <c r="W49" s="546"/>
      <c r="X49" s="547"/>
      <c r="Y49" s="547"/>
      <c r="Z49" s="547"/>
      <c r="AA49" s="547"/>
      <c r="AB49" s="547"/>
      <c r="AC49" s="547"/>
      <c r="AD49" s="547"/>
      <c r="AE49" s="547"/>
      <c r="AF49" s="547"/>
      <c r="AG49" s="547"/>
      <c r="AH49" s="547"/>
      <c r="AI49" s="547"/>
      <c r="AJ49" s="548"/>
      <c r="AK49" s="534"/>
    </row>
    <row r="50" ht="15.75" customHeight="1" hidden="1" spans="1:37" s="519" customFormat="1" x14ac:dyDescent="0.25">
      <c r="A50" s="549"/>
      <c r="B50" s="550"/>
      <c r="C50" s="550"/>
      <c r="D50" s="551"/>
      <c r="E50" s="523"/>
      <c r="F50" s="524"/>
      <c r="G50" s="524"/>
      <c r="H50" s="524"/>
      <c r="I50" s="524"/>
      <c r="J50" s="525"/>
      <c r="K50" s="541"/>
      <c r="L50" s="539"/>
      <c r="M50" s="539"/>
      <c r="N50" s="539"/>
      <c r="O50" s="539"/>
      <c r="P50" s="542"/>
      <c r="Q50" s="543"/>
      <c r="R50" s="544"/>
      <c r="S50" s="544"/>
      <c r="T50" s="544"/>
      <c r="U50" s="544"/>
      <c r="V50" s="545"/>
      <c r="W50" s="531"/>
      <c r="X50" s="532"/>
      <c r="Y50" s="532"/>
      <c r="Z50" s="532"/>
      <c r="AA50" s="532"/>
      <c r="AB50" s="532"/>
      <c r="AC50" s="532"/>
      <c r="AD50" s="532"/>
      <c r="AE50" s="532"/>
      <c r="AF50" s="532"/>
      <c r="AG50" s="532"/>
      <c r="AH50" s="532"/>
      <c r="AI50" s="532"/>
      <c r="AJ50" s="533"/>
      <c r="AK50" s="534"/>
    </row>
    <row r="51" ht="15.75" customHeight="1" hidden="1" spans="1:37" s="519" customFormat="1" x14ac:dyDescent="0.25">
      <c r="A51" s="549"/>
      <c r="B51" s="550"/>
      <c r="C51" s="550"/>
      <c r="D51" s="551"/>
      <c r="E51" s="523"/>
      <c r="F51" s="524"/>
      <c r="G51" s="524"/>
      <c r="H51" s="524"/>
      <c r="I51" s="524"/>
      <c r="J51" s="525"/>
      <c r="K51" s="541"/>
      <c r="L51" s="539"/>
      <c r="M51" s="539"/>
      <c r="N51" s="539"/>
      <c r="O51" s="539"/>
      <c r="P51" s="542"/>
      <c r="Q51" s="543"/>
      <c r="R51" s="544"/>
      <c r="S51" s="544"/>
      <c r="T51" s="544"/>
      <c r="U51" s="544"/>
      <c r="V51" s="545"/>
      <c r="W51" s="531"/>
      <c r="X51" s="532"/>
      <c r="Y51" s="532"/>
      <c r="Z51" s="532"/>
      <c r="AA51" s="532"/>
      <c r="AB51" s="532"/>
      <c r="AC51" s="532"/>
      <c r="AD51" s="532"/>
      <c r="AE51" s="532"/>
      <c r="AF51" s="532"/>
      <c r="AG51" s="532"/>
      <c r="AH51" s="532"/>
      <c r="AI51" s="532"/>
      <c r="AJ51" s="533"/>
      <c r="AK51" s="534"/>
    </row>
    <row r="52" ht="15.75" customHeight="1" hidden="1" spans="1:37" s="519" customFormat="1" x14ac:dyDescent="0.25">
      <c r="A52" s="549"/>
      <c r="B52" s="550"/>
      <c r="C52" s="550"/>
      <c r="D52" s="551"/>
      <c r="E52" s="523"/>
      <c r="F52" s="524"/>
      <c r="G52" s="524"/>
      <c r="H52" s="524"/>
      <c r="I52" s="524"/>
      <c r="J52" s="525"/>
      <c r="K52" s="526"/>
      <c r="L52" s="524"/>
      <c r="M52" s="524"/>
      <c r="N52" s="524"/>
      <c r="O52" s="524"/>
      <c r="P52" s="527"/>
      <c r="Q52" s="543"/>
      <c r="R52" s="544"/>
      <c r="S52" s="544"/>
      <c r="T52" s="544"/>
      <c r="U52" s="544"/>
      <c r="V52" s="545"/>
      <c r="W52" s="546"/>
      <c r="X52" s="547"/>
      <c r="Y52" s="547"/>
      <c r="Z52" s="547"/>
      <c r="AA52" s="547"/>
      <c r="AB52" s="547"/>
      <c r="AC52" s="547"/>
      <c r="AD52" s="547"/>
      <c r="AE52" s="547"/>
      <c r="AF52" s="547"/>
      <c r="AG52" s="547"/>
      <c r="AH52" s="547"/>
      <c r="AI52" s="547"/>
      <c r="AJ52" s="548"/>
      <c r="AK52" s="534"/>
    </row>
    <row r="53" ht="15.75" customHeight="1" hidden="1" spans="1:37" s="519" customFormat="1" x14ac:dyDescent="0.25">
      <c r="A53" s="549"/>
      <c r="B53" s="550"/>
      <c r="C53" s="550"/>
      <c r="D53" s="551"/>
      <c r="E53" s="538"/>
      <c r="F53" s="539"/>
      <c r="G53" s="539"/>
      <c r="H53" s="539"/>
      <c r="I53" s="539"/>
      <c r="J53" s="540"/>
      <c r="K53" s="539"/>
      <c r="L53" s="539"/>
      <c r="M53" s="539"/>
      <c r="N53" s="539"/>
      <c r="O53" s="539"/>
      <c r="P53" s="542"/>
      <c r="Q53" s="543"/>
      <c r="R53" s="544"/>
      <c r="S53" s="544"/>
      <c r="T53" s="544"/>
      <c r="U53" s="544"/>
      <c r="V53" s="545"/>
      <c r="W53" s="546"/>
      <c r="X53" s="547"/>
      <c r="Y53" s="547"/>
      <c r="Z53" s="547"/>
      <c r="AA53" s="547"/>
      <c r="AB53" s="547"/>
      <c r="AC53" s="547"/>
      <c r="AD53" s="547"/>
      <c r="AE53" s="547"/>
      <c r="AF53" s="547"/>
      <c r="AG53" s="547"/>
      <c r="AH53" s="547"/>
      <c r="AI53" s="547"/>
      <c r="AJ53" s="548"/>
      <c r="AK53" s="534"/>
    </row>
    <row r="54" ht="15.75" customHeight="1" hidden="1" spans="1:37" s="40" customFormat="1" x14ac:dyDescent="0.25">
      <c r="A54" s="552"/>
      <c r="B54" s="553"/>
      <c r="C54" s="553"/>
      <c r="D54" s="553"/>
      <c r="E54" s="553"/>
      <c r="F54" s="553"/>
      <c r="G54" s="553"/>
      <c r="H54" s="553"/>
      <c r="I54" s="553"/>
      <c r="J54" s="553"/>
      <c r="K54" s="553"/>
      <c r="L54" s="553"/>
      <c r="M54" s="553"/>
      <c r="N54" s="553"/>
      <c r="O54" s="553"/>
      <c r="P54" s="554"/>
      <c r="Q54" s="555">
        <f>SUM(Q35:V53)</f>
        <v>0.5659722222226264</v>
      </c>
      <c r="R54" s="556"/>
      <c r="S54" s="556"/>
      <c r="T54" s="556"/>
      <c r="U54" s="556"/>
      <c r="V54" s="557"/>
      <c r="W54" s="558"/>
      <c r="X54" s="559"/>
      <c r="Y54" s="559"/>
      <c r="Z54" s="559"/>
      <c r="AA54" s="559"/>
      <c r="AB54" s="559"/>
      <c r="AC54" s="559"/>
      <c r="AD54" s="559"/>
      <c r="AE54" s="559"/>
      <c r="AF54" s="559"/>
      <c r="AG54" s="559"/>
      <c r="AH54" s="559"/>
      <c r="AI54" s="559"/>
      <c r="AJ54" s="560"/>
      <c r="AK54" s="561"/>
    </row>
    <row r="55" ht="15.75" customHeight="1" spans="1:37" s="519" customFormat="1" x14ac:dyDescent="0.25">
      <c r="A55" s="520" t="s">
        <v>128</v>
      </c>
      <c r="B55" s="521"/>
      <c r="C55" s="521"/>
      <c r="D55" s="522"/>
      <c r="E55" s="523">
        <v>0.4166666666678793</v>
      </c>
      <c r="F55" s="524"/>
      <c r="G55" s="524"/>
      <c r="H55" s="524"/>
      <c r="I55" s="524"/>
      <c r="J55" s="525"/>
      <c r="K55" s="526"/>
      <c r="L55" s="524"/>
      <c r="M55" s="524"/>
      <c r="N55" s="524"/>
      <c r="O55" s="524"/>
      <c r="P55" s="527"/>
      <c r="Q55" s="528">
        <f t="shared" ref="Q55:Q56" si="4">IF(AND(NOT(ISBLANK(K55)),NOT(ISBLANK(E55))), IF(K55&gt;E55,K55-E55,24-E55+K55), "")</f>
      </c>
      <c r="R55" s="529"/>
      <c r="S55" s="529"/>
      <c r="T55" s="529"/>
      <c r="U55" s="529"/>
      <c r="V55" s="530"/>
      <c r="W55" s="531" t="s">
        <v>134</v>
      </c>
      <c r="X55" s="532"/>
      <c r="Y55" s="532"/>
      <c r="Z55" s="532"/>
      <c r="AA55" s="532"/>
      <c r="AB55" s="532"/>
      <c r="AC55" s="532"/>
      <c r="AD55" s="532"/>
      <c r="AE55" s="532"/>
      <c r="AF55" s="532"/>
      <c r="AG55" s="532"/>
      <c r="AH55" s="532"/>
      <c r="AI55" s="532"/>
      <c r="AJ55" s="533"/>
      <c r="AK55" s="534"/>
    </row>
    <row r="56" ht="15.75" customHeight="1" spans="1:37" s="519" customFormat="1" x14ac:dyDescent="0.25">
      <c r="A56" s="535" t="s">
        <v>34</v>
      </c>
      <c r="B56" s="536"/>
      <c r="C56" s="536"/>
      <c r="D56" s="537"/>
      <c r="E56" s="538">
        <f>E55</f>
        <v>0.4166666666678793</v>
      </c>
      <c r="F56" s="539"/>
      <c r="G56" s="539"/>
      <c r="H56" s="539"/>
      <c r="I56" s="539"/>
      <c r="J56" s="540"/>
      <c r="K56" s="541">
        <v>0.5</v>
      </c>
      <c r="L56" s="539"/>
      <c r="M56" s="539"/>
      <c r="N56" s="539"/>
      <c r="O56" s="539"/>
      <c r="P56" s="542"/>
      <c r="Q56" s="543">
        <f t="shared" si="4"/>
        <v>0.08333333333212067</v>
      </c>
      <c r="R56" s="544"/>
      <c r="S56" s="544"/>
      <c r="T56" s="544"/>
      <c r="U56" s="544"/>
      <c r="V56" s="545"/>
      <c r="W56" s="531" t="s">
        <v>135</v>
      </c>
      <c r="X56" s="532"/>
      <c r="Y56" s="532"/>
      <c r="Z56" s="532"/>
      <c r="AA56" s="532"/>
      <c r="AB56" s="532"/>
      <c r="AC56" s="532"/>
      <c r="AD56" s="532"/>
      <c r="AE56" s="532"/>
      <c r="AF56" s="532"/>
      <c r="AG56" s="532"/>
      <c r="AH56" s="532"/>
      <c r="AI56" s="532"/>
      <c r="AJ56" s="533"/>
      <c r="AK56" s="534"/>
    </row>
    <row r="57" ht="15.75" customHeight="1" spans="1:37" s="519" customFormat="1" x14ac:dyDescent="0.25">
      <c r="A57" s="549"/>
      <c r="B57" s="550"/>
      <c r="C57" s="550"/>
      <c r="D57" s="551"/>
      <c r="E57" s="523">
        <v>0.5</v>
      </c>
      <c r="F57" s="524"/>
      <c r="G57" s="524"/>
      <c r="H57" s="524"/>
      <c r="I57" s="524"/>
      <c r="J57" s="525"/>
      <c r="K57" s="541">
        <v>0.5416666666678793</v>
      </c>
      <c r="L57" s="539"/>
      <c r="M57" s="539"/>
      <c r="N57" s="539"/>
      <c r="O57" s="539"/>
      <c r="P57" s="542"/>
      <c r="Q57" s="543">
        <f t="shared" ref="Q57:Q58" si="5">IF(AND(NOT(ISBLANK(K57)),NOT(ISBLANK(E57))), IF(K57&gt;E57,K57-E57,24-E57+K57), "")</f>
        <v>0.041666666667879326</v>
      </c>
      <c r="R57" s="544"/>
      <c r="S57" s="544"/>
      <c r="T57" s="544"/>
      <c r="U57" s="544"/>
      <c r="V57" s="545"/>
      <c r="W57" s="546" t="s">
        <v>132</v>
      </c>
      <c r="X57" s="547"/>
      <c r="Y57" s="547"/>
      <c r="Z57" s="547"/>
      <c r="AA57" s="547"/>
      <c r="AB57" s="547"/>
      <c r="AC57" s="547"/>
      <c r="AD57" s="547"/>
      <c r="AE57" s="547"/>
      <c r="AF57" s="547"/>
      <c r="AG57" s="547"/>
      <c r="AH57" s="547"/>
      <c r="AI57" s="547"/>
      <c r="AJ57" s="548"/>
      <c r="AK57" s="534"/>
    </row>
    <row r="58" ht="15.75" customHeight="1" spans="1:37" s="519" customFormat="1" x14ac:dyDescent="0.25">
      <c r="A58" s="549"/>
      <c r="B58" s="550"/>
      <c r="C58" s="550"/>
      <c r="D58" s="551"/>
      <c r="E58" s="523">
        <v>0.5416666666678793</v>
      </c>
      <c r="F58" s="524"/>
      <c r="G58" s="524"/>
      <c r="H58" s="524"/>
      <c r="I58" s="524"/>
      <c r="J58" s="525"/>
      <c r="K58" s="541">
        <v>0.6145833333321207</v>
      </c>
      <c r="L58" s="539"/>
      <c r="M58" s="539"/>
      <c r="N58" s="539"/>
      <c r="O58" s="539"/>
      <c r="P58" s="542"/>
      <c r="Q58" s="543">
        <f t="shared" si="5"/>
        <v>0.07291666666787933</v>
      </c>
      <c r="R58" s="544"/>
      <c r="S58" s="544"/>
      <c r="T58" s="544"/>
      <c r="U58" s="544"/>
      <c r="V58" s="545"/>
      <c r="W58" s="531" t="s">
        <v>135</v>
      </c>
      <c r="X58" s="532"/>
      <c r="Y58" s="532"/>
      <c r="Z58" s="532"/>
      <c r="AA58" s="532"/>
      <c r="AB58" s="532"/>
      <c r="AC58" s="532"/>
      <c r="AD58" s="532"/>
      <c r="AE58" s="532"/>
      <c r="AF58" s="532"/>
      <c r="AG58" s="532"/>
      <c r="AH58" s="532"/>
      <c r="AI58" s="532"/>
      <c r="AJ58" s="533"/>
      <c r="AK58" s="534"/>
    </row>
    <row r="59" ht="15.75" customHeight="1" spans="1:37" s="519" customFormat="1" x14ac:dyDescent="0.25">
      <c r="A59" s="549"/>
      <c r="B59" s="550"/>
      <c r="C59" s="550"/>
      <c r="D59" s="551"/>
      <c r="E59" s="523"/>
      <c r="F59" s="524"/>
      <c r="G59" s="524"/>
      <c r="H59" s="524"/>
      <c r="I59" s="524"/>
      <c r="J59" s="525"/>
      <c r="K59" s="541">
        <f>K58</f>
        <v>0.6145833333321207</v>
      </c>
      <c r="L59" s="539"/>
      <c r="M59" s="539"/>
      <c r="N59" s="539"/>
      <c r="O59" s="539"/>
      <c r="P59" s="542"/>
      <c r="Q59" s="543">
        <f t="shared" ref="Q59" si="6">IF(AND(NOT(ISBLANK(K59)),NOT(ISBLANK(E59))), IF(K59&gt;E59,K59-E59,24-E59+K59), "")</f>
      </c>
      <c r="R59" s="544"/>
      <c r="S59" s="544"/>
      <c r="T59" s="544"/>
      <c r="U59" s="544"/>
      <c r="V59" s="545"/>
      <c r="W59" s="546" t="s">
        <v>137</v>
      </c>
      <c r="X59" s="547"/>
      <c r="Y59" s="547"/>
      <c r="Z59" s="547"/>
      <c r="AA59" s="547"/>
      <c r="AB59" s="547"/>
      <c r="AC59" s="547"/>
      <c r="AD59" s="547"/>
      <c r="AE59" s="547"/>
      <c r="AF59" s="547"/>
      <c r="AG59" s="547"/>
      <c r="AH59" s="547"/>
      <c r="AI59" s="547"/>
      <c r="AJ59" s="548"/>
      <c r="AK59" s="534"/>
    </row>
    <row r="60" ht="15.75" customHeight="1" hidden="1" spans="1:37" s="519" customFormat="1" x14ac:dyDescent="0.25">
      <c r="A60" s="549"/>
      <c r="B60" s="550"/>
      <c r="C60" s="550"/>
      <c r="D60" s="551"/>
      <c r="E60" s="523"/>
      <c r="F60" s="524"/>
      <c r="G60" s="524"/>
      <c r="H60" s="524"/>
      <c r="I60" s="524"/>
      <c r="J60" s="525"/>
      <c r="K60" s="541"/>
      <c r="L60" s="539"/>
      <c r="M60" s="539"/>
      <c r="N60" s="539"/>
      <c r="O60" s="539"/>
      <c r="P60" s="542"/>
      <c r="Q60" s="543">
        <f t="shared" ref="Q60:Q62" si="7">IF(AND(NOT(ISBLANK(K60)),NOT(ISBLANK(E60))), IF(K60&gt;E60,K60-E60,24-E60+K60), "")</f>
      </c>
      <c r="R60" s="544"/>
      <c r="S60" s="544"/>
      <c r="T60" s="544"/>
      <c r="U60" s="544"/>
      <c r="V60" s="545"/>
      <c r="W60" s="546"/>
      <c r="X60" s="547"/>
      <c r="Y60" s="547"/>
      <c r="Z60" s="547"/>
      <c r="AA60" s="547"/>
      <c r="AB60" s="547"/>
      <c r="AC60" s="547"/>
      <c r="AD60" s="547"/>
      <c r="AE60" s="547"/>
      <c r="AF60" s="547"/>
      <c r="AG60" s="547"/>
      <c r="AH60" s="547"/>
      <c r="AI60" s="547"/>
      <c r="AJ60" s="548"/>
      <c r="AK60" s="534"/>
    </row>
    <row r="61" ht="15.75" customHeight="1" hidden="1" spans="1:37" s="519" customFormat="1" x14ac:dyDescent="0.25">
      <c r="A61" s="535"/>
      <c r="B61" s="536"/>
      <c r="C61" s="536"/>
      <c r="D61" s="537"/>
      <c r="E61" s="523"/>
      <c r="F61" s="524"/>
      <c r="G61" s="524"/>
      <c r="H61" s="524"/>
      <c r="I61" s="524"/>
      <c r="J61" s="525"/>
      <c r="K61" s="541"/>
      <c r="L61" s="539"/>
      <c r="M61" s="539"/>
      <c r="N61" s="539"/>
      <c r="O61" s="539"/>
      <c r="P61" s="542"/>
      <c r="Q61" s="543">
        <f t="shared" si="7"/>
      </c>
      <c r="R61" s="544"/>
      <c r="S61" s="544"/>
      <c r="T61" s="544"/>
      <c r="U61" s="544"/>
      <c r="V61" s="545"/>
      <c r="W61" s="546"/>
      <c r="X61" s="547"/>
      <c r="Y61" s="547"/>
      <c r="Z61" s="547"/>
      <c r="AA61" s="547"/>
      <c r="AB61" s="547"/>
      <c r="AC61" s="547"/>
      <c r="AD61" s="547"/>
      <c r="AE61" s="547"/>
      <c r="AF61" s="547"/>
      <c r="AG61" s="547"/>
      <c r="AH61" s="547"/>
      <c r="AI61" s="547"/>
      <c r="AJ61" s="548"/>
      <c r="AK61" s="534"/>
    </row>
    <row r="62" ht="15.75" customHeight="1" hidden="1" spans="1:37" s="519" customFormat="1" x14ac:dyDescent="0.25">
      <c r="A62" s="549"/>
      <c r="B62" s="550"/>
      <c r="C62" s="550"/>
      <c r="D62" s="551"/>
      <c r="E62" s="523"/>
      <c r="F62" s="524"/>
      <c r="G62" s="524"/>
      <c r="H62" s="524"/>
      <c r="I62" s="524"/>
      <c r="J62" s="525"/>
      <c r="K62" s="541"/>
      <c r="L62" s="539"/>
      <c r="M62" s="539"/>
      <c r="N62" s="539"/>
      <c r="O62" s="539"/>
      <c r="P62" s="542"/>
      <c r="Q62" s="543">
        <f t="shared" si="7"/>
      </c>
      <c r="R62" s="544"/>
      <c r="S62" s="544"/>
      <c r="T62" s="544"/>
      <c r="U62" s="544"/>
      <c r="V62" s="545"/>
      <c r="W62" s="546"/>
      <c r="X62" s="547"/>
      <c r="Y62" s="547"/>
      <c r="Z62" s="547"/>
      <c r="AA62" s="547"/>
      <c r="AB62" s="547"/>
      <c r="AC62" s="547"/>
      <c r="AD62" s="547"/>
      <c r="AE62" s="547"/>
      <c r="AF62" s="547"/>
      <c r="AG62" s="547"/>
      <c r="AH62" s="547"/>
      <c r="AI62" s="547"/>
      <c r="AJ62" s="548"/>
      <c r="AK62" s="534"/>
    </row>
    <row r="63" ht="15.75" customHeight="1" hidden="1" spans="1:37" s="519" customFormat="1" x14ac:dyDescent="0.25">
      <c r="A63" s="549"/>
      <c r="B63" s="550"/>
      <c r="C63" s="550"/>
      <c r="D63" s="551"/>
      <c r="E63" s="523"/>
      <c r="F63" s="524"/>
      <c r="G63" s="524"/>
      <c r="H63" s="524"/>
      <c r="I63" s="524"/>
      <c r="J63" s="525"/>
      <c r="K63" s="541"/>
      <c r="L63" s="539"/>
      <c r="M63" s="539"/>
      <c r="N63" s="539"/>
      <c r="O63" s="539"/>
      <c r="P63" s="542"/>
      <c r="Q63" s="543">
        <f t="shared" ref="Q63:Q69" si="8">IF(AND(NOT(ISBLANK(K63)),NOT(ISBLANK(E63))), IF(K63&gt;E63,K63-E63,24-E63+K63), "")</f>
      </c>
      <c r="R63" s="544"/>
      <c r="S63" s="544"/>
      <c r="T63" s="544"/>
      <c r="U63" s="544"/>
      <c r="V63" s="545"/>
      <c r="W63" s="546"/>
      <c r="X63" s="547"/>
      <c r="Y63" s="547"/>
      <c r="Z63" s="547"/>
      <c r="AA63" s="547"/>
      <c r="AB63" s="547"/>
      <c r="AC63" s="547"/>
      <c r="AD63" s="547"/>
      <c r="AE63" s="547"/>
      <c r="AF63" s="547"/>
      <c r="AG63" s="547"/>
      <c r="AH63" s="547"/>
      <c r="AI63" s="547"/>
      <c r="AJ63" s="548"/>
      <c r="AK63" s="534"/>
    </row>
    <row r="64" ht="15.75" customHeight="1" hidden="1" spans="1:37" s="519" customFormat="1" x14ac:dyDescent="0.25">
      <c r="A64" s="549"/>
      <c r="B64" s="550"/>
      <c r="C64" s="550"/>
      <c r="D64" s="551"/>
      <c r="E64" s="523"/>
      <c r="F64" s="524"/>
      <c r="G64" s="524"/>
      <c r="H64" s="524"/>
      <c r="I64" s="524"/>
      <c r="J64" s="525"/>
      <c r="K64" s="541"/>
      <c r="L64" s="539"/>
      <c r="M64" s="539"/>
      <c r="N64" s="539"/>
      <c r="O64" s="539"/>
      <c r="P64" s="542"/>
      <c r="Q64" s="543">
        <f t="shared" si="8"/>
      </c>
      <c r="R64" s="544"/>
      <c r="S64" s="544"/>
      <c r="T64" s="544"/>
      <c r="U64" s="544"/>
      <c r="V64" s="545"/>
      <c r="W64" s="531"/>
      <c r="X64" s="532"/>
      <c r="Y64" s="532"/>
      <c r="Z64" s="532"/>
      <c r="AA64" s="532"/>
      <c r="AB64" s="532"/>
      <c r="AC64" s="532"/>
      <c r="AD64" s="532"/>
      <c r="AE64" s="532"/>
      <c r="AF64" s="532"/>
      <c r="AG64" s="532"/>
      <c r="AH64" s="532"/>
      <c r="AI64" s="532"/>
      <c r="AJ64" s="533"/>
      <c r="AK64" s="534"/>
    </row>
    <row r="65" ht="15.75" customHeight="1" spans="1:37" s="519" customFormat="1" x14ac:dyDescent="0.25">
      <c r="A65" s="549"/>
      <c r="B65" s="550"/>
      <c r="C65" s="550"/>
      <c r="D65" s="551"/>
      <c r="E65" s="523"/>
      <c r="F65" s="524"/>
      <c r="G65" s="524"/>
      <c r="H65" s="524"/>
      <c r="I65" s="524"/>
      <c r="J65" s="525"/>
      <c r="K65" s="541"/>
      <c r="L65" s="539"/>
      <c r="M65" s="539"/>
      <c r="N65" s="539"/>
      <c r="O65" s="539"/>
      <c r="P65" s="542"/>
      <c r="Q65" s="543">
        <f t="shared" si="8"/>
      </c>
      <c r="R65" s="544"/>
      <c r="S65" s="544"/>
      <c r="T65" s="544"/>
      <c r="U65" s="544"/>
      <c r="V65" s="545"/>
      <c r="W65" s="546"/>
      <c r="X65" s="547"/>
      <c r="Y65" s="547"/>
      <c r="Z65" s="547"/>
      <c r="AA65" s="547"/>
      <c r="AB65" s="547"/>
      <c r="AC65" s="547"/>
      <c r="AD65" s="547"/>
      <c r="AE65" s="547"/>
      <c r="AF65" s="547"/>
      <c r="AG65" s="547"/>
      <c r="AH65" s="547"/>
      <c r="AI65" s="547"/>
      <c r="AJ65" s="548"/>
      <c r="AK65" s="534"/>
    </row>
    <row r="66" ht="15.75" customHeight="1" hidden="1" spans="1:37" s="519" customFormat="1" x14ac:dyDescent="0.25">
      <c r="A66" s="549"/>
      <c r="B66" s="550"/>
      <c r="C66" s="550"/>
      <c r="D66" s="551"/>
      <c r="E66" s="523"/>
      <c r="F66" s="524"/>
      <c r="G66" s="524"/>
      <c r="H66" s="524"/>
      <c r="I66" s="524"/>
      <c r="J66" s="525"/>
      <c r="K66" s="541"/>
      <c r="L66" s="539"/>
      <c r="M66" s="539"/>
      <c r="N66" s="539"/>
      <c r="O66" s="539"/>
      <c r="P66" s="542"/>
      <c r="Q66" s="543">
        <f t="shared" si="8"/>
      </c>
      <c r="R66" s="544"/>
      <c r="S66" s="544"/>
      <c r="T66" s="544"/>
      <c r="U66" s="544"/>
      <c r="V66" s="545"/>
      <c r="W66" s="546"/>
      <c r="X66" s="547"/>
      <c r="Y66" s="547"/>
      <c r="Z66" s="547"/>
      <c r="AA66" s="547"/>
      <c r="AB66" s="547"/>
      <c r="AC66" s="547"/>
      <c r="AD66" s="547"/>
      <c r="AE66" s="547"/>
      <c r="AF66" s="547"/>
      <c r="AG66" s="547"/>
      <c r="AH66" s="547"/>
      <c r="AI66" s="547"/>
      <c r="AJ66" s="548"/>
      <c r="AK66" s="534"/>
    </row>
    <row r="67" ht="15.75" customHeight="1" hidden="1" spans="1:37" s="519" customFormat="1" x14ac:dyDescent="0.25">
      <c r="A67" s="549"/>
      <c r="B67" s="550"/>
      <c r="C67" s="550"/>
      <c r="D67" s="551"/>
      <c r="E67" s="523"/>
      <c r="F67" s="524"/>
      <c r="G67" s="524"/>
      <c r="H67" s="524"/>
      <c r="I67" s="524"/>
      <c r="J67" s="525"/>
      <c r="K67" s="541"/>
      <c r="L67" s="539"/>
      <c r="M67" s="539"/>
      <c r="N67" s="539"/>
      <c r="O67" s="539"/>
      <c r="P67" s="542"/>
      <c r="Q67" s="543">
        <f t="shared" si="8"/>
      </c>
      <c r="R67" s="544"/>
      <c r="S67" s="544"/>
      <c r="T67" s="544"/>
      <c r="U67" s="544"/>
      <c r="V67" s="545"/>
      <c r="W67" s="531"/>
      <c r="X67" s="532"/>
      <c r="Y67" s="532"/>
      <c r="Z67" s="532"/>
      <c r="AA67" s="532"/>
      <c r="AB67" s="532"/>
      <c r="AC67" s="532"/>
      <c r="AD67" s="532"/>
      <c r="AE67" s="532"/>
      <c r="AF67" s="532"/>
      <c r="AG67" s="532"/>
      <c r="AH67" s="532"/>
      <c r="AI67" s="532"/>
      <c r="AJ67" s="533"/>
      <c r="AK67" s="534"/>
    </row>
    <row r="68" ht="15.75" customHeight="1" hidden="1" spans="1:37" s="519" customFormat="1" x14ac:dyDescent="0.25">
      <c r="A68" s="549"/>
      <c r="B68" s="550"/>
      <c r="C68" s="550"/>
      <c r="D68" s="551"/>
      <c r="E68" s="523"/>
      <c r="F68" s="524"/>
      <c r="G68" s="524"/>
      <c r="H68" s="524"/>
      <c r="I68" s="524"/>
      <c r="J68" s="525"/>
      <c r="K68" s="541"/>
      <c r="L68" s="539"/>
      <c r="M68" s="539"/>
      <c r="N68" s="539"/>
      <c r="O68" s="539"/>
      <c r="P68" s="542"/>
      <c r="Q68" s="543">
        <f t="shared" si="8"/>
      </c>
      <c r="R68" s="544"/>
      <c r="S68" s="544"/>
      <c r="T68" s="544"/>
      <c r="U68" s="544"/>
      <c r="V68" s="545"/>
      <c r="W68" s="546"/>
      <c r="X68" s="547"/>
      <c r="Y68" s="547"/>
      <c r="Z68" s="547"/>
      <c r="AA68" s="547"/>
      <c r="AB68" s="547"/>
      <c r="AC68" s="547"/>
      <c r="AD68" s="547"/>
      <c r="AE68" s="547"/>
      <c r="AF68" s="547"/>
      <c r="AG68" s="547"/>
      <c r="AH68" s="547"/>
      <c r="AI68" s="547"/>
      <c r="AJ68" s="548"/>
      <c r="AK68" s="534"/>
    </row>
    <row r="69" ht="15.75" customHeight="1" hidden="1" spans="1:37" s="519" customFormat="1" x14ac:dyDescent="0.25">
      <c r="A69" s="549"/>
      <c r="B69" s="550"/>
      <c r="C69" s="550"/>
      <c r="D69" s="551"/>
      <c r="E69" s="523"/>
      <c r="F69" s="524"/>
      <c r="G69" s="524"/>
      <c r="H69" s="524"/>
      <c r="I69" s="524"/>
      <c r="J69" s="525"/>
      <c r="K69" s="541"/>
      <c r="L69" s="539"/>
      <c r="M69" s="539"/>
      <c r="N69" s="539"/>
      <c r="O69" s="539"/>
      <c r="P69" s="542"/>
      <c r="Q69" s="543">
        <f t="shared" si="8"/>
      </c>
      <c r="R69" s="544"/>
      <c r="S69" s="544"/>
      <c r="T69" s="544"/>
      <c r="U69" s="544"/>
      <c r="V69" s="545"/>
      <c r="W69" s="546"/>
      <c r="X69" s="547"/>
      <c r="Y69" s="547"/>
      <c r="Z69" s="547"/>
      <c r="AA69" s="547"/>
      <c r="AB69" s="547"/>
      <c r="AC69" s="547"/>
      <c r="AD69" s="547"/>
      <c r="AE69" s="547"/>
      <c r="AF69" s="547"/>
      <c r="AG69" s="547"/>
      <c r="AH69" s="547"/>
      <c r="AI69" s="547"/>
      <c r="AJ69" s="548"/>
      <c r="AK69" s="534"/>
    </row>
    <row r="70" ht="15.75" customHeight="1" hidden="1" spans="1:37" s="519" customFormat="1" x14ac:dyDescent="0.25">
      <c r="A70" s="549"/>
      <c r="B70" s="550"/>
      <c r="C70" s="550"/>
      <c r="D70" s="551"/>
      <c r="E70" s="523"/>
      <c r="F70" s="524"/>
      <c r="G70" s="524"/>
      <c r="H70" s="524"/>
      <c r="I70" s="524"/>
      <c r="J70" s="525"/>
      <c r="K70" s="541"/>
      <c r="L70" s="539"/>
      <c r="M70" s="539"/>
      <c r="N70" s="539"/>
      <c r="O70" s="539"/>
      <c r="P70" s="542"/>
      <c r="Q70" s="543">
        <f t="shared" ref="Q70" si="9">IF(AND(NOT(ISBLANK(K70)),NOT(ISBLANK(E70))), IF(K70&gt;E70,K70-E70,24-E70+K70), "")</f>
      </c>
      <c r="R70" s="544"/>
      <c r="S70" s="544"/>
      <c r="T70" s="544"/>
      <c r="U70" s="544"/>
      <c r="V70" s="545"/>
      <c r="W70" s="531"/>
      <c r="X70" s="532"/>
      <c r="Y70" s="532"/>
      <c r="Z70" s="532"/>
      <c r="AA70" s="532"/>
      <c r="AB70" s="532"/>
      <c r="AC70" s="532"/>
      <c r="AD70" s="532"/>
      <c r="AE70" s="532"/>
      <c r="AF70" s="532"/>
      <c r="AG70" s="532"/>
      <c r="AH70" s="532"/>
      <c r="AI70" s="532"/>
      <c r="AJ70" s="533"/>
      <c r="AK70" s="534"/>
    </row>
    <row r="71" ht="15.75" customHeight="1" hidden="1" spans="1:37" s="519" customFormat="1" x14ac:dyDescent="0.25">
      <c r="A71" s="549"/>
      <c r="B71" s="550"/>
      <c r="C71" s="550"/>
      <c r="D71" s="551"/>
      <c r="E71" s="523"/>
      <c r="F71" s="524"/>
      <c r="G71" s="524"/>
      <c r="H71" s="524"/>
      <c r="I71" s="524"/>
      <c r="J71" s="525"/>
      <c r="K71" s="541"/>
      <c r="L71" s="539"/>
      <c r="M71" s="539"/>
      <c r="N71" s="539"/>
      <c r="O71" s="539"/>
      <c r="P71" s="542"/>
      <c r="Q71" s="543">
        <f t="shared" ref="Q71:Q72" si="10">IF(AND(NOT(ISBLANK(K71)),NOT(ISBLANK(E71))), IF(K71&gt;E71,K71-E71,24-E71+K71), "")</f>
      </c>
      <c r="R71" s="544"/>
      <c r="S71" s="544"/>
      <c r="T71" s="544"/>
      <c r="U71" s="544"/>
      <c r="V71" s="545"/>
      <c r="W71" s="531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3"/>
      <c r="AK71" s="534"/>
    </row>
    <row r="72" ht="15.75" customHeight="1" hidden="1" spans="1:37" s="519" customFormat="1" x14ac:dyDescent="0.25">
      <c r="A72" s="549"/>
      <c r="B72" s="550"/>
      <c r="C72" s="550"/>
      <c r="D72" s="551"/>
      <c r="E72" s="523"/>
      <c r="F72" s="524"/>
      <c r="G72" s="524"/>
      <c r="H72" s="524"/>
      <c r="I72" s="524"/>
      <c r="J72" s="525"/>
      <c r="K72" s="539"/>
      <c r="L72" s="539"/>
      <c r="M72" s="539"/>
      <c r="N72" s="539"/>
      <c r="O72" s="539"/>
      <c r="P72" s="542"/>
      <c r="Q72" s="543">
        <f t="shared" si="10"/>
      </c>
      <c r="R72" s="544"/>
      <c r="S72" s="544"/>
      <c r="T72" s="544"/>
      <c r="U72" s="544"/>
      <c r="V72" s="545"/>
      <c r="W72" s="546"/>
      <c r="X72" s="547"/>
      <c r="Y72" s="547"/>
      <c r="Z72" s="547"/>
      <c r="AA72" s="547"/>
      <c r="AB72" s="547"/>
      <c r="AC72" s="547"/>
      <c r="AD72" s="547"/>
      <c r="AE72" s="547"/>
      <c r="AF72" s="547"/>
      <c r="AG72" s="547"/>
      <c r="AH72" s="547"/>
      <c r="AI72" s="547"/>
      <c r="AJ72" s="548"/>
      <c r="AK72" s="534"/>
    </row>
    <row r="73" ht="15.75" customHeight="1" hidden="1" spans="1:37" s="519" customFormat="1" x14ac:dyDescent="0.25">
      <c r="A73" s="562"/>
      <c r="B73" s="563"/>
      <c r="C73" s="563"/>
      <c r="D73" s="564"/>
      <c r="E73" s="565"/>
      <c r="F73" s="566"/>
      <c r="G73" s="566"/>
      <c r="H73" s="566"/>
      <c r="I73" s="566"/>
      <c r="J73" s="567"/>
      <c r="K73" s="566"/>
      <c r="L73" s="566"/>
      <c r="M73" s="566"/>
      <c r="N73" s="566"/>
      <c r="O73" s="566"/>
      <c r="P73" s="568"/>
      <c r="Q73" s="569"/>
      <c r="R73" s="570"/>
      <c r="S73" s="570"/>
      <c r="T73" s="570"/>
      <c r="U73" s="570"/>
      <c r="V73" s="571"/>
      <c r="W73" s="572"/>
      <c r="X73" s="573"/>
      <c r="Y73" s="573"/>
      <c r="Z73" s="573"/>
      <c r="AA73" s="573"/>
      <c r="AB73" s="573"/>
      <c r="AC73" s="573"/>
      <c r="AD73" s="573"/>
      <c r="AE73" s="573"/>
      <c r="AF73" s="573"/>
      <c r="AG73" s="573"/>
      <c r="AH73" s="573"/>
      <c r="AI73" s="573"/>
      <c r="AJ73" s="574"/>
      <c r="AK73" s="534"/>
    </row>
    <row r="74" ht="15.75" customHeight="1" spans="1:37" s="519" customFormat="1" x14ac:dyDescent="0.25">
      <c r="A74" s="552"/>
      <c r="B74" s="553"/>
      <c r="C74" s="553"/>
      <c r="D74" s="553"/>
      <c r="E74" s="553"/>
      <c r="F74" s="553"/>
      <c r="G74" s="553"/>
      <c r="H74" s="553"/>
      <c r="I74" s="553"/>
      <c r="J74" s="553"/>
      <c r="K74" s="553"/>
      <c r="L74" s="553"/>
      <c r="M74" s="553"/>
      <c r="N74" s="553"/>
      <c r="O74" s="553"/>
      <c r="P74" s="554"/>
      <c r="Q74" s="555">
        <f>SUM(Q56:V73)</f>
        <v>0.19791666666787933</v>
      </c>
      <c r="R74" s="556"/>
      <c r="S74" s="556"/>
      <c r="T74" s="556"/>
      <c r="U74" s="556"/>
      <c r="V74" s="557"/>
      <c r="W74" s="575"/>
      <c r="X74" s="576"/>
      <c r="Y74" s="576"/>
      <c r="Z74" s="576"/>
      <c r="AA74" s="576"/>
      <c r="AB74" s="576"/>
      <c r="AC74" s="576"/>
      <c r="AD74" s="576"/>
      <c r="AE74" s="576"/>
      <c r="AF74" s="576"/>
      <c r="AG74" s="576"/>
      <c r="AH74" s="576"/>
      <c r="AI74" s="576"/>
      <c r="AJ74" s="577"/>
      <c r="AK74" s="534"/>
    </row>
    <row r="75" ht="15.75" customHeight="1" spans="1:37" s="519" customFormat="1" x14ac:dyDescent="0.25">
      <c r="A75" s="520" t="s">
        <v>138</v>
      </c>
      <c r="B75" s="521"/>
      <c r="C75" s="521"/>
      <c r="D75" s="522"/>
      <c r="E75" s="523">
        <v>0.4166666666678793</v>
      </c>
      <c r="F75" s="524"/>
      <c r="G75" s="524"/>
      <c r="H75" s="524"/>
      <c r="I75" s="524"/>
      <c r="J75" s="525"/>
      <c r="K75" s="526"/>
      <c r="L75" s="524"/>
      <c r="M75" s="524"/>
      <c r="N75" s="524"/>
      <c r="O75" s="524"/>
      <c r="P75" s="527"/>
      <c r="Q75" s="528">
        <f t="shared" ref="Q75:Q85" si="11">IF(AND(NOT(ISBLANK(K75)),NOT(ISBLANK(E75))), IF(K75&gt;E75,K75-E75,24-E75+K75), "")</f>
      </c>
      <c r="R75" s="529"/>
      <c r="S75" s="529"/>
      <c r="T75" s="529"/>
      <c r="U75" s="529"/>
      <c r="V75" s="530"/>
      <c r="W75" s="531" t="s">
        <v>134</v>
      </c>
      <c r="X75" s="532"/>
      <c r="Y75" s="532"/>
      <c r="Z75" s="532"/>
      <c r="AA75" s="532"/>
      <c r="AB75" s="532"/>
      <c r="AC75" s="532"/>
      <c r="AD75" s="532"/>
      <c r="AE75" s="532"/>
      <c r="AF75" s="532"/>
      <c r="AG75" s="532"/>
      <c r="AH75" s="532"/>
      <c r="AI75" s="532"/>
      <c r="AJ75" s="533"/>
      <c r="AK75" s="534"/>
    </row>
    <row r="76" ht="15.75" customHeight="1" spans="1:37" s="519" customFormat="1" x14ac:dyDescent="0.25">
      <c r="A76" s="535" t="s">
        <v>34</v>
      </c>
      <c r="B76" s="536"/>
      <c r="C76" s="536"/>
      <c r="D76" s="537"/>
      <c r="E76" s="538">
        <v>0.4166666666678793</v>
      </c>
      <c r="F76" s="539"/>
      <c r="G76" s="539"/>
      <c r="H76" s="539"/>
      <c r="I76" s="539"/>
      <c r="J76" s="540"/>
      <c r="K76" s="541">
        <v>0.5</v>
      </c>
      <c r="L76" s="539"/>
      <c r="M76" s="539"/>
      <c r="N76" s="539"/>
      <c r="O76" s="539"/>
      <c r="P76" s="542"/>
      <c r="Q76" s="543">
        <f t="shared" si="11"/>
        <v>0.08333333333212067</v>
      </c>
      <c r="R76" s="544"/>
      <c r="S76" s="544"/>
      <c r="T76" s="544"/>
      <c r="U76" s="544"/>
      <c r="V76" s="545"/>
      <c r="W76" s="546" t="s">
        <v>135</v>
      </c>
      <c r="X76" s="547"/>
      <c r="Y76" s="547"/>
      <c r="Z76" s="547"/>
      <c r="AA76" s="547"/>
      <c r="AB76" s="547"/>
      <c r="AC76" s="547"/>
      <c r="AD76" s="547"/>
      <c r="AE76" s="547"/>
      <c r="AF76" s="547"/>
      <c r="AG76" s="547"/>
      <c r="AH76" s="547"/>
      <c r="AI76" s="547"/>
      <c r="AJ76" s="548"/>
      <c r="AK76" s="534"/>
    </row>
    <row r="77" ht="15.75" customHeight="1" spans="1:37" s="519" customFormat="1" x14ac:dyDescent="0.25">
      <c r="A77" s="549"/>
      <c r="B77" s="550"/>
      <c r="C77" s="550"/>
      <c r="D77" s="551"/>
      <c r="E77" s="523">
        <v>0.5</v>
      </c>
      <c r="F77" s="524"/>
      <c r="G77" s="524"/>
      <c r="H77" s="524"/>
      <c r="I77" s="524"/>
      <c r="J77" s="525"/>
      <c r="K77" s="541">
        <v>0.5416666666678793</v>
      </c>
      <c r="L77" s="539"/>
      <c r="M77" s="539"/>
      <c r="N77" s="539"/>
      <c r="O77" s="539"/>
      <c r="P77" s="542"/>
      <c r="Q77" s="543">
        <f t="shared" si="11"/>
        <v>0.041666666667879326</v>
      </c>
      <c r="R77" s="544"/>
      <c r="S77" s="544"/>
      <c r="T77" s="544"/>
      <c r="U77" s="544"/>
      <c r="V77" s="545"/>
      <c r="W77" s="546" t="s">
        <v>132</v>
      </c>
      <c r="X77" s="547"/>
      <c r="Y77" s="547"/>
      <c r="Z77" s="547"/>
      <c r="AA77" s="547"/>
      <c r="AB77" s="547"/>
      <c r="AC77" s="547"/>
      <c r="AD77" s="547"/>
      <c r="AE77" s="547"/>
      <c r="AF77" s="547"/>
      <c r="AG77" s="547"/>
      <c r="AH77" s="547"/>
      <c r="AI77" s="547"/>
      <c r="AJ77" s="548"/>
      <c r="AK77" s="534"/>
    </row>
    <row r="78" ht="15.75" customHeight="1" spans="1:37" s="519" customFormat="1" x14ac:dyDescent="0.25">
      <c r="A78" s="549"/>
      <c r="B78" s="550"/>
      <c r="C78" s="550"/>
      <c r="D78" s="551"/>
      <c r="E78" s="523">
        <v>0.5416666666678793</v>
      </c>
      <c r="F78" s="524"/>
      <c r="G78" s="524"/>
      <c r="H78" s="524"/>
      <c r="I78" s="524"/>
      <c r="J78" s="525"/>
      <c r="K78" s="541">
        <v>0.6145833333321207</v>
      </c>
      <c r="L78" s="539"/>
      <c r="M78" s="539"/>
      <c r="N78" s="539"/>
      <c r="O78" s="539"/>
      <c r="P78" s="542"/>
      <c r="Q78" s="543">
        <f t="shared" si="11"/>
        <v>0.07291666666787933</v>
      </c>
      <c r="R78" s="544"/>
      <c r="S78" s="544"/>
      <c r="T78" s="544"/>
      <c r="U78" s="544"/>
      <c r="V78" s="545"/>
      <c r="W78" s="546" t="s">
        <v>135</v>
      </c>
      <c r="X78" s="547"/>
      <c r="Y78" s="547"/>
      <c r="Z78" s="547"/>
      <c r="AA78" s="547"/>
      <c r="AB78" s="547"/>
      <c r="AC78" s="547"/>
      <c r="AD78" s="547"/>
      <c r="AE78" s="547"/>
      <c r="AF78" s="547"/>
      <c r="AG78" s="547"/>
      <c r="AH78" s="547"/>
      <c r="AI78" s="547"/>
      <c r="AJ78" s="548"/>
      <c r="AK78" s="534"/>
    </row>
    <row r="79" ht="15.75" customHeight="1" spans="1:37" s="519" customFormat="1" x14ac:dyDescent="0.25">
      <c r="A79" s="549"/>
      <c r="B79" s="550"/>
      <c r="C79" s="550"/>
      <c r="D79" s="551"/>
      <c r="E79" s="523"/>
      <c r="F79" s="524"/>
      <c r="G79" s="524"/>
      <c r="H79" s="524"/>
      <c r="I79" s="524"/>
      <c r="J79" s="525"/>
      <c r="K79" s="541">
        <f>K78</f>
        <v>0.6145833333321207</v>
      </c>
      <c r="L79" s="539"/>
      <c r="M79" s="539"/>
      <c r="N79" s="539"/>
      <c r="O79" s="539"/>
      <c r="P79" s="542"/>
      <c r="Q79" s="543">
        <f t="shared" si="11"/>
      </c>
      <c r="R79" s="544"/>
      <c r="S79" s="544"/>
      <c r="T79" s="544"/>
      <c r="U79" s="544"/>
      <c r="V79" s="545"/>
      <c r="W79" s="546" t="s">
        <v>137</v>
      </c>
      <c r="X79" s="547"/>
      <c r="Y79" s="547"/>
      <c r="Z79" s="547"/>
      <c r="AA79" s="547"/>
      <c r="AB79" s="547"/>
      <c r="AC79" s="547"/>
      <c r="AD79" s="547"/>
      <c r="AE79" s="547"/>
      <c r="AF79" s="547"/>
      <c r="AG79" s="547"/>
      <c r="AH79" s="547"/>
      <c r="AI79" s="547"/>
      <c r="AJ79" s="548"/>
      <c r="AK79" s="534"/>
    </row>
    <row r="80" ht="15.75" customHeight="1" hidden="1" spans="1:37" s="519" customFormat="1" x14ac:dyDescent="0.25">
      <c r="A80" s="549"/>
      <c r="B80" s="550"/>
      <c r="C80" s="550"/>
      <c r="D80" s="551"/>
      <c r="E80" s="523"/>
      <c r="F80" s="524"/>
      <c r="G80" s="524"/>
      <c r="H80" s="524"/>
      <c r="I80" s="524"/>
      <c r="J80" s="525"/>
      <c r="K80" s="541"/>
      <c r="L80" s="539"/>
      <c r="M80" s="539"/>
      <c r="N80" s="539"/>
      <c r="O80" s="539"/>
      <c r="P80" s="542"/>
      <c r="Q80" s="543">
        <f t="shared" si="11"/>
      </c>
      <c r="R80" s="544"/>
      <c r="S80" s="544"/>
      <c r="T80" s="544"/>
      <c r="U80" s="544"/>
      <c r="V80" s="545"/>
      <c r="W80" s="531"/>
      <c r="X80" s="532"/>
      <c r="Y80" s="532"/>
      <c r="Z80" s="532"/>
      <c r="AA80" s="532"/>
      <c r="AB80" s="532"/>
      <c r="AC80" s="532"/>
      <c r="AD80" s="532"/>
      <c r="AE80" s="532"/>
      <c r="AF80" s="532"/>
      <c r="AG80" s="532"/>
      <c r="AH80" s="532"/>
      <c r="AI80" s="532"/>
      <c r="AJ80" s="533"/>
      <c r="AK80" s="534"/>
    </row>
    <row r="81" ht="15.75" customHeight="1" hidden="1" spans="1:37" s="519" customFormat="1" x14ac:dyDescent="0.25">
      <c r="A81" s="535"/>
      <c r="B81" s="536"/>
      <c r="C81" s="536"/>
      <c r="D81" s="537"/>
      <c r="E81" s="523"/>
      <c r="F81" s="524"/>
      <c r="G81" s="524"/>
      <c r="H81" s="524"/>
      <c r="I81" s="524"/>
      <c r="J81" s="525"/>
      <c r="K81" s="541"/>
      <c r="L81" s="539"/>
      <c r="M81" s="539"/>
      <c r="N81" s="539"/>
      <c r="O81" s="539"/>
      <c r="P81" s="542"/>
      <c r="Q81" s="543">
        <f t="shared" si="11"/>
      </c>
      <c r="R81" s="544"/>
      <c r="S81" s="544"/>
      <c r="T81" s="544"/>
      <c r="U81" s="544"/>
      <c r="V81" s="545"/>
      <c r="W81" s="531"/>
      <c r="X81" s="532"/>
      <c r="Y81" s="532"/>
      <c r="Z81" s="532"/>
      <c r="AA81" s="532"/>
      <c r="AB81" s="532"/>
      <c r="AC81" s="532"/>
      <c r="AD81" s="532"/>
      <c r="AE81" s="532"/>
      <c r="AF81" s="532"/>
      <c r="AG81" s="532"/>
      <c r="AH81" s="532"/>
      <c r="AI81" s="532"/>
      <c r="AJ81" s="533"/>
      <c r="AK81" s="534"/>
    </row>
    <row r="82" ht="15.75" customHeight="1" hidden="1" spans="1:37" s="519" customFormat="1" x14ac:dyDescent="0.25">
      <c r="A82" s="549"/>
      <c r="B82" s="550"/>
      <c r="C82" s="550"/>
      <c r="D82" s="551"/>
      <c r="E82" s="523"/>
      <c r="F82" s="524"/>
      <c r="G82" s="524"/>
      <c r="H82" s="524"/>
      <c r="I82" s="524"/>
      <c r="J82" s="525"/>
      <c r="K82" s="541"/>
      <c r="L82" s="539"/>
      <c r="M82" s="539"/>
      <c r="N82" s="539"/>
      <c r="O82" s="539"/>
      <c r="P82" s="542"/>
      <c r="Q82" s="543">
        <f t="shared" si="11"/>
      </c>
      <c r="R82" s="544"/>
      <c r="S82" s="544"/>
      <c r="T82" s="544"/>
      <c r="U82" s="544"/>
      <c r="V82" s="545"/>
      <c r="W82" s="546"/>
      <c r="X82" s="547"/>
      <c r="Y82" s="547"/>
      <c r="Z82" s="547"/>
      <c r="AA82" s="547"/>
      <c r="AB82" s="547"/>
      <c r="AC82" s="547"/>
      <c r="AD82" s="547"/>
      <c r="AE82" s="547"/>
      <c r="AF82" s="547"/>
      <c r="AG82" s="547"/>
      <c r="AH82" s="547"/>
      <c r="AI82" s="547"/>
      <c r="AJ82" s="548"/>
      <c r="AK82" s="534"/>
    </row>
    <row r="83" ht="15.75" customHeight="1" hidden="1" spans="1:37" s="519" customFormat="1" x14ac:dyDescent="0.25">
      <c r="A83" s="549"/>
      <c r="B83" s="550"/>
      <c r="C83" s="550"/>
      <c r="D83" s="551"/>
      <c r="E83" s="523"/>
      <c r="F83" s="524"/>
      <c r="G83" s="524"/>
      <c r="H83" s="524"/>
      <c r="I83" s="524"/>
      <c r="J83" s="525"/>
      <c r="K83" s="541"/>
      <c r="L83" s="539"/>
      <c r="M83" s="539"/>
      <c r="N83" s="539"/>
      <c r="O83" s="539"/>
      <c r="P83" s="542"/>
      <c r="Q83" s="543"/>
      <c r="R83" s="544"/>
      <c r="S83" s="544"/>
      <c r="T83" s="544"/>
      <c r="U83" s="544"/>
      <c r="V83" s="545"/>
      <c r="W83" s="531"/>
      <c r="X83" s="532"/>
      <c r="Y83" s="532"/>
      <c r="Z83" s="532"/>
      <c r="AA83" s="532"/>
      <c r="AB83" s="532"/>
      <c r="AC83" s="532"/>
      <c r="AD83" s="532"/>
      <c r="AE83" s="532"/>
      <c r="AF83" s="532"/>
      <c r="AG83" s="532"/>
      <c r="AH83" s="532"/>
      <c r="AI83" s="532"/>
      <c r="AJ83" s="533"/>
      <c r="AK83" s="534"/>
    </row>
    <row r="84" ht="15.75" customHeight="1" hidden="1" spans="1:37" s="519" customFormat="1" x14ac:dyDescent="0.25">
      <c r="A84" s="549"/>
      <c r="B84" s="550"/>
      <c r="C84" s="550"/>
      <c r="D84" s="551"/>
      <c r="E84" s="523"/>
      <c r="F84" s="524"/>
      <c r="G84" s="524"/>
      <c r="H84" s="524"/>
      <c r="I84" s="524"/>
      <c r="J84" s="525"/>
      <c r="K84" s="541"/>
      <c r="L84" s="539"/>
      <c r="M84" s="539"/>
      <c r="N84" s="539"/>
      <c r="O84" s="539"/>
      <c r="P84" s="542"/>
      <c r="Q84" s="543"/>
      <c r="R84" s="544"/>
      <c r="S84" s="544"/>
      <c r="T84" s="544"/>
      <c r="U84" s="544"/>
      <c r="V84" s="545"/>
      <c r="W84" s="546"/>
      <c r="X84" s="547"/>
      <c r="Y84" s="547"/>
      <c r="Z84" s="547"/>
      <c r="AA84" s="547"/>
      <c r="AB84" s="547"/>
      <c r="AC84" s="547"/>
      <c r="AD84" s="547"/>
      <c r="AE84" s="547"/>
      <c r="AF84" s="547"/>
      <c r="AG84" s="547"/>
      <c r="AH84" s="547"/>
      <c r="AI84" s="547"/>
      <c r="AJ84" s="548"/>
      <c r="AK84" s="534"/>
    </row>
    <row r="85" ht="15.75" customHeight="1" hidden="1" spans="1:37" s="519" customFormat="1" x14ac:dyDescent="0.25">
      <c r="A85" s="549"/>
      <c r="B85" s="550"/>
      <c r="C85" s="550"/>
      <c r="D85" s="551"/>
      <c r="E85" s="523"/>
      <c r="F85" s="524"/>
      <c r="G85" s="524"/>
      <c r="H85" s="524"/>
      <c r="I85" s="524"/>
      <c r="J85" s="525"/>
      <c r="K85" s="541"/>
      <c r="L85" s="539"/>
      <c r="M85" s="539"/>
      <c r="N85" s="539"/>
      <c r="O85" s="539"/>
      <c r="P85" s="542"/>
      <c r="Q85" s="543">
        <f t="shared" si="11"/>
      </c>
      <c r="R85" s="544"/>
      <c r="S85" s="544"/>
      <c r="T85" s="544"/>
      <c r="U85" s="544"/>
      <c r="V85" s="545"/>
      <c r="W85" s="546"/>
      <c r="X85" s="547"/>
      <c r="Y85" s="547"/>
      <c r="Z85" s="547"/>
      <c r="AA85" s="547"/>
      <c r="AB85" s="547"/>
      <c r="AC85" s="547"/>
      <c r="AD85" s="547"/>
      <c r="AE85" s="547"/>
      <c r="AF85" s="547"/>
      <c r="AG85" s="547"/>
      <c r="AH85" s="547"/>
      <c r="AI85" s="547"/>
      <c r="AJ85" s="548"/>
      <c r="AK85" s="534"/>
    </row>
    <row r="86" ht="15.75" customHeight="1" hidden="1" spans="1:37" s="519" customFormat="1" x14ac:dyDescent="0.25">
      <c r="A86" s="549"/>
      <c r="B86" s="550"/>
      <c r="C86" s="550"/>
      <c r="D86" s="551"/>
      <c r="E86" s="523"/>
      <c r="F86" s="524"/>
      <c r="G86" s="524"/>
      <c r="H86" s="524"/>
      <c r="I86" s="524"/>
      <c r="J86" s="525"/>
      <c r="K86" s="541"/>
      <c r="L86" s="539"/>
      <c r="M86" s="539"/>
      <c r="N86" s="539"/>
      <c r="O86" s="539"/>
      <c r="P86" s="542"/>
      <c r="Q86" s="543">
        <f t="shared" ref="Q86:Q91" si="12">IF(AND(NOT(ISBLANK(K86)),NOT(ISBLANK(E86))), IF(K86&gt;E86,K86-E86,24-E86+K86), "")</f>
      </c>
      <c r="R86" s="544"/>
      <c r="S86" s="544"/>
      <c r="T86" s="544"/>
      <c r="U86" s="544"/>
      <c r="V86" s="545"/>
      <c r="W86" s="531"/>
      <c r="X86" s="532"/>
      <c r="Y86" s="532"/>
      <c r="Z86" s="532"/>
      <c r="AA86" s="532"/>
      <c r="AB86" s="532"/>
      <c r="AC86" s="532"/>
      <c r="AD86" s="532"/>
      <c r="AE86" s="532"/>
      <c r="AF86" s="532"/>
      <c r="AG86" s="532"/>
      <c r="AH86" s="532"/>
      <c r="AI86" s="532"/>
      <c r="AJ86" s="533"/>
      <c r="AK86" s="534"/>
    </row>
    <row r="87" ht="15.75" customHeight="1" hidden="1" spans="1:37" s="519" customFormat="1" x14ac:dyDescent="0.25">
      <c r="A87" s="549"/>
      <c r="B87" s="550"/>
      <c r="C87" s="550"/>
      <c r="D87" s="551"/>
      <c r="E87" s="523"/>
      <c r="F87" s="524"/>
      <c r="G87" s="524"/>
      <c r="H87" s="524"/>
      <c r="I87" s="524"/>
      <c r="J87" s="525"/>
      <c r="K87" s="541"/>
      <c r="L87" s="539"/>
      <c r="M87" s="539"/>
      <c r="N87" s="539"/>
      <c r="O87" s="539"/>
      <c r="P87" s="542"/>
      <c r="Q87" s="543">
        <f t="shared" si="12"/>
      </c>
      <c r="R87" s="544"/>
      <c r="S87" s="544"/>
      <c r="T87" s="544"/>
      <c r="U87" s="544"/>
      <c r="V87" s="545"/>
      <c r="W87" s="546"/>
      <c r="X87" s="547"/>
      <c r="Y87" s="547"/>
      <c r="Z87" s="547"/>
      <c r="AA87" s="547"/>
      <c r="AB87" s="547"/>
      <c r="AC87" s="547"/>
      <c r="AD87" s="547"/>
      <c r="AE87" s="547"/>
      <c r="AF87" s="547"/>
      <c r="AG87" s="547"/>
      <c r="AH87" s="547"/>
      <c r="AI87" s="547"/>
      <c r="AJ87" s="548"/>
      <c r="AK87" s="534"/>
    </row>
    <row r="88" ht="15.75" customHeight="1" hidden="1" spans="1:37" s="519" customFormat="1" x14ac:dyDescent="0.25">
      <c r="A88" s="549"/>
      <c r="B88" s="550"/>
      <c r="C88" s="550"/>
      <c r="D88" s="551"/>
      <c r="E88" s="523"/>
      <c r="F88" s="524"/>
      <c r="G88" s="524"/>
      <c r="H88" s="524"/>
      <c r="I88" s="524"/>
      <c r="J88" s="525"/>
      <c r="K88" s="541"/>
      <c r="L88" s="539"/>
      <c r="M88" s="539"/>
      <c r="N88" s="539"/>
      <c r="O88" s="539"/>
      <c r="P88" s="542"/>
      <c r="Q88" s="543">
        <f t="shared" si="12"/>
      </c>
      <c r="R88" s="544"/>
      <c r="S88" s="544"/>
      <c r="T88" s="544"/>
      <c r="U88" s="544"/>
      <c r="V88" s="545"/>
      <c r="W88" s="546"/>
      <c r="X88" s="547"/>
      <c r="Y88" s="547"/>
      <c r="Z88" s="547"/>
      <c r="AA88" s="547"/>
      <c r="AB88" s="547"/>
      <c r="AC88" s="547"/>
      <c r="AD88" s="547"/>
      <c r="AE88" s="547"/>
      <c r="AF88" s="547"/>
      <c r="AG88" s="547"/>
      <c r="AH88" s="547"/>
      <c r="AI88" s="547"/>
      <c r="AJ88" s="548"/>
      <c r="AK88" s="534"/>
    </row>
    <row r="89" ht="15.75" customHeight="1" hidden="1" spans="1:37" s="519" customFormat="1" x14ac:dyDescent="0.25">
      <c r="A89" s="549"/>
      <c r="B89" s="550"/>
      <c r="C89" s="550"/>
      <c r="D89" s="551"/>
      <c r="E89" s="523"/>
      <c r="F89" s="524"/>
      <c r="G89" s="524"/>
      <c r="H89" s="524"/>
      <c r="I89" s="524"/>
      <c r="J89" s="525"/>
      <c r="K89" s="541"/>
      <c r="L89" s="539"/>
      <c r="M89" s="539"/>
      <c r="N89" s="539"/>
      <c r="O89" s="539"/>
      <c r="P89" s="542"/>
      <c r="Q89" s="543">
        <f t="shared" si="12"/>
      </c>
      <c r="R89" s="544"/>
      <c r="S89" s="544"/>
      <c r="T89" s="544"/>
      <c r="U89" s="544"/>
      <c r="V89" s="545"/>
      <c r="W89" s="531"/>
      <c r="X89" s="532"/>
      <c r="Y89" s="532"/>
      <c r="Z89" s="532"/>
      <c r="AA89" s="532"/>
      <c r="AB89" s="532"/>
      <c r="AC89" s="532"/>
      <c r="AD89" s="532"/>
      <c r="AE89" s="532"/>
      <c r="AF89" s="532"/>
      <c r="AG89" s="532"/>
      <c r="AH89" s="532"/>
      <c r="AI89" s="532"/>
      <c r="AJ89" s="533"/>
      <c r="AK89" s="534"/>
    </row>
    <row r="90" ht="15.75" customHeight="1" hidden="1" spans="1:37" s="519" customFormat="1" x14ac:dyDescent="0.25">
      <c r="A90" s="549"/>
      <c r="B90" s="550"/>
      <c r="C90" s="550"/>
      <c r="D90" s="551"/>
      <c r="E90" s="523"/>
      <c r="F90" s="524"/>
      <c r="G90" s="524"/>
      <c r="H90" s="524"/>
      <c r="I90" s="524"/>
      <c r="J90" s="525"/>
      <c r="K90" s="541"/>
      <c r="L90" s="539"/>
      <c r="M90" s="539"/>
      <c r="N90" s="539"/>
      <c r="O90" s="539"/>
      <c r="P90" s="542"/>
      <c r="Q90" s="543">
        <f t="shared" si="12"/>
      </c>
      <c r="R90" s="544"/>
      <c r="S90" s="544"/>
      <c r="T90" s="544"/>
      <c r="U90" s="544"/>
      <c r="V90" s="545"/>
      <c r="W90" s="531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3"/>
      <c r="AK90" s="534"/>
    </row>
    <row r="91" ht="15.75" customHeight="1" hidden="1" spans="1:37" s="519" customFormat="1" x14ac:dyDescent="0.25">
      <c r="A91" s="549"/>
      <c r="B91" s="550"/>
      <c r="C91" s="550"/>
      <c r="D91" s="551"/>
      <c r="E91" s="523"/>
      <c r="F91" s="524"/>
      <c r="G91" s="524"/>
      <c r="H91" s="524"/>
      <c r="I91" s="524"/>
      <c r="J91" s="525"/>
      <c r="K91" s="526"/>
      <c r="L91" s="524"/>
      <c r="M91" s="524"/>
      <c r="N91" s="524"/>
      <c r="O91" s="524"/>
      <c r="P91" s="527"/>
      <c r="Q91" s="543">
        <f t="shared" si="12"/>
      </c>
      <c r="R91" s="544"/>
      <c r="S91" s="544"/>
      <c r="T91" s="544"/>
      <c r="U91" s="544"/>
      <c r="V91" s="545"/>
      <c r="W91" s="531"/>
      <c r="X91" s="532"/>
      <c r="Y91" s="532"/>
      <c r="Z91" s="532"/>
      <c r="AA91" s="532"/>
      <c r="AB91" s="532"/>
      <c r="AC91" s="532"/>
      <c r="AD91" s="532"/>
      <c r="AE91" s="532"/>
      <c r="AF91" s="532"/>
      <c r="AG91" s="532"/>
      <c r="AH91" s="532"/>
      <c r="AI91" s="532"/>
      <c r="AJ91" s="533"/>
      <c r="AK91" s="534"/>
    </row>
    <row r="92" ht="15.75" customHeight="1" hidden="1" spans="1:37" s="519" customFormat="1" x14ac:dyDescent="0.25">
      <c r="A92" s="549"/>
      <c r="B92" s="550"/>
      <c r="C92" s="550"/>
      <c r="D92" s="551"/>
      <c r="E92" s="523"/>
      <c r="F92" s="524"/>
      <c r="G92" s="524"/>
      <c r="H92" s="524"/>
      <c r="I92" s="524"/>
      <c r="J92" s="525"/>
      <c r="K92" s="526"/>
      <c r="L92" s="524"/>
      <c r="M92" s="524"/>
      <c r="N92" s="524"/>
      <c r="O92" s="524"/>
      <c r="P92" s="527"/>
      <c r="Q92" s="528"/>
      <c r="R92" s="529"/>
      <c r="S92" s="529"/>
      <c r="T92" s="529"/>
      <c r="U92" s="529"/>
      <c r="V92" s="530"/>
      <c r="W92" s="546"/>
      <c r="X92" s="547"/>
      <c r="Y92" s="547"/>
      <c r="Z92" s="547"/>
      <c r="AA92" s="547"/>
      <c r="AB92" s="547"/>
      <c r="AC92" s="547"/>
      <c r="AD92" s="547"/>
      <c r="AE92" s="547"/>
      <c r="AF92" s="547"/>
      <c r="AG92" s="547"/>
      <c r="AH92" s="547"/>
      <c r="AI92" s="547"/>
      <c r="AJ92" s="548"/>
      <c r="AK92" s="534"/>
    </row>
    <row r="93" ht="15.75" customHeight="1" spans="1:37" s="519" customFormat="1" x14ac:dyDescent="0.25">
      <c r="A93" s="562"/>
      <c r="B93" s="563"/>
      <c r="C93" s="563"/>
      <c r="D93" s="564"/>
      <c r="E93" s="565"/>
      <c r="F93" s="566"/>
      <c r="G93" s="566"/>
      <c r="H93" s="566"/>
      <c r="I93" s="566"/>
      <c r="J93" s="567"/>
      <c r="K93" s="566"/>
      <c r="L93" s="566"/>
      <c r="M93" s="566"/>
      <c r="N93" s="566"/>
      <c r="O93" s="566"/>
      <c r="P93" s="568"/>
      <c r="Q93" s="569"/>
      <c r="R93" s="570"/>
      <c r="S93" s="570"/>
      <c r="T93" s="570"/>
      <c r="U93" s="570"/>
      <c r="V93" s="571"/>
      <c r="W93" s="572"/>
      <c r="X93" s="573"/>
      <c r="Y93" s="573"/>
      <c r="Z93" s="573"/>
      <c r="AA93" s="573"/>
      <c r="AB93" s="573"/>
      <c r="AC93" s="573"/>
      <c r="AD93" s="573"/>
      <c r="AE93" s="573"/>
      <c r="AF93" s="573"/>
      <c r="AG93" s="573"/>
      <c r="AH93" s="573"/>
      <c r="AI93" s="573"/>
      <c r="AJ93" s="574"/>
      <c r="AK93" s="534"/>
    </row>
    <row r="94" ht="15.75" customHeight="1" spans="1:37" s="519" customFormat="1" x14ac:dyDescent="0.25">
      <c r="A94" s="552"/>
      <c r="B94" s="553"/>
      <c r="C94" s="553"/>
      <c r="D94" s="553"/>
      <c r="E94" s="553"/>
      <c r="F94" s="553"/>
      <c r="G94" s="553"/>
      <c r="H94" s="553"/>
      <c r="I94" s="553"/>
      <c r="J94" s="553"/>
      <c r="K94" s="553"/>
      <c r="L94" s="553"/>
      <c r="M94" s="553"/>
      <c r="N94" s="553"/>
      <c r="O94" s="553"/>
      <c r="P94" s="554"/>
      <c r="Q94" s="555">
        <f>SUM(Q75:V92)</f>
        <v>0.19791666666787933</v>
      </c>
      <c r="R94" s="556"/>
      <c r="S94" s="556"/>
      <c r="T94" s="556"/>
      <c r="U94" s="556"/>
      <c r="V94" s="557"/>
      <c r="W94" s="575"/>
      <c r="X94" s="576"/>
      <c r="Y94" s="576"/>
      <c r="Z94" s="576"/>
      <c r="AA94" s="576"/>
      <c r="AB94" s="576"/>
      <c r="AC94" s="576"/>
      <c r="AD94" s="576"/>
      <c r="AE94" s="576"/>
      <c r="AF94" s="576"/>
      <c r="AG94" s="576"/>
      <c r="AH94" s="576"/>
      <c r="AI94" s="576"/>
      <c r="AJ94" s="577"/>
      <c r="AK94" s="534"/>
    </row>
    <row r="95" ht="15.75" customHeight="1" spans="1:37" s="519" customFormat="1" x14ac:dyDescent="0.25">
      <c r="A95" s="520" t="s">
        <v>139</v>
      </c>
      <c r="B95" s="521"/>
      <c r="C95" s="521"/>
      <c r="D95" s="522"/>
      <c r="E95" s="523">
        <v>0.6145833333321207</v>
      </c>
      <c r="F95" s="524"/>
      <c r="G95" s="524"/>
      <c r="H95" s="524"/>
      <c r="I95" s="524"/>
      <c r="J95" s="525"/>
      <c r="K95" s="526"/>
      <c r="L95" s="524"/>
      <c r="M95" s="524"/>
      <c r="N95" s="524"/>
      <c r="O95" s="524"/>
      <c r="P95" s="527"/>
      <c r="Q95" s="528">
        <f t="shared" ref="Q95:Q105" si="13">IF(AND(NOT(ISBLANK(K95)),NOT(ISBLANK(E95))), IF(K95&gt;E95,K95-E95,24-E95+K95), "")</f>
      </c>
      <c r="R95" s="529"/>
      <c r="S95" s="529"/>
      <c r="T95" s="529"/>
      <c r="U95" s="529"/>
      <c r="V95" s="530"/>
      <c r="W95" s="531" t="s">
        <v>134</v>
      </c>
      <c r="X95" s="532"/>
      <c r="Y95" s="532"/>
      <c r="Z95" s="532"/>
      <c r="AA95" s="532"/>
      <c r="AB95" s="532"/>
      <c r="AC95" s="532"/>
      <c r="AD95" s="532"/>
      <c r="AE95" s="532"/>
      <c r="AF95" s="532"/>
      <c r="AG95" s="532"/>
      <c r="AH95" s="532"/>
      <c r="AI95" s="532"/>
      <c r="AJ95" s="533"/>
      <c r="AK95" s="534"/>
    </row>
    <row r="96" ht="15.75" customHeight="1" spans="1:37" s="519" customFormat="1" x14ac:dyDescent="0.25">
      <c r="A96" s="535" t="s">
        <v>34</v>
      </c>
      <c r="B96" s="536"/>
      <c r="C96" s="536"/>
      <c r="D96" s="537"/>
      <c r="E96" s="538">
        <f>E95</f>
        <v>0.6145833333321207</v>
      </c>
      <c r="F96" s="539"/>
      <c r="G96" s="539"/>
      <c r="H96" s="539"/>
      <c r="I96" s="539"/>
      <c r="J96" s="540"/>
      <c r="K96" s="541">
        <v>0.7291666666678793</v>
      </c>
      <c r="L96" s="539"/>
      <c r="M96" s="539"/>
      <c r="N96" s="539"/>
      <c r="O96" s="539"/>
      <c r="P96" s="542"/>
      <c r="Q96" s="543">
        <f t="shared" si="13"/>
        <v>0.11458333333212067</v>
      </c>
      <c r="R96" s="544"/>
      <c r="S96" s="544"/>
      <c r="T96" s="544"/>
      <c r="U96" s="544"/>
      <c r="V96" s="545"/>
      <c r="W96" s="546" t="s">
        <v>135</v>
      </c>
      <c r="X96" s="547"/>
      <c r="Y96" s="547"/>
      <c r="Z96" s="547"/>
      <c r="AA96" s="547"/>
      <c r="AB96" s="547"/>
      <c r="AC96" s="547"/>
      <c r="AD96" s="547"/>
      <c r="AE96" s="547"/>
      <c r="AF96" s="547"/>
      <c r="AG96" s="547"/>
      <c r="AH96" s="547"/>
      <c r="AI96" s="547"/>
      <c r="AJ96" s="548"/>
      <c r="AK96" s="534"/>
    </row>
    <row r="97" ht="15.75" customHeight="1" spans="1:37" s="519" customFormat="1" x14ac:dyDescent="0.25">
      <c r="A97" s="549"/>
      <c r="B97" s="550"/>
      <c r="C97" s="550"/>
      <c r="D97" s="551"/>
      <c r="E97" s="523">
        <f>K96</f>
        <v>0.7291666666678793</v>
      </c>
      <c r="F97" s="524"/>
      <c r="G97" s="524"/>
      <c r="H97" s="524"/>
      <c r="I97" s="524"/>
      <c r="J97" s="525"/>
      <c r="K97" s="541">
        <v>0.7916666666678793</v>
      </c>
      <c r="L97" s="539"/>
      <c r="M97" s="539"/>
      <c r="N97" s="539"/>
      <c r="O97" s="539"/>
      <c r="P97" s="542"/>
      <c r="Q97" s="543">
        <f t="shared" si="13"/>
        <v>0.0625</v>
      </c>
      <c r="R97" s="544"/>
      <c r="S97" s="544"/>
      <c r="T97" s="544"/>
      <c r="U97" s="544"/>
      <c r="V97" s="545"/>
      <c r="W97" s="546" t="s">
        <v>132</v>
      </c>
      <c r="X97" s="547"/>
      <c r="Y97" s="547"/>
      <c r="Z97" s="547"/>
      <c r="AA97" s="547"/>
      <c r="AB97" s="547"/>
      <c r="AC97" s="547"/>
      <c r="AD97" s="547"/>
      <c r="AE97" s="547"/>
      <c r="AF97" s="547"/>
      <c r="AG97" s="547"/>
      <c r="AH97" s="547"/>
      <c r="AI97" s="547"/>
      <c r="AJ97" s="548"/>
      <c r="AK97" s="534"/>
    </row>
    <row r="98" ht="15.75" customHeight="1" spans="1:37" s="519" customFormat="1" x14ac:dyDescent="0.25">
      <c r="A98" s="549"/>
      <c r="B98" s="550"/>
      <c r="C98" s="550"/>
      <c r="D98" s="551"/>
      <c r="E98" s="523">
        <f>K97</f>
        <v>0.7916666666678793</v>
      </c>
      <c r="F98" s="524"/>
      <c r="G98" s="524"/>
      <c r="H98" s="524"/>
      <c r="I98" s="524"/>
      <c r="J98" s="525"/>
      <c r="K98" s="541">
        <v>0</v>
      </c>
      <c r="L98" s="539"/>
      <c r="M98" s="539"/>
      <c r="N98" s="539"/>
      <c r="O98" s="539"/>
      <c r="P98" s="542"/>
      <c r="Q98" s="543">
        <f t="shared" si="13"/>
        <v>23.20833333333212</v>
      </c>
      <c r="R98" s="544"/>
      <c r="S98" s="544"/>
      <c r="T98" s="544"/>
      <c r="U98" s="544"/>
      <c r="V98" s="545"/>
      <c r="W98" s="546" t="s">
        <v>135</v>
      </c>
      <c r="X98" s="547"/>
      <c r="Y98" s="547"/>
      <c r="Z98" s="547"/>
      <c r="AA98" s="547"/>
      <c r="AB98" s="547"/>
      <c r="AC98" s="547"/>
      <c r="AD98" s="547"/>
      <c r="AE98" s="547"/>
      <c r="AF98" s="547"/>
      <c r="AG98" s="547"/>
      <c r="AH98" s="547"/>
      <c r="AI98" s="547"/>
      <c r="AJ98" s="548"/>
      <c r="AK98" s="534"/>
    </row>
    <row r="99" ht="15.75" customHeight="1" spans="1:37" s="519" customFormat="1" x14ac:dyDescent="0.25">
      <c r="A99" s="549" t="s">
        <v>35</v>
      </c>
      <c r="B99" s="550"/>
      <c r="C99" s="550"/>
      <c r="D99" s="551"/>
      <c r="E99" s="523">
        <v>0</v>
      </c>
      <c r="F99" s="524"/>
      <c r="G99" s="524"/>
      <c r="H99" s="524"/>
      <c r="I99" s="524"/>
      <c r="J99" s="525"/>
      <c r="K99" s="541">
        <v>0.041666666667879326</v>
      </c>
      <c r="L99" s="539"/>
      <c r="M99" s="539"/>
      <c r="N99" s="539"/>
      <c r="O99" s="539"/>
      <c r="P99" s="542"/>
      <c r="Q99" s="543">
        <f t="shared" si="13"/>
        <v>0.041666666667879326</v>
      </c>
      <c r="R99" s="544"/>
      <c r="S99" s="544"/>
      <c r="T99" s="544"/>
      <c r="U99" s="544"/>
      <c r="V99" s="545"/>
      <c r="W99" s="546" t="s">
        <v>132</v>
      </c>
      <c r="X99" s="547"/>
      <c r="Y99" s="547"/>
      <c r="Z99" s="547"/>
      <c r="AA99" s="547"/>
      <c r="AB99" s="547"/>
      <c r="AC99" s="547"/>
      <c r="AD99" s="547"/>
      <c r="AE99" s="547"/>
      <c r="AF99" s="547"/>
      <c r="AG99" s="547"/>
      <c r="AH99" s="547"/>
      <c r="AI99" s="547"/>
      <c r="AJ99" s="548"/>
      <c r="AK99" s="534"/>
    </row>
    <row r="100" ht="15.75" customHeight="1" spans="1:37" s="519" customFormat="1" x14ac:dyDescent="0.25">
      <c r="A100" s="549"/>
      <c r="B100" s="550"/>
      <c r="C100" s="550"/>
      <c r="D100" s="551"/>
      <c r="E100" s="523">
        <f>K99</f>
        <v>0.041666666667879326</v>
      </c>
      <c r="F100" s="524"/>
      <c r="G100" s="524"/>
      <c r="H100" s="524"/>
      <c r="I100" s="524"/>
      <c r="J100" s="525"/>
      <c r="K100" s="541">
        <v>0.09722222222262644</v>
      </c>
      <c r="L100" s="539"/>
      <c r="M100" s="539"/>
      <c r="N100" s="539"/>
      <c r="O100" s="539"/>
      <c r="P100" s="542"/>
      <c r="Q100" s="543">
        <f t="shared" si="13"/>
        <v>0.055555555554747116</v>
      </c>
      <c r="R100" s="544"/>
      <c r="S100" s="544"/>
      <c r="T100" s="544"/>
      <c r="U100" s="544"/>
      <c r="V100" s="545"/>
      <c r="W100" s="531" t="s">
        <v>135</v>
      </c>
      <c r="X100" s="532"/>
      <c r="Y100" s="532"/>
      <c r="Z100" s="532"/>
      <c r="AA100" s="532"/>
      <c r="AB100" s="532"/>
      <c r="AC100" s="532"/>
      <c r="AD100" s="532"/>
      <c r="AE100" s="532"/>
      <c r="AF100" s="532"/>
      <c r="AG100" s="532"/>
      <c r="AH100" s="532"/>
      <c r="AI100" s="532"/>
      <c r="AJ100" s="533"/>
      <c r="AK100" s="534"/>
    </row>
    <row r="101" ht="15.75" customHeight="1" spans="1:37" s="519" customFormat="1" x14ac:dyDescent="0.25">
      <c r="A101" s="535"/>
      <c r="B101" s="536"/>
      <c r="C101" s="536"/>
      <c r="D101" s="537"/>
      <c r="E101" s="523"/>
      <c r="F101" s="524"/>
      <c r="G101" s="524"/>
      <c r="H101" s="524"/>
      <c r="I101" s="524"/>
      <c r="J101" s="525"/>
      <c r="K101" s="541">
        <f>K100</f>
        <v>0.09722222222262644</v>
      </c>
      <c r="L101" s="539"/>
      <c r="M101" s="539"/>
      <c r="N101" s="539"/>
      <c r="O101" s="539"/>
      <c r="P101" s="542"/>
      <c r="Q101" s="543">
        <f t="shared" si="13"/>
      </c>
      <c r="R101" s="544"/>
      <c r="S101" s="544"/>
      <c r="T101" s="544"/>
      <c r="U101" s="544"/>
      <c r="V101" s="545"/>
      <c r="W101" s="531" t="s">
        <v>136</v>
      </c>
      <c r="X101" s="532"/>
      <c r="Y101" s="532"/>
      <c r="Z101" s="532"/>
      <c r="AA101" s="532"/>
      <c r="AB101" s="532"/>
      <c r="AC101" s="532"/>
      <c r="AD101" s="532"/>
      <c r="AE101" s="532"/>
      <c r="AF101" s="532"/>
      <c r="AG101" s="532"/>
      <c r="AH101" s="532"/>
      <c r="AI101" s="532"/>
      <c r="AJ101" s="533"/>
      <c r="AK101" s="534"/>
    </row>
    <row r="102" ht="15.75" customHeight="1" hidden="1" spans="1:37" s="519" customFormat="1" x14ac:dyDescent="0.25">
      <c r="A102" s="549"/>
      <c r="B102" s="550"/>
      <c r="C102" s="550"/>
      <c r="D102" s="551"/>
      <c r="E102" s="523"/>
      <c r="F102" s="524"/>
      <c r="G102" s="524"/>
      <c r="H102" s="524"/>
      <c r="I102" s="524"/>
      <c r="J102" s="525"/>
      <c r="K102" s="541"/>
      <c r="L102" s="539"/>
      <c r="M102" s="539"/>
      <c r="N102" s="539"/>
      <c r="O102" s="539"/>
      <c r="P102" s="542"/>
      <c r="Q102" s="543">
        <f t="shared" si="13"/>
      </c>
      <c r="R102" s="544"/>
      <c r="S102" s="544"/>
      <c r="T102" s="544"/>
      <c r="U102" s="544"/>
      <c r="V102" s="545"/>
      <c r="W102" s="546"/>
      <c r="X102" s="547"/>
      <c r="Y102" s="547"/>
      <c r="Z102" s="547"/>
      <c r="AA102" s="547"/>
      <c r="AB102" s="547"/>
      <c r="AC102" s="547"/>
      <c r="AD102" s="547"/>
      <c r="AE102" s="547"/>
      <c r="AF102" s="547"/>
      <c r="AG102" s="547"/>
      <c r="AH102" s="547"/>
      <c r="AI102" s="547"/>
      <c r="AJ102" s="548"/>
      <c r="AK102" s="534"/>
    </row>
    <row r="103" ht="15.75" customHeight="1" hidden="1" spans="1:37" s="519" customFormat="1" x14ac:dyDescent="0.25">
      <c r="A103" s="549"/>
      <c r="B103" s="550"/>
      <c r="C103" s="550"/>
      <c r="D103" s="551"/>
      <c r="E103" s="523"/>
      <c r="F103" s="524"/>
      <c r="G103" s="524"/>
      <c r="H103" s="524"/>
      <c r="I103" s="524"/>
      <c r="J103" s="525"/>
      <c r="K103" s="541"/>
      <c r="L103" s="539"/>
      <c r="M103" s="539"/>
      <c r="N103" s="539"/>
      <c r="O103" s="539"/>
      <c r="P103" s="542"/>
      <c r="Q103" s="543">
        <f t="shared" si="13"/>
      </c>
      <c r="R103" s="544"/>
      <c r="S103" s="544"/>
      <c r="T103" s="544"/>
      <c r="U103" s="544"/>
      <c r="V103" s="545"/>
      <c r="W103" s="531"/>
      <c r="X103" s="532"/>
      <c r="Y103" s="532"/>
      <c r="Z103" s="532"/>
      <c r="AA103" s="532"/>
      <c r="AB103" s="532"/>
      <c r="AC103" s="532"/>
      <c r="AD103" s="532"/>
      <c r="AE103" s="532"/>
      <c r="AF103" s="532"/>
      <c r="AG103" s="532"/>
      <c r="AH103" s="532"/>
      <c r="AI103" s="532"/>
      <c r="AJ103" s="533"/>
      <c r="AK103" s="534"/>
    </row>
    <row r="104" ht="15.75" customHeight="1" hidden="1" spans="1:37" s="519" customFormat="1" x14ac:dyDescent="0.25">
      <c r="A104" s="549"/>
      <c r="B104" s="550"/>
      <c r="C104" s="550"/>
      <c r="D104" s="551"/>
      <c r="E104" s="523"/>
      <c r="F104" s="524"/>
      <c r="G104" s="524"/>
      <c r="H104" s="524"/>
      <c r="I104" s="524"/>
      <c r="J104" s="525"/>
      <c r="K104" s="541"/>
      <c r="L104" s="539"/>
      <c r="M104" s="539"/>
      <c r="N104" s="539"/>
      <c r="O104" s="539"/>
      <c r="P104" s="542"/>
      <c r="Q104" s="543">
        <f t="shared" si="13"/>
      </c>
      <c r="R104" s="544"/>
      <c r="S104" s="544"/>
      <c r="T104" s="544"/>
      <c r="U104" s="544"/>
      <c r="V104" s="545"/>
      <c r="W104" s="546"/>
      <c r="X104" s="547"/>
      <c r="Y104" s="547"/>
      <c r="Z104" s="547"/>
      <c r="AA104" s="547"/>
      <c r="AB104" s="547"/>
      <c r="AC104" s="547"/>
      <c r="AD104" s="547"/>
      <c r="AE104" s="547"/>
      <c r="AF104" s="547"/>
      <c r="AG104" s="547"/>
      <c r="AH104" s="547"/>
      <c r="AI104" s="547"/>
      <c r="AJ104" s="548"/>
      <c r="AK104" s="534"/>
    </row>
    <row r="105" ht="15.75" customHeight="1" hidden="1" spans="1:37" s="519" customFormat="1" x14ac:dyDescent="0.25">
      <c r="A105" s="549"/>
      <c r="B105" s="550"/>
      <c r="C105" s="550"/>
      <c r="D105" s="551"/>
      <c r="E105" s="523"/>
      <c r="F105" s="524"/>
      <c r="G105" s="524"/>
      <c r="H105" s="524"/>
      <c r="I105" s="524"/>
      <c r="J105" s="525"/>
      <c r="K105" s="541"/>
      <c r="L105" s="539"/>
      <c r="M105" s="539"/>
      <c r="N105" s="539"/>
      <c r="O105" s="539"/>
      <c r="P105" s="542"/>
      <c r="Q105" s="543">
        <f t="shared" si="13"/>
      </c>
      <c r="R105" s="544"/>
      <c r="S105" s="544"/>
      <c r="T105" s="544"/>
      <c r="U105" s="544"/>
      <c r="V105" s="545"/>
      <c r="W105" s="546"/>
      <c r="X105" s="547"/>
      <c r="Y105" s="547"/>
      <c r="Z105" s="547"/>
      <c r="AA105" s="547"/>
      <c r="AB105" s="547"/>
      <c r="AC105" s="547"/>
      <c r="AD105" s="547"/>
      <c r="AE105" s="547"/>
      <c r="AF105" s="547"/>
      <c r="AG105" s="547"/>
      <c r="AH105" s="547"/>
      <c r="AI105" s="547"/>
      <c r="AJ105" s="548"/>
      <c r="AK105" s="534"/>
    </row>
    <row r="106" ht="15.75" customHeight="1" hidden="1" spans="1:37" s="519" customFormat="1" x14ac:dyDescent="0.25">
      <c r="A106" s="549"/>
      <c r="B106" s="550"/>
      <c r="C106" s="550"/>
      <c r="D106" s="551"/>
      <c r="E106" s="523"/>
      <c r="F106" s="524"/>
      <c r="G106" s="524"/>
      <c r="H106" s="524"/>
      <c r="I106" s="524"/>
      <c r="J106" s="525"/>
      <c r="K106" s="541"/>
      <c r="L106" s="539"/>
      <c r="M106" s="539"/>
      <c r="N106" s="539"/>
      <c r="O106" s="539"/>
      <c r="P106" s="542"/>
      <c r="Q106" s="543"/>
      <c r="R106" s="544"/>
      <c r="S106" s="544"/>
      <c r="T106" s="544"/>
      <c r="U106" s="544"/>
      <c r="V106" s="545"/>
      <c r="W106" s="531"/>
      <c r="X106" s="532"/>
      <c r="Y106" s="532"/>
      <c r="Z106" s="532"/>
      <c r="AA106" s="532"/>
      <c r="AB106" s="532"/>
      <c r="AC106" s="532"/>
      <c r="AD106" s="532"/>
      <c r="AE106" s="532"/>
      <c r="AF106" s="532"/>
      <c r="AG106" s="532"/>
      <c r="AH106" s="532"/>
      <c r="AI106" s="532"/>
      <c r="AJ106" s="533"/>
      <c r="AK106" s="534"/>
    </row>
    <row r="107" ht="15.75" customHeight="1" hidden="1" spans="1:37" s="519" customFormat="1" x14ac:dyDescent="0.25">
      <c r="A107" s="549"/>
      <c r="B107" s="550"/>
      <c r="C107" s="550"/>
      <c r="D107" s="551"/>
      <c r="E107" s="523"/>
      <c r="F107" s="524"/>
      <c r="G107" s="524"/>
      <c r="H107" s="524"/>
      <c r="I107" s="524"/>
      <c r="J107" s="525"/>
      <c r="K107" s="541"/>
      <c r="L107" s="539"/>
      <c r="M107" s="539"/>
      <c r="N107" s="539"/>
      <c r="O107" s="539"/>
      <c r="P107" s="542"/>
      <c r="Q107" s="543"/>
      <c r="R107" s="544"/>
      <c r="S107" s="544"/>
      <c r="T107" s="544"/>
      <c r="U107" s="544"/>
      <c r="V107" s="545"/>
      <c r="W107" s="531"/>
      <c r="X107" s="532"/>
      <c r="Y107" s="532"/>
      <c r="Z107" s="532"/>
      <c r="AA107" s="532"/>
      <c r="AB107" s="532"/>
      <c r="AC107" s="532"/>
      <c r="AD107" s="532"/>
      <c r="AE107" s="532"/>
      <c r="AF107" s="532"/>
      <c r="AG107" s="532"/>
      <c r="AH107" s="532"/>
      <c r="AI107" s="532"/>
      <c r="AJ107" s="533"/>
      <c r="AK107" s="534"/>
    </row>
    <row r="108" ht="15.75" customHeight="1" hidden="1" spans="1:37" s="519" customFormat="1" x14ac:dyDescent="0.25">
      <c r="A108" s="549"/>
      <c r="B108" s="550"/>
      <c r="C108" s="550"/>
      <c r="D108" s="551"/>
      <c r="E108" s="523"/>
      <c r="F108" s="524"/>
      <c r="G108" s="524"/>
      <c r="H108" s="524"/>
      <c r="I108" s="524"/>
      <c r="J108" s="525"/>
      <c r="K108" s="541"/>
      <c r="L108" s="539"/>
      <c r="M108" s="539"/>
      <c r="N108" s="539"/>
      <c r="O108" s="539"/>
      <c r="P108" s="542"/>
      <c r="Q108" s="543"/>
      <c r="R108" s="544"/>
      <c r="S108" s="544"/>
      <c r="T108" s="544"/>
      <c r="U108" s="544"/>
      <c r="V108" s="545"/>
      <c r="W108" s="546"/>
      <c r="X108" s="547"/>
      <c r="Y108" s="547"/>
      <c r="Z108" s="547"/>
      <c r="AA108" s="547"/>
      <c r="AB108" s="547"/>
      <c r="AC108" s="547"/>
      <c r="AD108" s="547"/>
      <c r="AE108" s="547"/>
      <c r="AF108" s="547"/>
      <c r="AG108" s="547"/>
      <c r="AH108" s="547"/>
      <c r="AI108" s="547"/>
      <c r="AJ108" s="548"/>
      <c r="AK108" s="534"/>
    </row>
    <row r="109" ht="15.75" customHeight="1" hidden="1" spans="1:37" s="519" customFormat="1" x14ac:dyDescent="0.25">
      <c r="A109" s="549"/>
      <c r="B109" s="550"/>
      <c r="C109" s="550"/>
      <c r="D109" s="551"/>
      <c r="E109" s="523"/>
      <c r="F109" s="524"/>
      <c r="G109" s="524"/>
      <c r="H109" s="524"/>
      <c r="I109" s="524"/>
      <c r="J109" s="525"/>
      <c r="K109" s="541"/>
      <c r="L109" s="539"/>
      <c r="M109" s="539"/>
      <c r="N109" s="539"/>
      <c r="O109" s="539"/>
      <c r="P109" s="542"/>
      <c r="Q109" s="543"/>
      <c r="R109" s="544"/>
      <c r="S109" s="544"/>
      <c r="T109" s="544"/>
      <c r="U109" s="544"/>
      <c r="V109" s="545"/>
      <c r="W109" s="531"/>
      <c r="X109" s="532"/>
      <c r="Y109" s="532"/>
      <c r="Z109" s="532"/>
      <c r="AA109" s="532"/>
      <c r="AB109" s="532"/>
      <c r="AC109" s="532"/>
      <c r="AD109" s="532"/>
      <c r="AE109" s="532"/>
      <c r="AF109" s="532"/>
      <c r="AG109" s="532"/>
      <c r="AH109" s="532"/>
      <c r="AI109" s="532"/>
      <c r="AJ109" s="533"/>
      <c r="AK109" s="534"/>
    </row>
    <row r="110" ht="15.75" customHeight="1" hidden="1" spans="1:37" s="519" customFormat="1" x14ac:dyDescent="0.25">
      <c r="A110" s="549"/>
      <c r="B110" s="550"/>
      <c r="C110" s="550"/>
      <c r="D110" s="551"/>
      <c r="E110" s="523"/>
      <c r="F110" s="524"/>
      <c r="G110" s="524"/>
      <c r="H110" s="524"/>
      <c r="I110" s="524"/>
      <c r="J110" s="525"/>
      <c r="K110" s="541"/>
      <c r="L110" s="539"/>
      <c r="M110" s="539"/>
      <c r="N110" s="539"/>
      <c r="O110" s="539"/>
      <c r="P110" s="542"/>
      <c r="Q110" s="543"/>
      <c r="R110" s="544"/>
      <c r="S110" s="544"/>
      <c r="T110" s="544"/>
      <c r="U110" s="544"/>
      <c r="V110" s="545"/>
      <c r="W110" s="546"/>
      <c r="X110" s="547"/>
      <c r="Y110" s="547"/>
      <c r="Z110" s="547"/>
      <c r="AA110" s="547"/>
      <c r="AB110" s="547"/>
      <c r="AC110" s="547"/>
      <c r="AD110" s="547"/>
      <c r="AE110" s="547"/>
      <c r="AF110" s="547"/>
      <c r="AG110" s="547"/>
      <c r="AH110" s="547"/>
      <c r="AI110" s="547"/>
      <c r="AJ110" s="548"/>
      <c r="AK110" s="534"/>
    </row>
    <row r="111" ht="15.75" customHeight="1" hidden="1" spans="1:36" s="519" customFormat="1" x14ac:dyDescent="0.25">
      <c r="A111" s="549"/>
      <c r="B111" s="550"/>
      <c r="C111" s="550"/>
      <c r="D111" s="551"/>
      <c r="E111" s="523"/>
      <c r="F111" s="524"/>
      <c r="G111" s="524"/>
      <c r="H111" s="524"/>
      <c r="I111" s="524"/>
      <c r="J111" s="525"/>
      <c r="K111" s="541"/>
      <c r="L111" s="539"/>
      <c r="M111" s="539"/>
      <c r="N111" s="539"/>
      <c r="O111" s="539"/>
      <c r="P111" s="542"/>
      <c r="Q111" s="543"/>
      <c r="R111" s="544"/>
      <c r="S111" s="544"/>
      <c r="T111" s="544"/>
      <c r="U111" s="544"/>
      <c r="V111" s="545"/>
      <c r="W111" s="546"/>
      <c r="X111" s="547"/>
      <c r="Y111" s="547"/>
      <c r="Z111" s="547"/>
      <c r="AA111" s="547"/>
      <c r="AB111" s="547"/>
      <c r="AC111" s="547"/>
      <c r="AD111" s="547"/>
      <c r="AE111" s="547"/>
      <c r="AF111" s="547"/>
      <c r="AG111" s="547"/>
      <c r="AH111" s="547"/>
      <c r="AI111" s="547"/>
      <c r="AJ111" s="548"/>
    </row>
    <row r="112" ht="15.75" customHeight="1" spans="1:37" s="519" customFormat="1" x14ac:dyDescent="0.25">
      <c r="A112" s="549"/>
      <c r="B112" s="550"/>
      <c r="C112" s="550"/>
      <c r="D112" s="551"/>
      <c r="E112" s="523"/>
      <c r="F112" s="524"/>
      <c r="G112" s="524"/>
      <c r="H112" s="524"/>
      <c r="I112" s="524"/>
      <c r="J112" s="525"/>
      <c r="K112" s="539"/>
      <c r="L112" s="539"/>
      <c r="M112" s="539"/>
      <c r="N112" s="539"/>
      <c r="O112" s="539"/>
      <c r="P112" s="542"/>
      <c r="Q112" s="543"/>
      <c r="R112" s="544"/>
      <c r="S112" s="544"/>
      <c r="T112" s="544"/>
      <c r="U112" s="544"/>
      <c r="V112" s="545"/>
      <c r="W112" s="531"/>
      <c r="X112" s="532"/>
      <c r="Y112" s="532"/>
      <c r="Z112" s="532"/>
      <c r="AA112" s="532"/>
      <c r="AB112" s="532"/>
      <c r="AC112" s="532"/>
      <c r="AD112" s="532"/>
      <c r="AE112" s="532"/>
      <c r="AF112" s="532"/>
      <c r="AG112" s="532"/>
      <c r="AH112" s="532"/>
      <c r="AI112" s="532"/>
      <c r="AJ112" s="533"/>
      <c r="AK112" s="534"/>
    </row>
    <row r="113" ht="15.75" customHeight="1" spans="1:37" s="40" customFormat="1" x14ac:dyDescent="0.25">
      <c r="A113" s="552"/>
      <c r="B113" s="553"/>
      <c r="C113" s="553"/>
      <c r="D113" s="553"/>
      <c r="E113" s="553"/>
      <c r="F113" s="553"/>
      <c r="G113" s="553"/>
      <c r="H113" s="553"/>
      <c r="I113" s="553"/>
      <c r="J113" s="553"/>
      <c r="K113" s="553"/>
      <c r="L113" s="553"/>
      <c r="M113" s="553"/>
      <c r="N113" s="553"/>
      <c r="O113" s="553"/>
      <c r="P113" s="554"/>
      <c r="Q113" s="555">
        <f>SUM(Q95:V111)</f>
        <v>23.482638888890506</v>
      </c>
      <c r="R113" s="556"/>
      <c r="S113" s="556"/>
      <c r="T113" s="556"/>
      <c r="U113" s="556"/>
      <c r="V113" s="557"/>
      <c r="W113" s="558"/>
      <c r="X113" s="559"/>
      <c r="Y113" s="559"/>
      <c r="Z113" s="559"/>
      <c r="AA113" s="559"/>
      <c r="AB113" s="559"/>
      <c r="AC113" s="559"/>
      <c r="AD113" s="559"/>
      <c r="AE113" s="559"/>
      <c r="AF113" s="559"/>
      <c r="AG113" s="559"/>
      <c r="AH113" s="559"/>
      <c r="AI113" s="559"/>
      <c r="AJ113" s="560"/>
      <c r="AK113" s="561"/>
    </row>
    <row r="114" ht="15.75" customHeight="1" spans="1:37" s="519" customFormat="1" x14ac:dyDescent="0.25">
      <c r="A114" s="520" t="s">
        <v>140</v>
      </c>
      <c r="B114" s="521"/>
      <c r="C114" s="521"/>
      <c r="D114" s="522"/>
      <c r="E114" s="523">
        <v>0.6145833333321207</v>
      </c>
      <c r="F114" s="524"/>
      <c r="G114" s="524"/>
      <c r="H114" s="524"/>
      <c r="I114" s="524"/>
      <c r="J114" s="525"/>
      <c r="K114" s="526"/>
      <c r="L114" s="524"/>
      <c r="M114" s="524"/>
      <c r="N114" s="524"/>
      <c r="O114" s="524"/>
      <c r="P114" s="527"/>
      <c r="Q114" s="528">
        <f t="shared" ref="Q114:Q124" si="14">IF(AND(NOT(ISBLANK(K114)),NOT(ISBLANK(E114))), IF(K114&gt;E114,K114-E114,24-E114+K114), "")</f>
      </c>
      <c r="R114" s="529"/>
      <c r="S114" s="529"/>
      <c r="T114" s="529"/>
      <c r="U114" s="529"/>
      <c r="V114" s="530"/>
      <c r="W114" s="531" t="s">
        <v>134</v>
      </c>
      <c r="X114" s="532"/>
      <c r="Y114" s="532"/>
      <c r="Z114" s="532"/>
      <c r="AA114" s="532"/>
      <c r="AB114" s="532"/>
      <c r="AC114" s="532"/>
      <c r="AD114" s="532"/>
      <c r="AE114" s="532"/>
      <c r="AF114" s="532"/>
      <c r="AG114" s="532"/>
      <c r="AH114" s="532"/>
      <c r="AI114" s="532"/>
      <c r="AJ114" s="533"/>
      <c r="AK114" s="534"/>
    </row>
    <row r="115" ht="15.75" customHeight="1" spans="1:37" s="519" customFormat="1" x14ac:dyDescent="0.25">
      <c r="A115" s="535" t="s">
        <v>34</v>
      </c>
      <c r="B115" s="536"/>
      <c r="C115" s="536"/>
      <c r="D115" s="537"/>
      <c r="E115" s="538">
        <f>E114</f>
        <v>0.6145833333321207</v>
      </c>
      <c r="F115" s="539"/>
      <c r="G115" s="539"/>
      <c r="H115" s="539"/>
      <c r="I115" s="539"/>
      <c r="J115" s="540"/>
      <c r="K115" s="541">
        <v>0.7291666666678793</v>
      </c>
      <c r="L115" s="539"/>
      <c r="M115" s="539"/>
      <c r="N115" s="539"/>
      <c r="O115" s="539"/>
      <c r="P115" s="542"/>
      <c r="Q115" s="543">
        <f t="shared" si="14"/>
        <v>0.11458333333212067</v>
      </c>
      <c r="R115" s="544"/>
      <c r="S115" s="544"/>
      <c r="T115" s="544"/>
      <c r="U115" s="544"/>
      <c r="V115" s="545"/>
      <c r="W115" s="546" t="s">
        <v>135</v>
      </c>
      <c r="X115" s="547"/>
      <c r="Y115" s="547"/>
      <c r="Z115" s="547"/>
      <c r="AA115" s="547"/>
      <c r="AB115" s="547"/>
      <c r="AC115" s="547"/>
      <c r="AD115" s="547"/>
      <c r="AE115" s="547"/>
      <c r="AF115" s="547"/>
      <c r="AG115" s="547"/>
      <c r="AH115" s="547"/>
      <c r="AI115" s="547"/>
      <c r="AJ115" s="548"/>
      <c r="AK115" s="534"/>
    </row>
    <row r="116" ht="15.75" customHeight="1" spans="1:37" s="519" customFormat="1" x14ac:dyDescent="0.25">
      <c r="A116" s="549"/>
      <c r="B116" s="550"/>
      <c r="C116" s="550"/>
      <c r="D116" s="551"/>
      <c r="E116" s="523">
        <f>K115</f>
        <v>0.7291666666678793</v>
      </c>
      <c r="F116" s="524"/>
      <c r="G116" s="524"/>
      <c r="H116" s="524"/>
      <c r="I116" s="524"/>
      <c r="J116" s="525"/>
      <c r="K116" s="541">
        <v>0.7916666666678793</v>
      </c>
      <c r="L116" s="539"/>
      <c r="M116" s="539"/>
      <c r="N116" s="539"/>
      <c r="O116" s="539"/>
      <c r="P116" s="542"/>
      <c r="Q116" s="543">
        <f t="shared" si="14"/>
        <v>0.0625</v>
      </c>
      <c r="R116" s="544"/>
      <c r="S116" s="544"/>
      <c r="T116" s="544"/>
      <c r="U116" s="544"/>
      <c r="V116" s="545"/>
      <c r="W116" s="546" t="s">
        <v>132</v>
      </c>
      <c r="X116" s="547"/>
      <c r="Y116" s="547"/>
      <c r="Z116" s="547"/>
      <c r="AA116" s="547"/>
      <c r="AB116" s="547"/>
      <c r="AC116" s="547"/>
      <c r="AD116" s="547"/>
      <c r="AE116" s="547"/>
      <c r="AF116" s="547"/>
      <c r="AG116" s="547"/>
      <c r="AH116" s="547"/>
      <c r="AI116" s="547"/>
      <c r="AJ116" s="548"/>
      <c r="AK116" s="534"/>
    </row>
    <row r="117" ht="15.75" customHeight="1" spans="1:37" s="519" customFormat="1" x14ac:dyDescent="0.25">
      <c r="A117" s="549"/>
      <c r="B117" s="550"/>
      <c r="C117" s="550"/>
      <c r="D117" s="551"/>
      <c r="E117" s="523">
        <f>K116</f>
        <v>0.7916666666678793</v>
      </c>
      <c r="F117" s="524"/>
      <c r="G117" s="524"/>
      <c r="H117" s="524"/>
      <c r="I117" s="524"/>
      <c r="J117" s="525"/>
      <c r="K117" s="541">
        <v>0</v>
      </c>
      <c r="L117" s="539"/>
      <c r="M117" s="539"/>
      <c r="N117" s="539"/>
      <c r="O117" s="539"/>
      <c r="P117" s="542"/>
      <c r="Q117" s="543">
        <f t="shared" si="14"/>
        <v>23.20833333333212</v>
      </c>
      <c r="R117" s="544"/>
      <c r="S117" s="544"/>
      <c r="T117" s="544"/>
      <c r="U117" s="544"/>
      <c r="V117" s="545"/>
      <c r="W117" s="546" t="s">
        <v>135</v>
      </c>
      <c r="X117" s="547"/>
      <c r="Y117" s="547"/>
      <c r="Z117" s="547"/>
      <c r="AA117" s="547"/>
      <c r="AB117" s="547"/>
      <c r="AC117" s="547"/>
      <c r="AD117" s="547"/>
      <c r="AE117" s="547"/>
      <c r="AF117" s="547"/>
      <c r="AG117" s="547"/>
      <c r="AH117" s="547"/>
      <c r="AI117" s="547"/>
      <c r="AJ117" s="548"/>
      <c r="AK117" s="534"/>
    </row>
    <row r="118" ht="15.75" customHeight="1" spans="1:37" s="519" customFormat="1" x14ac:dyDescent="0.25">
      <c r="A118" s="549" t="s">
        <v>35</v>
      </c>
      <c r="B118" s="550"/>
      <c r="C118" s="550"/>
      <c r="D118" s="551"/>
      <c r="E118" s="523">
        <v>0</v>
      </c>
      <c r="F118" s="524"/>
      <c r="G118" s="524"/>
      <c r="H118" s="524"/>
      <c r="I118" s="524"/>
      <c r="J118" s="525"/>
      <c r="K118" s="541">
        <v>0.041666666667879326</v>
      </c>
      <c r="L118" s="539"/>
      <c r="M118" s="539"/>
      <c r="N118" s="539"/>
      <c r="O118" s="539"/>
      <c r="P118" s="542"/>
      <c r="Q118" s="543">
        <f t="shared" si="14"/>
        <v>0.041666666667879326</v>
      </c>
      <c r="R118" s="544"/>
      <c r="S118" s="544"/>
      <c r="T118" s="544"/>
      <c r="U118" s="544"/>
      <c r="V118" s="545"/>
      <c r="W118" s="546" t="s">
        <v>132</v>
      </c>
      <c r="X118" s="547"/>
      <c r="Y118" s="547"/>
      <c r="Z118" s="547"/>
      <c r="AA118" s="547"/>
      <c r="AB118" s="547"/>
      <c r="AC118" s="547"/>
      <c r="AD118" s="547"/>
      <c r="AE118" s="547"/>
      <c r="AF118" s="547"/>
      <c r="AG118" s="547"/>
      <c r="AH118" s="547"/>
      <c r="AI118" s="547"/>
      <c r="AJ118" s="548"/>
      <c r="AK118" s="534"/>
    </row>
    <row r="119" ht="15.75" customHeight="1" spans="1:37" s="519" customFormat="1" x14ac:dyDescent="0.25">
      <c r="A119" s="549"/>
      <c r="B119" s="550"/>
      <c r="C119" s="550"/>
      <c r="D119" s="551"/>
      <c r="E119" s="523">
        <f>K118</f>
        <v>0.041666666667879326</v>
      </c>
      <c r="F119" s="524"/>
      <c r="G119" s="524"/>
      <c r="H119" s="524"/>
      <c r="I119" s="524"/>
      <c r="J119" s="525"/>
      <c r="K119" s="541">
        <v>0.10069444444525288</v>
      </c>
      <c r="L119" s="539"/>
      <c r="M119" s="539"/>
      <c r="N119" s="539"/>
      <c r="O119" s="539"/>
      <c r="P119" s="542"/>
      <c r="Q119" s="543">
        <f t="shared" si="14"/>
        <v>0.05902777777737356</v>
      </c>
      <c r="R119" s="544"/>
      <c r="S119" s="544"/>
      <c r="T119" s="544"/>
      <c r="U119" s="544"/>
      <c r="V119" s="545"/>
      <c r="W119" s="531" t="s">
        <v>135</v>
      </c>
      <c r="X119" s="532"/>
      <c r="Y119" s="532"/>
      <c r="Z119" s="532"/>
      <c r="AA119" s="532"/>
      <c r="AB119" s="532"/>
      <c r="AC119" s="532"/>
      <c r="AD119" s="532"/>
      <c r="AE119" s="532"/>
      <c r="AF119" s="532"/>
      <c r="AG119" s="532"/>
      <c r="AH119" s="532"/>
      <c r="AI119" s="532"/>
      <c r="AJ119" s="533"/>
      <c r="AK119" s="534"/>
    </row>
    <row r="120" ht="15.75" customHeight="1" spans="1:37" s="519" customFormat="1" x14ac:dyDescent="0.25">
      <c r="A120" s="535"/>
      <c r="B120" s="536"/>
      <c r="C120" s="536"/>
      <c r="D120" s="537"/>
      <c r="E120" s="523"/>
      <c r="F120" s="524"/>
      <c r="G120" s="524"/>
      <c r="H120" s="524"/>
      <c r="I120" s="524"/>
      <c r="J120" s="525"/>
      <c r="K120" s="541">
        <f>K119</f>
        <v>0.10069444444525288</v>
      </c>
      <c r="L120" s="539"/>
      <c r="M120" s="539"/>
      <c r="N120" s="539"/>
      <c r="O120" s="539"/>
      <c r="P120" s="542"/>
      <c r="Q120" s="543">
        <f t="shared" si="14"/>
      </c>
      <c r="R120" s="544"/>
      <c r="S120" s="544"/>
      <c r="T120" s="544"/>
      <c r="U120" s="544"/>
      <c r="V120" s="545"/>
      <c r="W120" s="531" t="s">
        <v>136</v>
      </c>
      <c r="X120" s="532"/>
      <c r="Y120" s="532"/>
      <c r="Z120" s="532"/>
      <c r="AA120" s="532"/>
      <c r="AB120" s="532"/>
      <c r="AC120" s="532"/>
      <c r="AD120" s="532"/>
      <c r="AE120" s="532"/>
      <c r="AF120" s="532"/>
      <c r="AG120" s="532"/>
      <c r="AH120" s="532"/>
      <c r="AI120" s="532"/>
      <c r="AJ120" s="533"/>
      <c r="AK120" s="534"/>
    </row>
    <row r="121" ht="15.75" customHeight="1" hidden="1" spans="1:37" s="519" customFormat="1" x14ac:dyDescent="0.25">
      <c r="A121" s="549"/>
      <c r="B121" s="550"/>
      <c r="C121" s="550"/>
      <c r="D121" s="551"/>
      <c r="E121" s="523"/>
      <c r="F121" s="524"/>
      <c r="G121" s="524"/>
      <c r="H121" s="524"/>
      <c r="I121" s="524"/>
      <c r="J121" s="525"/>
      <c r="K121" s="541"/>
      <c r="L121" s="539"/>
      <c r="M121" s="539"/>
      <c r="N121" s="539"/>
      <c r="O121" s="539"/>
      <c r="P121" s="542"/>
      <c r="Q121" s="543">
        <f t="shared" si="14"/>
      </c>
      <c r="R121" s="544"/>
      <c r="S121" s="544"/>
      <c r="T121" s="544"/>
      <c r="U121" s="544"/>
      <c r="V121" s="545"/>
      <c r="W121" s="546"/>
      <c r="X121" s="547"/>
      <c r="Y121" s="547"/>
      <c r="Z121" s="547"/>
      <c r="AA121" s="547"/>
      <c r="AB121" s="547"/>
      <c r="AC121" s="547"/>
      <c r="AD121" s="547"/>
      <c r="AE121" s="547"/>
      <c r="AF121" s="547"/>
      <c r="AG121" s="547"/>
      <c r="AH121" s="547"/>
      <c r="AI121" s="547"/>
      <c r="AJ121" s="548"/>
      <c r="AK121" s="534"/>
    </row>
    <row r="122" ht="15.75" customHeight="1" hidden="1" spans="1:37" s="519" customFormat="1" x14ac:dyDescent="0.25">
      <c r="A122" s="549"/>
      <c r="B122" s="550"/>
      <c r="C122" s="550"/>
      <c r="D122" s="551"/>
      <c r="E122" s="523"/>
      <c r="F122" s="524"/>
      <c r="G122" s="524"/>
      <c r="H122" s="524"/>
      <c r="I122" s="524"/>
      <c r="J122" s="525"/>
      <c r="K122" s="541"/>
      <c r="L122" s="539"/>
      <c r="M122" s="539"/>
      <c r="N122" s="539"/>
      <c r="O122" s="539"/>
      <c r="P122" s="542"/>
      <c r="Q122" s="543">
        <f t="shared" si="14"/>
      </c>
      <c r="R122" s="544"/>
      <c r="S122" s="544"/>
      <c r="T122" s="544"/>
      <c r="U122" s="544"/>
      <c r="V122" s="545"/>
      <c r="W122" s="531"/>
      <c r="X122" s="532"/>
      <c r="Y122" s="532"/>
      <c r="Z122" s="532"/>
      <c r="AA122" s="532"/>
      <c r="AB122" s="532"/>
      <c r="AC122" s="532"/>
      <c r="AD122" s="532"/>
      <c r="AE122" s="532"/>
      <c r="AF122" s="532"/>
      <c r="AG122" s="532"/>
      <c r="AH122" s="532"/>
      <c r="AI122" s="532"/>
      <c r="AJ122" s="533"/>
      <c r="AK122" s="534"/>
    </row>
    <row r="123" ht="15.75" customHeight="1" hidden="1" spans="1:37" s="519" customFormat="1" x14ac:dyDescent="0.25">
      <c r="A123" s="549"/>
      <c r="B123" s="550"/>
      <c r="C123" s="550"/>
      <c r="D123" s="551"/>
      <c r="E123" s="523"/>
      <c r="F123" s="524"/>
      <c r="G123" s="524"/>
      <c r="H123" s="524"/>
      <c r="I123" s="524"/>
      <c r="J123" s="525"/>
      <c r="K123" s="541"/>
      <c r="L123" s="539"/>
      <c r="M123" s="539"/>
      <c r="N123" s="539"/>
      <c r="O123" s="539"/>
      <c r="P123" s="542"/>
      <c r="Q123" s="543">
        <f t="shared" si="14"/>
      </c>
      <c r="R123" s="544"/>
      <c r="S123" s="544"/>
      <c r="T123" s="544"/>
      <c r="U123" s="544"/>
      <c r="V123" s="545"/>
      <c r="W123" s="546"/>
      <c r="X123" s="547"/>
      <c r="Y123" s="547"/>
      <c r="Z123" s="547"/>
      <c r="AA123" s="547"/>
      <c r="AB123" s="547"/>
      <c r="AC123" s="547"/>
      <c r="AD123" s="547"/>
      <c r="AE123" s="547"/>
      <c r="AF123" s="547"/>
      <c r="AG123" s="547"/>
      <c r="AH123" s="547"/>
      <c r="AI123" s="547"/>
      <c r="AJ123" s="548"/>
      <c r="AK123" s="534"/>
    </row>
    <row r="124" ht="15.75" customHeight="1" hidden="1" spans="1:37" s="519" customFormat="1" x14ac:dyDescent="0.25">
      <c r="A124" s="549"/>
      <c r="B124" s="550"/>
      <c r="C124" s="550"/>
      <c r="D124" s="551"/>
      <c r="E124" s="523"/>
      <c r="F124" s="524"/>
      <c r="G124" s="524"/>
      <c r="H124" s="524"/>
      <c r="I124" s="524"/>
      <c r="J124" s="525"/>
      <c r="K124" s="541"/>
      <c r="L124" s="539"/>
      <c r="M124" s="539"/>
      <c r="N124" s="539"/>
      <c r="O124" s="539"/>
      <c r="P124" s="542"/>
      <c r="Q124" s="543">
        <f t="shared" si="14"/>
      </c>
      <c r="R124" s="544"/>
      <c r="S124" s="544"/>
      <c r="T124" s="544"/>
      <c r="U124" s="544"/>
      <c r="V124" s="545"/>
      <c r="W124" s="546"/>
      <c r="X124" s="547"/>
      <c r="Y124" s="547"/>
      <c r="Z124" s="547"/>
      <c r="AA124" s="547"/>
      <c r="AB124" s="547"/>
      <c r="AC124" s="547"/>
      <c r="AD124" s="547"/>
      <c r="AE124" s="547"/>
      <c r="AF124" s="547"/>
      <c r="AG124" s="547"/>
      <c r="AH124" s="547"/>
      <c r="AI124" s="547"/>
      <c r="AJ124" s="548"/>
      <c r="AK124" s="534"/>
    </row>
    <row r="125" ht="15.75" customHeight="1" hidden="1" spans="1:37" s="519" customFormat="1" x14ac:dyDescent="0.25">
      <c r="A125" s="549"/>
      <c r="B125" s="550"/>
      <c r="C125" s="550"/>
      <c r="D125" s="551"/>
      <c r="E125" s="523"/>
      <c r="F125" s="524"/>
      <c r="G125" s="524"/>
      <c r="H125" s="524"/>
      <c r="I125" s="524"/>
      <c r="J125" s="525"/>
      <c r="K125" s="541"/>
      <c r="L125" s="539"/>
      <c r="M125" s="539"/>
      <c r="N125" s="539"/>
      <c r="O125" s="539"/>
      <c r="P125" s="542"/>
      <c r="Q125" s="543"/>
      <c r="R125" s="544"/>
      <c r="S125" s="544"/>
      <c r="T125" s="544"/>
      <c r="U125" s="544"/>
      <c r="V125" s="545"/>
      <c r="W125" s="531"/>
      <c r="X125" s="532"/>
      <c r="Y125" s="532"/>
      <c r="Z125" s="532"/>
      <c r="AA125" s="532"/>
      <c r="AB125" s="532"/>
      <c r="AC125" s="532"/>
      <c r="AD125" s="532"/>
      <c r="AE125" s="532"/>
      <c r="AF125" s="532"/>
      <c r="AG125" s="532"/>
      <c r="AH125" s="532"/>
      <c r="AI125" s="532"/>
      <c r="AJ125" s="533"/>
      <c r="AK125" s="534"/>
    </row>
    <row r="126" ht="15.75" customHeight="1" hidden="1" spans="1:37" s="519" customFormat="1" x14ac:dyDescent="0.25">
      <c r="A126" s="549"/>
      <c r="B126" s="550"/>
      <c r="C126" s="550"/>
      <c r="D126" s="551"/>
      <c r="E126" s="523"/>
      <c r="F126" s="524"/>
      <c r="G126" s="524"/>
      <c r="H126" s="524"/>
      <c r="I126" s="524"/>
      <c r="J126" s="525"/>
      <c r="K126" s="541"/>
      <c r="L126" s="539"/>
      <c r="M126" s="539"/>
      <c r="N126" s="539"/>
      <c r="O126" s="539"/>
      <c r="P126" s="542"/>
      <c r="Q126" s="543"/>
      <c r="R126" s="544"/>
      <c r="S126" s="544"/>
      <c r="T126" s="544"/>
      <c r="U126" s="544"/>
      <c r="V126" s="545"/>
      <c r="W126" s="531"/>
      <c r="X126" s="532"/>
      <c r="Y126" s="532"/>
      <c r="Z126" s="532"/>
      <c r="AA126" s="532"/>
      <c r="AB126" s="532"/>
      <c r="AC126" s="532"/>
      <c r="AD126" s="532"/>
      <c r="AE126" s="532"/>
      <c r="AF126" s="532"/>
      <c r="AG126" s="532"/>
      <c r="AH126" s="532"/>
      <c r="AI126" s="532"/>
      <c r="AJ126" s="533"/>
      <c r="AK126" s="534"/>
    </row>
    <row r="127" ht="15.75" customHeight="1" hidden="1" spans="1:37" s="519" customFormat="1" x14ac:dyDescent="0.25">
      <c r="A127" s="549"/>
      <c r="B127" s="550"/>
      <c r="C127" s="550"/>
      <c r="D127" s="551"/>
      <c r="E127" s="523"/>
      <c r="F127" s="524"/>
      <c r="G127" s="524"/>
      <c r="H127" s="524"/>
      <c r="I127" s="524"/>
      <c r="J127" s="525"/>
      <c r="K127" s="541"/>
      <c r="L127" s="539"/>
      <c r="M127" s="539"/>
      <c r="N127" s="539"/>
      <c r="O127" s="539"/>
      <c r="P127" s="542"/>
      <c r="Q127" s="543"/>
      <c r="R127" s="544"/>
      <c r="S127" s="544"/>
      <c r="T127" s="544"/>
      <c r="U127" s="544"/>
      <c r="V127" s="545"/>
      <c r="W127" s="546"/>
      <c r="X127" s="547"/>
      <c r="Y127" s="547"/>
      <c r="Z127" s="547"/>
      <c r="AA127" s="547"/>
      <c r="AB127" s="547"/>
      <c r="AC127" s="547"/>
      <c r="AD127" s="547"/>
      <c r="AE127" s="547"/>
      <c r="AF127" s="547"/>
      <c r="AG127" s="547"/>
      <c r="AH127" s="547"/>
      <c r="AI127" s="547"/>
      <c r="AJ127" s="548"/>
      <c r="AK127" s="534"/>
    </row>
    <row r="128" ht="15.75" customHeight="1" hidden="1" spans="1:37" s="519" customFormat="1" x14ac:dyDescent="0.25">
      <c r="A128" s="549"/>
      <c r="B128" s="550"/>
      <c r="C128" s="550"/>
      <c r="D128" s="551"/>
      <c r="E128" s="523"/>
      <c r="F128" s="524"/>
      <c r="G128" s="524"/>
      <c r="H128" s="524"/>
      <c r="I128" s="524"/>
      <c r="J128" s="525"/>
      <c r="K128" s="541"/>
      <c r="L128" s="539"/>
      <c r="M128" s="539"/>
      <c r="N128" s="539"/>
      <c r="O128" s="539"/>
      <c r="P128" s="542"/>
      <c r="Q128" s="543"/>
      <c r="R128" s="544"/>
      <c r="S128" s="544"/>
      <c r="T128" s="544"/>
      <c r="U128" s="544"/>
      <c r="V128" s="545"/>
      <c r="W128" s="531"/>
      <c r="X128" s="532"/>
      <c r="Y128" s="532"/>
      <c r="Z128" s="532"/>
      <c r="AA128" s="532"/>
      <c r="AB128" s="532"/>
      <c r="AC128" s="532"/>
      <c r="AD128" s="532"/>
      <c r="AE128" s="532"/>
      <c r="AF128" s="532"/>
      <c r="AG128" s="532"/>
      <c r="AH128" s="532"/>
      <c r="AI128" s="532"/>
      <c r="AJ128" s="533"/>
      <c r="AK128" s="534"/>
    </row>
    <row r="129" ht="15.75" customHeight="1" hidden="1" spans="1:37" s="519" customFormat="1" x14ac:dyDescent="0.25">
      <c r="A129" s="549"/>
      <c r="B129" s="550"/>
      <c r="C129" s="550"/>
      <c r="D129" s="551"/>
      <c r="E129" s="523"/>
      <c r="F129" s="524"/>
      <c r="G129" s="524"/>
      <c r="H129" s="524"/>
      <c r="I129" s="524"/>
      <c r="J129" s="525"/>
      <c r="K129" s="541"/>
      <c r="L129" s="539"/>
      <c r="M129" s="539"/>
      <c r="N129" s="539"/>
      <c r="O129" s="539"/>
      <c r="P129" s="542"/>
      <c r="Q129" s="543"/>
      <c r="R129" s="544"/>
      <c r="S129" s="544"/>
      <c r="T129" s="544"/>
      <c r="U129" s="544"/>
      <c r="V129" s="545"/>
      <c r="W129" s="546"/>
      <c r="X129" s="547"/>
      <c r="Y129" s="547"/>
      <c r="Z129" s="547"/>
      <c r="AA129" s="547"/>
      <c r="AB129" s="547"/>
      <c r="AC129" s="547"/>
      <c r="AD129" s="547"/>
      <c r="AE129" s="547"/>
      <c r="AF129" s="547"/>
      <c r="AG129" s="547"/>
      <c r="AH129" s="547"/>
      <c r="AI129" s="547"/>
      <c r="AJ129" s="548"/>
      <c r="AK129" s="534"/>
    </row>
    <row r="130" ht="15.75" customHeight="1" hidden="1" spans="1:36" s="519" customFormat="1" x14ac:dyDescent="0.25">
      <c r="A130" s="549"/>
      <c r="B130" s="550"/>
      <c r="C130" s="550"/>
      <c r="D130" s="551"/>
      <c r="E130" s="523"/>
      <c r="F130" s="524"/>
      <c r="G130" s="524"/>
      <c r="H130" s="524"/>
      <c r="I130" s="524"/>
      <c r="J130" s="525"/>
      <c r="K130" s="541"/>
      <c r="L130" s="539"/>
      <c r="M130" s="539"/>
      <c r="N130" s="539"/>
      <c r="O130" s="539"/>
      <c r="P130" s="542"/>
      <c r="Q130" s="543"/>
      <c r="R130" s="544"/>
      <c r="S130" s="544"/>
      <c r="T130" s="544"/>
      <c r="U130" s="544"/>
      <c r="V130" s="545"/>
      <c r="W130" s="546"/>
      <c r="X130" s="547"/>
      <c r="Y130" s="547"/>
      <c r="Z130" s="547"/>
      <c r="AA130" s="547"/>
      <c r="AB130" s="547"/>
      <c r="AC130" s="547"/>
      <c r="AD130" s="547"/>
      <c r="AE130" s="547"/>
      <c r="AF130" s="547"/>
      <c r="AG130" s="547"/>
      <c r="AH130" s="547"/>
      <c r="AI130" s="547"/>
      <c r="AJ130" s="548"/>
    </row>
    <row r="131" ht="15.75" customHeight="1" spans="1:37" s="519" customFormat="1" x14ac:dyDescent="0.25">
      <c r="A131" s="549"/>
      <c r="B131" s="550"/>
      <c r="C131" s="550"/>
      <c r="D131" s="551"/>
      <c r="E131" s="523"/>
      <c r="F131" s="524"/>
      <c r="G131" s="524"/>
      <c r="H131" s="524"/>
      <c r="I131" s="524"/>
      <c r="J131" s="525"/>
      <c r="K131" s="539"/>
      <c r="L131" s="539"/>
      <c r="M131" s="539"/>
      <c r="N131" s="539"/>
      <c r="O131" s="539"/>
      <c r="P131" s="542"/>
      <c r="Q131" s="543"/>
      <c r="R131" s="544"/>
      <c r="S131" s="544"/>
      <c r="T131" s="544"/>
      <c r="U131" s="544"/>
      <c r="V131" s="545"/>
      <c r="W131" s="531"/>
      <c r="X131" s="532"/>
      <c r="Y131" s="532"/>
      <c r="Z131" s="532"/>
      <c r="AA131" s="532"/>
      <c r="AB131" s="532"/>
      <c r="AC131" s="532"/>
      <c r="AD131" s="532"/>
      <c r="AE131" s="532"/>
      <c r="AF131" s="532"/>
      <c r="AG131" s="532"/>
      <c r="AH131" s="532"/>
      <c r="AI131" s="532"/>
      <c r="AJ131" s="533"/>
      <c r="AK131" s="534"/>
    </row>
    <row r="132" ht="15.75" customHeight="1" spans="1:37" s="40" customFormat="1" x14ac:dyDescent="0.25">
      <c r="A132" s="552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53"/>
      <c r="P132" s="554"/>
      <c r="Q132" s="555">
        <f>SUM(Q114:V130)</f>
        <v>23.486111111109494</v>
      </c>
      <c r="R132" s="556"/>
      <c r="S132" s="556"/>
      <c r="T132" s="556"/>
      <c r="U132" s="556"/>
      <c r="V132" s="557"/>
      <c r="W132" s="558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60"/>
      <c r="AK132" s="561"/>
    </row>
    <row r="133" spans="1:2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</sheetData>
  <mergeCells count="60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D86"/>
    <mergeCell ref="E86:J86"/>
    <mergeCell ref="K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D103"/>
    <mergeCell ref="E103:J103"/>
    <mergeCell ref="K103:P103"/>
    <mergeCell ref="Q103:V103"/>
    <mergeCell ref="W103:AJ103"/>
    <mergeCell ref="A104:D104"/>
    <mergeCell ref="E104:J104"/>
    <mergeCell ref="K104:P104"/>
    <mergeCell ref="Q104:V104"/>
    <mergeCell ref="W104:AJ104"/>
    <mergeCell ref="A105:D105"/>
    <mergeCell ref="E105:J105"/>
    <mergeCell ref="K105:P105"/>
    <mergeCell ref="Q105:V105"/>
    <mergeCell ref="W105:AJ105"/>
    <mergeCell ref="A106:D106"/>
    <mergeCell ref="E106:J106"/>
    <mergeCell ref="K106:P106"/>
    <mergeCell ref="Q106:V106"/>
    <mergeCell ref="W106:AJ106"/>
    <mergeCell ref="A107:D107"/>
    <mergeCell ref="E107:J107"/>
    <mergeCell ref="K107:P107"/>
    <mergeCell ref="Q107:V107"/>
    <mergeCell ref="W107:AJ107"/>
    <mergeCell ref="A108:D108"/>
    <mergeCell ref="E108:J108"/>
    <mergeCell ref="K108:P108"/>
    <mergeCell ref="Q108:V108"/>
    <mergeCell ref="W108:AJ108"/>
    <mergeCell ref="A109:D109"/>
    <mergeCell ref="E109:J109"/>
    <mergeCell ref="K109:P109"/>
    <mergeCell ref="Q109:V109"/>
    <mergeCell ref="W109:AJ109"/>
    <mergeCell ref="A110:D110"/>
    <mergeCell ref="E110:J110"/>
    <mergeCell ref="K110:P110"/>
    <mergeCell ref="Q110:V110"/>
    <mergeCell ref="W110:AJ110"/>
    <mergeCell ref="A111:D111"/>
    <mergeCell ref="E111:J111"/>
    <mergeCell ref="K111:P111"/>
    <mergeCell ref="Q111:V111"/>
    <mergeCell ref="W111:AJ111"/>
    <mergeCell ref="A112:D112"/>
    <mergeCell ref="E112:J112"/>
    <mergeCell ref="K112:P112"/>
    <mergeCell ref="Q112:V112"/>
    <mergeCell ref="W112:AJ112"/>
    <mergeCell ref="A113:P113"/>
    <mergeCell ref="Q113:V113"/>
    <mergeCell ref="W113:AJ113"/>
    <mergeCell ref="A114:D114"/>
    <mergeCell ref="E114:J114"/>
    <mergeCell ref="K114:P114"/>
    <mergeCell ref="Q114:V114"/>
    <mergeCell ref="W114:AJ114"/>
    <mergeCell ref="A115:D115"/>
    <mergeCell ref="E115:J115"/>
    <mergeCell ref="K115:P115"/>
    <mergeCell ref="Q115:V115"/>
    <mergeCell ref="W115:AJ115"/>
    <mergeCell ref="A116:D116"/>
    <mergeCell ref="E116:J116"/>
    <mergeCell ref="K116:P116"/>
    <mergeCell ref="Q116:V116"/>
    <mergeCell ref="W116:AJ116"/>
    <mergeCell ref="A117:D117"/>
    <mergeCell ref="E117:J117"/>
    <mergeCell ref="K117:P117"/>
    <mergeCell ref="Q117:V117"/>
    <mergeCell ref="W117:AJ117"/>
    <mergeCell ref="A118:D118"/>
    <mergeCell ref="E118:J118"/>
    <mergeCell ref="K118:P118"/>
    <mergeCell ref="Q118:V118"/>
    <mergeCell ref="W118:AJ118"/>
    <mergeCell ref="A119:D119"/>
    <mergeCell ref="E119:J119"/>
    <mergeCell ref="K119:P119"/>
    <mergeCell ref="Q119:V119"/>
    <mergeCell ref="W119:AJ119"/>
    <mergeCell ref="A120:D120"/>
    <mergeCell ref="E120:J120"/>
    <mergeCell ref="K120:P120"/>
    <mergeCell ref="Q120:V120"/>
    <mergeCell ref="W120:AJ120"/>
    <mergeCell ref="A121:D121"/>
    <mergeCell ref="E121:J121"/>
    <mergeCell ref="K121:P121"/>
    <mergeCell ref="Q121:V121"/>
    <mergeCell ref="W121:AJ121"/>
    <mergeCell ref="A122:D122"/>
    <mergeCell ref="E122:J122"/>
    <mergeCell ref="K122:P122"/>
    <mergeCell ref="Q122:V122"/>
    <mergeCell ref="W122:AJ122"/>
    <mergeCell ref="A123:D123"/>
    <mergeCell ref="E123:J123"/>
    <mergeCell ref="K123:P123"/>
    <mergeCell ref="Q123:V123"/>
    <mergeCell ref="W123:AJ123"/>
    <mergeCell ref="A124:D124"/>
    <mergeCell ref="E124:J124"/>
    <mergeCell ref="K124:P124"/>
    <mergeCell ref="Q124:V124"/>
    <mergeCell ref="W124:AJ124"/>
    <mergeCell ref="A125:D125"/>
    <mergeCell ref="E125:J125"/>
    <mergeCell ref="K125:P125"/>
    <mergeCell ref="Q125:V125"/>
    <mergeCell ref="W125:AJ125"/>
    <mergeCell ref="A126:D126"/>
    <mergeCell ref="E126:J126"/>
    <mergeCell ref="K126:P126"/>
    <mergeCell ref="Q126:V126"/>
    <mergeCell ref="W126:AJ126"/>
    <mergeCell ref="A127:D127"/>
    <mergeCell ref="E127:J127"/>
    <mergeCell ref="K127:P127"/>
    <mergeCell ref="Q127:V127"/>
    <mergeCell ref="W127:AJ127"/>
    <mergeCell ref="A128:D128"/>
    <mergeCell ref="E128:J128"/>
    <mergeCell ref="K128:P128"/>
    <mergeCell ref="Q128:V128"/>
    <mergeCell ref="W128:AJ128"/>
    <mergeCell ref="A129:D129"/>
    <mergeCell ref="E129:J129"/>
    <mergeCell ref="K129:P129"/>
    <mergeCell ref="Q129:V129"/>
    <mergeCell ref="W129:AJ129"/>
    <mergeCell ref="A130:D130"/>
    <mergeCell ref="E130:J130"/>
    <mergeCell ref="K130:P130"/>
    <mergeCell ref="Q130:V130"/>
    <mergeCell ref="W130:AJ130"/>
    <mergeCell ref="A131:D131"/>
    <mergeCell ref="E131:J131"/>
    <mergeCell ref="K131:P131"/>
    <mergeCell ref="Q131:V131"/>
    <mergeCell ref="W131:AJ131"/>
    <mergeCell ref="A132:P132"/>
    <mergeCell ref="Q132:V132"/>
    <mergeCell ref="W132:AJ132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90"/>
  <sheetViews>
    <sheetView workbookViewId="0" zoomScale="90" zoomScaleNormal="90">
      <selection activeCell="R27" sqref="R27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57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37</v>
      </c>
      <c r="B6" s="213" t="str">
        <f>'Final Work'!모선이름</f>
        <v>SAWASDEE SPICA</v>
      </c>
      <c r="C6" s="3"/>
      <c r="D6" s="3"/>
      <c r="E6" s="3"/>
      <c r="F6" s="3"/>
      <c r="G6" s="3" t="s">
        <v>38</v>
      </c>
      <c r="H6" s="194"/>
      <c r="I6" s="194"/>
      <c r="J6" s="3"/>
      <c r="K6" s="3" t="s">
        <v>39</v>
      </c>
      <c r="L6" s="13"/>
      <c r="M6" s="14"/>
      <c r="N6" s="9"/>
      <c r="O6" s="9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71"/>
      <c r="I7" s="17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13" t="s">
        <v>58</v>
      </c>
      <c r="B8" s="3" t="s">
        <v>25</v>
      </c>
      <c r="C8" s="3"/>
      <c r="D8" s="3"/>
      <c r="E8" s="3"/>
      <c r="F8" s="3"/>
      <c r="G8" s="3" t="s">
        <v>41</v>
      </c>
      <c r="H8" s="194"/>
      <c r="I8" s="194"/>
      <c r="J8" s="3"/>
      <c r="K8" s="213" t="s">
        <v>42</v>
      </c>
      <c r="L8" s="194"/>
      <c r="M8" s="19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45" customHeight="1" spans="1:25" x14ac:dyDescent="0.25">
      <c r="A10" s="267" t="s">
        <v>43</v>
      </c>
      <c r="B10" s="217" t="s">
        <v>44</v>
      </c>
      <c r="C10" s="218"/>
      <c r="D10" s="267" t="s">
        <v>45</v>
      </c>
      <c r="E10" s="267"/>
      <c r="F10" s="267"/>
      <c r="G10" s="219" t="s">
        <v>46</v>
      </c>
      <c r="H10" s="267" t="s">
        <v>47</v>
      </c>
      <c r="I10" s="267"/>
      <c r="J10" s="219" t="s">
        <v>59</v>
      </c>
      <c r="K10" s="267" t="s">
        <v>49</v>
      </c>
      <c r="L10" s="267" t="s">
        <v>50</v>
      </c>
      <c r="M10" s="267" t="s">
        <v>51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4.45" customHeight="1" spans="1:25" x14ac:dyDescent="0.25">
      <c r="A11" s="222"/>
      <c r="B11" s="223"/>
      <c r="C11" s="224"/>
      <c r="D11" s="222"/>
      <c r="E11" s="222"/>
      <c r="F11" s="222"/>
      <c r="G11" s="225" t="s">
        <v>52</v>
      </c>
      <c r="H11" s="222"/>
      <c r="I11" s="222"/>
      <c r="J11" s="225"/>
      <c r="K11" s="222"/>
      <c r="L11" s="222"/>
      <c r="M11" s="22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9.15" customHeight="1" hidden="1" spans="1:25" x14ac:dyDescent="0.25">
      <c r="A12" s="268"/>
      <c r="B12" s="269"/>
      <c r="C12" s="270"/>
      <c r="D12" s="271"/>
      <c r="E12" s="272"/>
      <c r="F12" s="273"/>
      <c r="G12" s="268"/>
      <c r="H12" s="274"/>
      <c r="I12" s="275"/>
      <c r="J12" s="262"/>
      <c r="K12" s="259"/>
      <c r="L12" s="268"/>
      <c r="M12" s="2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9.15" customHeight="1" hidden="1" spans="1:25" x14ac:dyDescent="0.25">
      <c r="A13" s="277"/>
      <c r="B13" s="278"/>
      <c r="C13" s="92"/>
      <c r="D13" s="279"/>
      <c r="E13" s="280"/>
      <c r="F13" s="281"/>
      <c r="G13" s="259"/>
      <c r="H13" s="282"/>
      <c r="I13" s="283"/>
      <c r="J13" s="262"/>
      <c r="K13" s="259"/>
      <c r="L13" s="259"/>
      <c r="M13" s="28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9.15" customHeight="1" hidden="1" spans="1:25" x14ac:dyDescent="0.25">
      <c r="A14" s="285"/>
      <c r="B14" s="286"/>
      <c r="C14" s="207"/>
      <c r="D14" s="279"/>
      <c r="E14" s="280"/>
      <c r="F14" s="281"/>
      <c r="G14" s="259"/>
      <c r="H14" s="260"/>
      <c r="I14" s="287"/>
      <c r="J14" s="262"/>
      <c r="K14" s="259"/>
      <c r="L14" s="259"/>
      <c r="M14" s="28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9.15" customHeight="1" hidden="1" spans="1:25" x14ac:dyDescent="0.25">
      <c r="A15" s="285"/>
      <c r="B15" s="286"/>
      <c r="C15" s="207"/>
      <c r="D15" s="279"/>
      <c r="E15" s="280"/>
      <c r="F15" s="281"/>
      <c r="G15" s="259"/>
      <c r="H15" s="260"/>
      <c r="I15" s="287"/>
      <c r="J15" s="262"/>
      <c r="K15" s="259"/>
      <c r="L15" s="259"/>
      <c r="M15" s="28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9.15" customHeight="1" hidden="1" spans="1:25" x14ac:dyDescent="0.25">
      <c r="A16" s="285"/>
      <c r="B16" s="286"/>
      <c r="C16" s="207"/>
      <c r="D16" s="279"/>
      <c r="E16" s="280"/>
      <c r="F16" s="281"/>
      <c r="G16" s="259"/>
      <c r="H16" s="260"/>
      <c r="I16" s="287"/>
      <c r="J16" s="262"/>
      <c r="K16" s="259"/>
      <c r="L16" s="259"/>
      <c r="M16" s="28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.95" customHeight="1" spans="1:25" x14ac:dyDescent="0.25">
      <c r="A17" s="285"/>
      <c r="B17" s="228"/>
      <c r="C17" s="229"/>
      <c r="D17" s="243"/>
      <c r="E17" s="230"/>
      <c r="F17" s="231"/>
      <c r="G17" s="232"/>
      <c r="H17" s="233"/>
      <c r="I17" s="234"/>
      <c r="J17" s="235"/>
      <c r="K17" s="232"/>
      <c r="L17" s="232"/>
      <c r="M17" s="28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.95" customHeight="1" spans="1:25" x14ac:dyDescent="0.25">
      <c r="A18" s="285"/>
      <c r="B18" s="228"/>
      <c r="C18" s="229"/>
      <c r="D18" s="243"/>
      <c r="E18" s="230"/>
      <c r="F18" s="231"/>
      <c r="G18" s="232"/>
      <c r="H18" s="233"/>
      <c r="I18" s="234"/>
      <c r="J18" s="235"/>
      <c r="K18" s="232"/>
      <c r="L18" s="232"/>
      <c r="M18" s="28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.95" customHeight="1" spans="1:25" x14ac:dyDescent="0.25">
      <c r="A19" s="285"/>
      <c r="B19" s="228"/>
      <c r="C19" s="229"/>
      <c r="D19" s="243"/>
      <c r="E19" s="230"/>
      <c r="F19" s="231"/>
      <c r="G19" s="232"/>
      <c r="H19" s="233"/>
      <c r="I19" s="234"/>
      <c r="J19" s="235"/>
      <c r="K19" s="232"/>
      <c r="L19" s="232"/>
      <c r="M19" s="28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.95" customHeight="1" spans="1:25" x14ac:dyDescent="0.25">
      <c r="A20" s="285"/>
      <c r="B20" s="232"/>
      <c r="C20" s="232"/>
      <c r="D20" s="243"/>
      <c r="E20" s="230"/>
      <c r="F20" s="231"/>
      <c r="G20" s="232"/>
      <c r="H20" s="233"/>
      <c r="I20" s="234"/>
      <c r="J20" s="235"/>
      <c r="K20" s="232"/>
      <c r="L20" s="232"/>
      <c r="M20" s="28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.95" customHeight="1" spans="1:25" x14ac:dyDescent="0.25">
      <c r="A21" s="285"/>
      <c r="B21" s="232"/>
      <c r="C21" s="232"/>
      <c r="D21" s="243"/>
      <c r="E21" s="230"/>
      <c r="F21" s="231"/>
      <c r="G21" s="232"/>
      <c r="H21" s="290"/>
      <c r="I21" s="291"/>
      <c r="J21" s="235"/>
      <c r="K21" s="232"/>
      <c r="L21" s="232"/>
      <c r="M21" s="28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.95" customHeight="1" spans="1:25" x14ac:dyDescent="0.25">
      <c r="A22" s="277"/>
      <c r="B22" s="292"/>
      <c r="C22" s="293"/>
      <c r="D22" s="243"/>
      <c r="E22" s="230"/>
      <c r="F22" s="231"/>
      <c r="G22" s="232"/>
      <c r="H22" s="294"/>
      <c r="I22" s="295"/>
      <c r="J22" s="235"/>
      <c r="K22" s="232"/>
      <c r="L22" s="232"/>
      <c r="M22" s="29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.95" customHeight="1" spans="1:25" x14ac:dyDescent="0.25">
      <c r="A23" s="297"/>
      <c r="B23" s="298"/>
      <c r="C23" s="299"/>
      <c r="D23" s="300" t="s">
        <v>53</v>
      </c>
      <c r="E23" s="301"/>
      <c r="F23" s="302"/>
      <c r="G23" s="303" t="s">
        <v>54</v>
      </c>
      <c r="H23" s="304">
        <f>SUM(H12:I22)</f>
        <v>297</v>
      </c>
      <c r="I23" s="305"/>
      <c r="J23" s="306">
        <f>SUM(J12:J22)</f>
        <v>297</v>
      </c>
      <c r="K23" s="303" t="s">
        <v>55</v>
      </c>
      <c r="L23" s="303" t="s">
        <v>55</v>
      </c>
      <c r="M23" s="30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.95" customHeight="1" hidden="1" spans="1:25" x14ac:dyDescent="0.25">
      <c r="A24" s="308"/>
      <c r="B24" s="309"/>
      <c r="C24" s="310"/>
      <c r="D24" s="309"/>
      <c r="E24" s="311"/>
      <c r="F24" s="310"/>
      <c r="G24" s="312"/>
      <c r="H24" s="313"/>
      <c r="I24" s="314"/>
      <c r="J24" s="315"/>
      <c r="K24" s="312"/>
      <c r="L24" s="312"/>
      <c r="M24" s="31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.95" customHeight="1" spans="1:25" x14ac:dyDescent="0.25">
      <c r="A25" s="308"/>
      <c r="B25" s="309"/>
      <c r="C25" s="310"/>
      <c r="D25" s="309"/>
      <c r="E25" s="311"/>
      <c r="F25" s="310"/>
      <c r="G25" s="312"/>
      <c r="H25" s="313"/>
      <c r="I25" s="314"/>
      <c r="J25" s="315"/>
      <c r="K25" s="312"/>
      <c r="L25" s="312"/>
      <c r="M25" s="31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.95" customHeight="1" spans="1:25" x14ac:dyDescent="0.25">
      <c r="A26" s="308"/>
      <c r="B26" s="317"/>
      <c r="C26" s="318"/>
      <c r="D26" s="317"/>
      <c r="E26" s="319"/>
      <c r="F26" s="318"/>
      <c r="G26" s="320"/>
      <c r="H26" s="321"/>
      <c r="I26" s="322"/>
      <c r="J26" s="323"/>
      <c r="K26" s="320"/>
      <c r="L26" s="320"/>
      <c r="M26" s="32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.95" customHeight="1" spans="1:25" x14ac:dyDescent="0.25">
      <c r="A27" s="308"/>
      <c r="B27" s="317"/>
      <c r="C27" s="318"/>
      <c r="D27" s="317"/>
      <c r="E27" s="319"/>
      <c r="F27" s="318"/>
      <c r="G27" s="320"/>
      <c r="H27" s="321"/>
      <c r="I27" s="322"/>
      <c r="J27" s="323"/>
      <c r="K27" s="320"/>
      <c r="L27" s="320"/>
      <c r="M27" s="32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40"/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40"/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40"/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208"/>
      <c r="B31" s="208"/>
      <c r="C31" s="208"/>
      <c r="D31" s="3"/>
      <c r="E31" s="3"/>
      <c r="F31" s="3"/>
      <c r="G31" s="208"/>
      <c r="H31" s="208"/>
      <c r="I31" s="208"/>
      <c r="J31" s="3"/>
      <c r="K31" s="3"/>
      <c r="L31" s="208"/>
      <c r="M31" s="20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5">
      <c r="A32" s="209" t="s">
        <v>22</v>
      </c>
      <c r="B32" s="209"/>
      <c r="C32" s="209"/>
      <c r="D32" s="3"/>
      <c r="E32" s="3"/>
      <c r="F32" s="3"/>
      <c r="G32" s="209" t="s">
        <v>56</v>
      </c>
      <c r="H32" s="209"/>
      <c r="I32" s="209"/>
      <c r="J32" s="3"/>
      <c r="K32" s="3"/>
      <c r="L32" s="209" t="s">
        <v>23</v>
      </c>
      <c r="M32" s="20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3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23:C23"/>
    <mergeCell ref="D23:F23"/>
    <mergeCell ref="H23:I23"/>
    <mergeCell ref="B24:C24"/>
    <mergeCell ref="D24:F24"/>
    <mergeCell ref="H24:I24"/>
    <mergeCell ref="B25:C25"/>
    <mergeCell ref="D25:F25"/>
    <mergeCell ref="H25:I25"/>
    <mergeCell ref="B26:C26"/>
    <mergeCell ref="D26:F26"/>
    <mergeCell ref="H26:I26"/>
    <mergeCell ref="B27:C27"/>
    <mergeCell ref="D27:F27"/>
    <mergeCell ref="H27:I27"/>
    <mergeCell ref="A32:C32"/>
    <mergeCell ref="G32:I32"/>
    <mergeCell ref="L32:M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P6" sqref="P6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11" t="s">
        <v>24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94" t="s">
        <v>25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12" t="s">
        <v>60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13" t="s">
        <v>61</v>
      </c>
      <c r="B6" s="213" t="str">
        <f>'Final Work'!모선이름</f>
        <v>SAWASDEE SPICA</v>
      </c>
      <c r="C6" s="3"/>
      <c r="D6" s="3"/>
      <c r="E6" s="3"/>
      <c r="F6" s="3"/>
      <c r="G6" s="3"/>
      <c r="H6" s="194" t="s">
        <v>62</v>
      </c>
      <c r="I6" s="194"/>
      <c r="J6" s="194" t="str">
        <f>'OS-IN'!H6</f>
        <v>2605N</v>
      </c>
      <c r="K6" s="194"/>
      <c r="L6" s="3"/>
      <c r="M6" s="3"/>
      <c r="N6" s="3"/>
      <c r="O6" s="213" t="s">
        <v>63</v>
      </c>
      <c r="P6" s="214">
        <f>'OS-IN'!L6</f>
        <v>46213</v>
      </c>
      <c r="Q6" s="214"/>
      <c r="R6" s="214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13" t="s">
        <v>64</v>
      </c>
      <c r="B8" s="213" t="s">
        <v>25</v>
      </c>
      <c r="C8" s="213"/>
      <c r="D8" s="213"/>
      <c r="E8" s="213"/>
      <c r="F8" s="3"/>
      <c r="G8" s="3"/>
      <c r="H8" s="194" t="s">
        <v>65</v>
      </c>
      <c r="I8" s="194"/>
      <c r="J8" s="194" t="s">
        <v>66</v>
      </c>
      <c r="K8" s="194"/>
      <c r="L8" s="3"/>
      <c r="M8" s="3"/>
      <c r="N8" s="3"/>
      <c r="O8" s="213" t="s">
        <v>67</v>
      </c>
      <c r="P8" s="194">
        <f>'Final Work'!작업선석</f>
        <v>7</v>
      </c>
      <c r="Q8" s="194"/>
      <c r="R8" s="194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67" t="s">
        <v>11</v>
      </c>
      <c r="B10" s="267" t="s">
        <v>43</v>
      </c>
      <c r="C10" s="220" t="s">
        <v>68</v>
      </c>
      <c r="D10" s="209"/>
      <c r="E10" s="221"/>
      <c r="F10" s="267" t="s">
        <v>69</v>
      </c>
      <c r="G10" s="267"/>
      <c r="H10" s="267"/>
      <c r="I10" s="267"/>
      <c r="J10" s="219" t="s">
        <v>70</v>
      </c>
      <c r="K10" s="267" t="s">
        <v>71</v>
      </c>
      <c r="L10" s="267" t="s">
        <v>72</v>
      </c>
      <c r="M10" s="267"/>
      <c r="N10" s="267"/>
      <c r="O10" s="267"/>
      <c r="P10" s="267"/>
      <c r="Q10" s="267"/>
      <c r="R10" s="267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22"/>
      <c r="B11" s="222"/>
      <c r="C11" s="226"/>
      <c r="D11" s="325"/>
      <c r="E11" s="227"/>
      <c r="F11" s="222"/>
      <c r="G11" s="222"/>
      <c r="H11" s="222"/>
      <c r="I11" s="222"/>
      <c r="J11" s="225" t="s">
        <v>52</v>
      </c>
      <c r="K11" s="222"/>
      <c r="L11" s="222"/>
      <c r="M11" s="222"/>
      <c r="N11" s="222"/>
      <c r="O11" s="222"/>
      <c r="P11" s="222"/>
      <c r="Q11" s="222"/>
      <c r="R11" s="222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3"/>
      <c r="B12" s="53"/>
      <c r="C12" s="269"/>
      <c r="D12" s="326"/>
      <c r="E12" s="270"/>
      <c r="F12" s="269"/>
      <c r="G12" s="326"/>
      <c r="H12" s="326"/>
      <c r="I12" s="270"/>
      <c r="J12" s="268"/>
      <c r="K12" s="268"/>
      <c r="L12" s="327"/>
      <c r="M12" s="328"/>
      <c r="N12" s="328"/>
      <c r="O12" s="328"/>
      <c r="P12" s="328"/>
      <c r="Q12" s="328"/>
      <c r="R12" s="329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330"/>
      <c r="B13" s="330"/>
      <c r="C13" s="172"/>
      <c r="D13" s="331"/>
      <c r="E13" s="207"/>
      <c r="F13" s="195"/>
      <c r="G13" s="54"/>
      <c r="H13" s="54"/>
      <c r="I13" s="56"/>
      <c r="J13" s="53"/>
      <c r="K13" s="53"/>
      <c r="L13" s="180"/>
      <c r="M13" s="181"/>
      <c r="N13" s="181"/>
      <c r="O13" s="181"/>
      <c r="P13" s="181"/>
      <c r="Q13" s="181"/>
      <c r="R13" s="182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330"/>
      <c r="B14" s="330"/>
      <c r="C14" s="172"/>
      <c r="D14" s="331"/>
      <c r="E14" s="207"/>
      <c r="F14" s="172"/>
      <c r="G14" s="331"/>
      <c r="H14" s="331"/>
      <c r="I14" s="207"/>
      <c r="J14" s="330"/>
      <c r="K14" s="330"/>
      <c r="L14" s="332"/>
      <c r="M14" s="332"/>
      <c r="N14" s="332"/>
      <c r="O14" s="332"/>
      <c r="P14" s="332"/>
      <c r="Q14" s="332"/>
      <c r="R14" s="332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330"/>
      <c r="B15" s="330"/>
      <c r="C15" s="172"/>
      <c r="D15" s="331"/>
      <c r="E15" s="207"/>
      <c r="F15" s="172"/>
      <c r="G15" s="331"/>
      <c r="H15" s="331"/>
      <c r="I15" s="207"/>
      <c r="J15" s="330"/>
      <c r="K15" s="330"/>
      <c r="L15" s="332"/>
      <c r="M15" s="332"/>
      <c r="N15" s="332"/>
      <c r="O15" s="332"/>
      <c r="P15" s="332"/>
      <c r="Q15" s="332"/>
      <c r="R15" s="332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330"/>
      <c r="B16" s="330"/>
      <c r="C16" s="172"/>
      <c r="D16" s="331"/>
      <c r="E16" s="207"/>
      <c r="F16" s="172"/>
      <c r="G16" s="331"/>
      <c r="H16" s="331"/>
      <c r="I16" s="207"/>
      <c r="J16" s="330"/>
      <c r="K16" s="330"/>
      <c r="L16" s="332"/>
      <c r="M16" s="332"/>
      <c r="N16" s="332"/>
      <c r="O16" s="332"/>
      <c r="P16" s="332"/>
      <c r="Q16" s="332"/>
      <c r="R16" s="332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330"/>
      <c r="B17" s="330"/>
      <c r="C17" s="172"/>
      <c r="D17" s="331"/>
      <c r="E17" s="207"/>
      <c r="F17" s="172"/>
      <c r="G17" s="331"/>
      <c r="H17" s="331"/>
      <c r="I17" s="207"/>
      <c r="J17" s="330"/>
      <c r="K17" s="330"/>
      <c r="L17" s="332"/>
      <c r="M17" s="332"/>
      <c r="N17" s="332"/>
      <c r="O17" s="332"/>
      <c r="P17" s="332"/>
      <c r="Q17" s="332"/>
      <c r="R17" s="332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330"/>
      <c r="B18" s="330"/>
      <c r="C18" s="172"/>
      <c r="D18" s="331"/>
      <c r="E18" s="207"/>
      <c r="F18" s="172"/>
      <c r="G18" s="331"/>
      <c r="H18" s="331"/>
      <c r="I18" s="207"/>
      <c r="J18" s="330"/>
      <c r="K18" s="330"/>
      <c r="L18" s="332"/>
      <c r="M18" s="332"/>
      <c r="N18" s="332"/>
      <c r="O18" s="332"/>
      <c r="P18" s="332"/>
      <c r="Q18" s="332"/>
      <c r="R18" s="332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330"/>
      <c r="B19" s="330"/>
      <c r="C19" s="172"/>
      <c r="D19" s="331"/>
      <c r="E19" s="207"/>
      <c r="F19" s="172"/>
      <c r="G19" s="331"/>
      <c r="H19" s="331"/>
      <c r="I19" s="207"/>
      <c r="J19" s="330"/>
      <c r="K19" s="330"/>
      <c r="L19" s="332"/>
      <c r="M19" s="332"/>
      <c r="N19" s="332"/>
      <c r="O19" s="332"/>
      <c r="P19" s="332"/>
      <c r="Q19" s="332"/>
      <c r="R19" s="332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330"/>
      <c r="B20" s="330"/>
      <c r="C20" s="172"/>
      <c r="D20" s="331"/>
      <c r="E20" s="207"/>
      <c r="F20" s="172"/>
      <c r="G20" s="331"/>
      <c r="H20" s="331"/>
      <c r="I20" s="207"/>
      <c r="J20" s="330"/>
      <c r="K20" s="330"/>
      <c r="L20" s="332"/>
      <c r="M20" s="332"/>
      <c r="N20" s="332"/>
      <c r="O20" s="332"/>
      <c r="P20" s="332"/>
      <c r="Q20" s="332"/>
      <c r="R20" s="332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330"/>
      <c r="B21" s="330"/>
      <c r="C21" s="172"/>
      <c r="D21" s="331"/>
      <c r="E21" s="207"/>
      <c r="F21" s="172"/>
      <c r="G21" s="331"/>
      <c r="H21" s="331"/>
      <c r="I21" s="207"/>
      <c r="J21" s="330"/>
      <c r="K21" s="330"/>
      <c r="L21" s="332"/>
      <c r="M21" s="332"/>
      <c r="N21" s="332"/>
      <c r="O21" s="332"/>
      <c r="P21" s="332"/>
      <c r="Q21" s="332"/>
      <c r="R21" s="332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330"/>
      <c r="B22" s="330"/>
      <c r="C22" s="172"/>
      <c r="D22" s="331"/>
      <c r="E22" s="207"/>
      <c r="F22" s="172"/>
      <c r="G22" s="331"/>
      <c r="H22" s="331"/>
      <c r="I22" s="207"/>
      <c r="J22" s="330"/>
      <c r="K22" s="330"/>
      <c r="L22" s="332"/>
      <c r="M22" s="332"/>
      <c r="N22" s="332"/>
      <c r="O22" s="332"/>
      <c r="P22" s="332"/>
      <c r="Q22" s="332"/>
      <c r="R22" s="332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330"/>
      <c r="B23" s="330"/>
      <c r="C23" s="172"/>
      <c r="D23" s="331"/>
      <c r="E23" s="207"/>
      <c r="F23" s="172"/>
      <c r="G23" s="331"/>
      <c r="H23" s="331"/>
      <c r="I23" s="207"/>
      <c r="J23" s="330"/>
      <c r="K23" s="330"/>
      <c r="L23" s="332"/>
      <c r="M23" s="332"/>
      <c r="N23" s="332"/>
      <c r="O23" s="332"/>
      <c r="P23" s="332"/>
      <c r="Q23" s="332"/>
      <c r="R23" s="332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330"/>
      <c r="B24" s="330"/>
      <c r="C24" s="172"/>
      <c r="D24" s="331"/>
      <c r="E24" s="207"/>
      <c r="F24" s="172"/>
      <c r="G24" s="331"/>
      <c r="H24" s="331"/>
      <c r="I24" s="207"/>
      <c r="J24" s="330"/>
      <c r="K24" s="330"/>
      <c r="L24" s="332"/>
      <c r="M24" s="332"/>
      <c r="N24" s="332"/>
      <c r="O24" s="332"/>
      <c r="P24" s="332"/>
      <c r="Q24" s="332"/>
      <c r="R24" s="332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330"/>
      <c r="B25" s="330"/>
      <c r="C25" s="172"/>
      <c r="D25" s="331"/>
      <c r="E25" s="207"/>
      <c r="F25" s="172"/>
      <c r="G25" s="331"/>
      <c r="H25" s="331"/>
      <c r="I25" s="207"/>
      <c r="J25" s="330"/>
      <c r="K25" s="330"/>
      <c r="L25" s="332"/>
      <c r="M25" s="332"/>
      <c r="N25" s="332"/>
      <c r="O25" s="332"/>
      <c r="P25" s="332"/>
      <c r="Q25" s="332"/>
      <c r="R25" s="332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330"/>
      <c r="B26" s="330"/>
      <c r="C26" s="172"/>
      <c r="D26" s="331"/>
      <c r="E26" s="207"/>
      <c r="F26" s="172"/>
      <c r="G26" s="331"/>
      <c r="H26" s="331"/>
      <c r="I26" s="207"/>
      <c r="J26" s="330"/>
      <c r="K26" s="330"/>
      <c r="L26" s="332"/>
      <c r="M26" s="332"/>
      <c r="N26" s="332"/>
      <c r="O26" s="332"/>
      <c r="P26" s="332"/>
      <c r="Q26" s="332"/>
      <c r="R26" s="332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330"/>
      <c r="B27" s="330"/>
      <c r="C27" s="172"/>
      <c r="D27" s="331"/>
      <c r="E27" s="207"/>
      <c r="F27" s="172"/>
      <c r="G27" s="331"/>
      <c r="H27" s="331"/>
      <c r="I27" s="207"/>
      <c r="J27" s="330"/>
      <c r="K27" s="330"/>
      <c r="L27" s="332"/>
      <c r="M27" s="332"/>
      <c r="N27" s="332"/>
      <c r="O27" s="332"/>
      <c r="P27" s="332"/>
      <c r="Q27" s="332"/>
      <c r="R27" s="332"/>
      <c r="S27" s="3"/>
      <c r="T27" s="3"/>
      <c r="U27" s="3"/>
      <c r="V27" s="3"/>
      <c r="W27" s="3"/>
      <c r="X27" s="3"/>
      <c r="Y27" s="3"/>
    </row>
    <row r="28" ht="18" customHeight="1" spans="1:25" s="3" customFormat="1" x14ac:dyDescent="0.25">
      <c r="A28" s="330"/>
      <c r="B28" s="330"/>
      <c r="C28" s="172"/>
      <c r="D28" s="331"/>
      <c r="E28" s="207"/>
      <c r="F28" s="172"/>
      <c r="G28" s="331"/>
      <c r="H28" s="331"/>
      <c r="I28" s="207"/>
      <c r="J28" s="330"/>
      <c r="K28" s="330"/>
      <c r="L28" s="332"/>
      <c r="M28" s="332"/>
      <c r="N28" s="332"/>
      <c r="O28" s="332"/>
      <c r="P28" s="332"/>
      <c r="Q28" s="332"/>
      <c r="R28" s="332"/>
      <c r="S28" s="3"/>
      <c r="T28" s="3"/>
      <c r="U28" s="3"/>
      <c r="V28" s="3"/>
      <c r="W28" s="3"/>
      <c r="X28" s="3"/>
      <c r="Y28" s="3"/>
    </row>
    <row r="29" ht="18.95" customHeight="1" spans="1:25" s="3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s="3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s="3" customFormat="1" x14ac:dyDescent="0.25">
      <c r="A31" s="208"/>
      <c r="B31" s="208"/>
      <c r="C31" s="208"/>
      <c r="D31" s="208"/>
      <c r="E31" s="3"/>
      <c r="F31" s="3"/>
      <c r="G31" s="3"/>
      <c r="H31" s="3"/>
      <c r="I31" s="208"/>
      <c r="J31" s="208"/>
      <c r="K31" s="208"/>
      <c r="L31" s="3"/>
      <c r="M31" s="3"/>
      <c r="N31" s="3"/>
      <c r="O31" s="208"/>
      <c r="P31" s="208"/>
      <c r="Q31" s="208"/>
      <c r="R31" s="208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9" t="s">
        <v>22</v>
      </c>
      <c r="B32" s="209"/>
      <c r="C32" s="209"/>
      <c r="D32" s="209"/>
      <c r="E32" s="3"/>
      <c r="F32" s="3"/>
      <c r="G32" s="3"/>
      <c r="H32" s="3"/>
      <c r="I32" s="209" t="s">
        <v>56</v>
      </c>
      <c r="J32" s="209"/>
      <c r="K32" s="209"/>
      <c r="L32" s="3"/>
      <c r="M32" s="3"/>
      <c r="N32" s="3"/>
      <c r="O32" s="209" t="s">
        <v>23</v>
      </c>
      <c r="P32" s="209"/>
      <c r="Q32" s="209"/>
      <c r="R32" s="209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70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workbookViewId="0" zoomScale="100" zoomScaleNormal="100">
      <selection activeCell="A2" sqref="A2"/>
    </sheetView>
  </sheetViews>
  <sheetFormatPr defaultRowHeight="13.5" outlineLevelRow="0" outlineLevelCol="0" x14ac:dyDescent="0" defaultColWidth="7.5" customHeight="1"/>
  <cols>
    <col min="1" max="1" width="6.125" style="578" customWidth="1"/>
    <col min="2" max="2" width="15.25" style="578" customWidth="1"/>
    <col min="3" max="3" width="6.75" style="578" customWidth="1"/>
    <col min="4" max="4" width="6.25" style="578" customWidth="1"/>
    <col min="5" max="5" width="7.375" style="579" customWidth="1"/>
    <col min="6" max="6" width="6.875" style="578" customWidth="1"/>
    <col min="7" max="7" width="9.5" style="580" customWidth="1"/>
    <col min="8" max="8" width="9.25" style="580" customWidth="1"/>
    <col min="9" max="9" width="6.5" style="578" customWidth="1"/>
    <col min="10" max="10" width="6.25" style="578" customWidth="1"/>
    <col min="11" max="11" width="6.75" style="578" customWidth="1"/>
    <col min="12" max="12" width="31.5" style="578" customWidth="1"/>
    <col min="13" max="13" width="8.875" style="578" customWidth="1"/>
    <col min="14" max="14" width="9.25" style="578" customWidth="1"/>
    <col min="15" max="16" width="7.5" style="581" customWidth="1"/>
    <col min="17" max="17" width="6.75" style="578" customWidth="1"/>
    <col min="18" max="18" width="11.625" style="580" customWidth="1"/>
    <col min="19" max="20" width="12.5" style="578" customWidth="1"/>
    <col min="21" max="23" width="7.5" style="578" customWidth="1"/>
    <col min="24" max="24" width="7.5" style="580" customWidth="1"/>
    <col min="25" max="25" width="12.75" style="578" customWidth="1"/>
    <col min="26" max="256" width="7.5" style="578" customWidth="1"/>
    <col min="257" max="257" width="6.125" style="578" customWidth="1"/>
    <col min="258" max="258" width="15.25" style="578" customWidth="1"/>
    <col min="259" max="259" width="6.75" style="578" customWidth="1"/>
    <col min="260" max="260" width="6.25" style="578" customWidth="1"/>
    <col min="261" max="261" width="6.75" style="578" customWidth="1"/>
    <col min="262" max="262" width="6.875" style="578" customWidth="1"/>
    <col min="263" max="263" width="9.5" style="578" customWidth="1"/>
    <col min="264" max="264" width="9.25" style="578" customWidth="1"/>
    <col min="265" max="265" width="6.5" style="578" customWidth="1"/>
    <col min="266" max="266" width="6.25" style="578" customWidth="1"/>
    <col min="267" max="267" width="6.75" style="578" customWidth="1"/>
    <col min="268" max="268" width="31.5" style="578" customWidth="1"/>
    <col min="269" max="269" width="8.875" style="578" customWidth="1"/>
    <col min="270" max="270" width="9.25" style="578" customWidth="1"/>
    <col min="271" max="272" width="7.5" style="578" customWidth="1"/>
    <col min="273" max="273" width="6.75" style="578" customWidth="1"/>
    <col min="274" max="274" width="11.625" style="578" customWidth="1"/>
    <col min="275" max="276" width="12.5" style="578" customWidth="1"/>
    <col min="277" max="280" width="7.5" style="578" customWidth="1"/>
    <col min="281" max="281" width="12.75" style="578" customWidth="1"/>
    <col min="282" max="512" width="7.5" style="578" customWidth="1"/>
    <col min="513" max="513" width="6.125" style="578" customWidth="1"/>
    <col min="514" max="514" width="15.25" style="578" customWidth="1"/>
    <col min="515" max="515" width="6.75" style="578" customWidth="1"/>
    <col min="516" max="516" width="6.25" style="578" customWidth="1"/>
    <col min="517" max="517" width="6.75" style="578" customWidth="1"/>
    <col min="518" max="518" width="6.875" style="578" customWidth="1"/>
    <col min="519" max="519" width="9.5" style="578" customWidth="1"/>
    <col min="520" max="520" width="9.25" style="578" customWidth="1"/>
    <col min="521" max="521" width="6.5" style="578" customWidth="1"/>
    <col min="522" max="522" width="6.25" style="578" customWidth="1"/>
    <col min="523" max="523" width="6.75" style="578" customWidth="1"/>
    <col min="524" max="524" width="31.5" style="578" customWidth="1"/>
    <col min="525" max="525" width="8.875" style="578" customWidth="1"/>
    <col min="526" max="526" width="9.25" style="578" customWidth="1"/>
    <col min="527" max="528" width="7.5" style="578" customWidth="1"/>
    <col min="529" max="529" width="6.75" style="578" customWidth="1"/>
    <col min="530" max="530" width="11.625" style="578" customWidth="1"/>
    <col min="531" max="532" width="12.5" style="578" customWidth="1"/>
    <col min="533" max="536" width="7.5" style="578" customWidth="1"/>
    <col min="537" max="537" width="12.75" style="578" customWidth="1"/>
    <col min="538" max="768" width="7.5" style="578" customWidth="1"/>
    <col min="769" max="769" width="6.125" style="578" customWidth="1"/>
    <col min="770" max="770" width="15.25" style="578" customWidth="1"/>
    <col min="771" max="771" width="6.75" style="578" customWidth="1"/>
    <col min="772" max="772" width="6.25" style="578" customWidth="1"/>
    <col min="773" max="773" width="6.75" style="578" customWidth="1"/>
    <col min="774" max="774" width="6.875" style="578" customWidth="1"/>
    <col min="775" max="775" width="9.5" style="578" customWidth="1"/>
    <col min="776" max="776" width="9.25" style="578" customWidth="1"/>
    <col min="777" max="777" width="6.5" style="578" customWidth="1"/>
    <col min="778" max="778" width="6.25" style="578" customWidth="1"/>
    <col min="779" max="779" width="6.75" style="578" customWidth="1"/>
    <col min="780" max="780" width="31.5" style="578" customWidth="1"/>
    <col min="781" max="781" width="8.875" style="578" customWidth="1"/>
    <col min="782" max="782" width="9.25" style="578" customWidth="1"/>
    <col min="783" max="784" width="7.5" style="578" customWidth="1"/>
    <col min="785" max="785" width="6.75" style="578" customWidth="1"/>
    <col min="786" max="786" width="11.625" style="578" customWidth="1"/>
    <col min="787" max="788" width="12.5" style="578" customWidth="1"/>
    <col min="789" max="792" width="7.5" style="578" customWidth="1"/>
    <col min="793" max="793" width="12.75" style="578" customWidth="1"/>
    <col min="794" max="1024" width="7.5" style="578" customWidth="1"/>
    <col min="1025" max="1025" width="6.125" style="578" customWidth="1"/>
    <col min="1026" max="1026" width="15.25" style="578" customWidth="1"/>
    <col min="1027" max="1027" width="6.75" style="578" customWidth="1"/>
    <col min="1028" max="1028" width="6.25" style="578" customWidth="1"/>
    <col min="1029" max="1029" width="6.75" style="578" customWidth="1"/>
    <col min="1030" max="1030" width="6.875" style="578" customWidth="1"/>
    <col min="1031" max="1031" width="9.5" style="578" customWidth="1"/>
    <col min="1032" max="1032" width="9.25" style="578" customWidth="1"/>
    <col min="1033" max="1033" width="6.5" style="578" customWidth="1"/>
    <col min="1034" max="1034" width="6.25" style="578" customWidth="1"/>
    <col min="1035" max="1035" width="6.75" style="578" customWidth="1"/>
    <col min="1036" max="1036" width="31.5" style="578" customWidth="1"/>
    <col min="1037" max="1037" width="8.875" style="578" customWidth="1"/>
    <col min="1038" max="1038" width="9.25" style="578" customWidth="1"/>
    <col min="1039" max="1040" width="7.5" style="578" customWidth="1"/>
    <col min="1041" max="1041" width="6.75" style="578" customWidth="1"/>
    <col min="1042" max="1042" width="11.625" style="578" customWidth="1"/>
    <col min="1043" max="1044" width="12.5" style="578" customWidth="1"/>
    <col min="1045" max="1048" width="7.5" style="578" customWidth="1"/>
    <col min="1049" max="1049" width="12.75" style="578" customWidth="1"/>
    <col min="1050" max="1280" width="7.5" style="578" customWidth="1"/>
    <col min="1281" max="1281" width="6.125" style="578" customWidth="1"/>
    <col min="1282" max="1282" width="15.25" style="578" customWidth="1"/>
    <col min="1283" max="1283" width="6.75" style="578" customWidth="1"/>
    <col min="1284" max="1284" width="6.25" style="578" customWidth="1"/>
    <col min="1285" max="1285" width="6.75" style="578" customWidth="1"/>
    <col min="1286" max="1286" width="6.875" style="578" customWidth="1"/>
    <col min="1287" max="1287" width="9.5" style="578" customWidth="1"/>
    <col min="1288" max="1288" width="9.25" style="578" customWidth="1"/>
    <col min="1289" max="1289" width="6.5" style="578" customWidth="1"/>
    <col min="1290" max="1290" width="6.25" style="578" customWidth="1"/>
    <col min="1291" max="1291" width="6.75" style="578" customWidth="1"/>
    <col min="1292" max="1292" width="31.5" style="578" customWidth="1"/>
    <col min="1293" max="1293" width="8.875" style="578" customWidth="1"/>
    <col min="1294" max="1294" width="9.25" style="578" customWidth="1"/>
    <col min="1295" max="1296" width="7.5" style="578" customWidth="1"/>
    <col min="1297" max="1297" width="6.75" style="578" customWidth="1"/>
    <col min="1298" max="1298" width="11.625" style="578" customWidth="1"/>
    <col min="1299" max="1300" width="12.5" style="578" customWidth="1"/>
    <col min="1301" max="1304" width="7.5" style="578" customWidth="1"/>
    <col min="1305" max="1305" width="12.75" style="578" customWidth="1"/>
    <col min="1306" max="1536" width="7.5" style="578" customWidth="1"/>
    <col min="1537" max="1537" width="6.125" style="578" customWidth="1"/>
    <col min="1538" max="1538" width="15.25" style="578" customWidth="1"/>
    <col min="1539" max="1539" width="6.75" style="578" customWidth="1"/>
    <col min="1540" max="1540" width="6.25" style="578" customWidth="1"/>
    <col min="1541" max="1541" width="6.75" style="578" customWidth="1"/>
    <col min="1542" max="1542" width="6.875" style="578" customWidth="1"/>
    <col min="1543" max="1543" width="9.5" style="578" customWidth="1"/>
    <col min="1544" max="1544" width="9.25" style="578" customWidth="1"/>
    <col min="1545" max="1545" width="6.5" style="578" customWidth="1"/>
    <col min="1546" max="1546" width="6.25" style="578" customWidth="1"/>
    <col min="1547" max="1547" width="6.75" style="578" customWidth="1"/>
    <col min="1548" max="1548" width="31.5" style="578" customWidth="1"/>
    <col min="1549" max="1549" width="8.875" style="578" customWidth="1"/>
    <col min="1550" max="1550" width="9.25" style="578" customWidth="1"/>
    <col min="1551" max="1552" width="7.5" style="578" customWidth="1"/>
    <col min="1553" max="1553" width="6.75" style="578" customWidth="1"/>
    <col min="1554" max="1554" width="11.625" style="578" customWidth="1"/>
    <col min="1555" max="1556" width="12.5" style="578" customWidth="1"/>
    <col min="1557" max="1560" width="7.5" style="578" customWidth="1"/>
    <col min="1561" max="1561" width="12.75" style="578" customWidth="1"/>
    <col min="1562" max="1792" width="7.5" style="578" customWidth="1"/>
    <col min="1793" max="1793" width="6.125" style="578" customWidth="1"/>
    <col min="1794" max="1794" width="15.25" style="578" customWidth="1"/>
    <col min="1795" max="1795" width="6.75" style="578" customWidth="1"/>
    <col min="1796" max="1796" width="6.25" style="578" customWidth="1"/>
    <col min="1797" max="1797" width="6.75" style="578" customWidth="1"/>
    <col min="1798" max="1798" width="6.875" style="578" customWidth="1"/>
    <col min="1799" max="1799" width="9.5" style="578" customWidth="1"/>
    <col min="1800" max="1800" width="9.25" style="578" customWidth="1"/>
    <col min="1801" max="1801" width="6.5" style="578" customWidth="1"/>
    <col min="1802" max="1802" width="6.25" style="578" customWidth="1"/>
    <col min="1803" max="1803" width="6.75" style="578" customWidth="1"/>
    <col min="1804" max="1804" width="31.5" style="578" customWidth="1"/>
    <col min="1805" max="1805" width="8.875" style="578" customWidth="1"/>
    <col min="1806" max="1806" width="9.25" style="578" customWidth="1"/>
    <col min="1807" max="1808" width="7.5" style="578" customWidth="1"/>
    <col min="1809" max="1809" width="6.75" style="578" customWidth="1"/>
    <col min="1810" max="1810" width="11.625" style="578" customWidth="1"/>
    <col min="1811" max="1812" width="12.5" style="578" customWidth="1"/>
    <col min="1813" max="1816" width="7.5" style="578" customWidth="1"/>
    <col min="1817" max="1817" width="12.75" style="578" customWidth="1"/>
    <col min="1818" max="2048" width="7.5" style="578" customWidth="1"/>
    <col min="2049" max="2049" width="6.125" style="578" customWidth="1"/>
    <col min="2050" max="2050" width="15.25" style="578" customWidth="1"/>
    <col min="2051" max="2051" width="6.75" style="578" customWidth="1"/>
    <col min="2052" max="2052" width="6.25" style="578" customWidth="1"/>
    <col min="2053" max="2053" width="6.75" style="578" customWidth="1"/>
    <col min="2054" max="2054" width="6.875" style="578" customWidth="1"/>
    <col min="2055" max="2055" width="9.5" style="578" customWidth="1"/>
    <col min="2056" max="2056" width="9.25" style="578" customWidth="1"/>
    <col min="2057" max="2057" width="6.5" style="578" customWidth="1"/>
    <col min="2058" max="2058" width="6.25" style="578" customWidth="1"/>
    <col min="2059" max="2059" width="6.75" style="578" customWidth="1"/>
    <col min="2060" max="2060" width="31.5" style="578" customWidth="1"/>
    <col min="2061" max="2061" width="8.875" style="578" customWidth="1"/>
    <col min="2062" max="2062" width="9.25" style="578" customWidth="1"/>
    <col min="2063" max="2064" width="7.5" style="578" customWidth="1"/>
    <col min="2065" max="2065" width="6.75" style="578" customWidth="1"/>
    <col min="2066" max="2066" width="11.625" style="578" customWidth="1"/>
    <col min="2067" max="2068" width="12.5" style="578" customWidth="1"/>
    <col min="2069" max="2072" width="7.5" style="578" customWidth="1"/>
    <col min="2073" max="2073" width="12.75" style="578" customWidth="1"/>
    <col min="2074" max="2304" width="7.5" style="578" customWidth="1"/>
    <col min="2305" max="2305" width="6.125" style="578" customWidth="1"/>
    <col min="2306" max="2306" width="15.25" style="578" customWidth="1"/>
    <col min="2307" max="2307" width="6.75" style="578" customWidth="1"/>
    <col min="2308" max="2308" width="6.25" style="578" customWidth="1"/>
    <col min="2309" max="2309" width="6.75" style="578" customWidth="1"/>
    <col min="2310" max="2310" width="6.875" style="578" customWidth="1"/>
    <col min="2311" max="2311" width="9.5" style="578" customWidth="1"/>
    <col min="2312" max="2312" width="9.25" style="578" customWidth="1"/>
    <col min="2313" max="2313" width="6.5" style="578" customWidth="1"/>
    <col min="2314" max="2314" width="6.25" style="578" customWidth="1"/>
    <col min="2315" max="2315" width="6.75" style="578" customWidth="1"/>
    <col min="2316" max="2316" width="31.5" style="578" customWidth="1"/>
    <col min="2317" max="2317" width="8.875" style="578" customWidth="1"/>
    <col min="2318" max="2318" width="9.25" style="578" customWidth="1"/>
    <col min="2319" max="2320" width="7.5" style="578" customWidth="1"/>
    <col min="2321" max="2321" width="6.75" style="578" customWidth="1"/>
    <col min="2322" max="2322" width="11.625" style="578" customWidth="1"/>
    <col min="2323" max="2324" width="12.5" style="578" customWidth="1"/>
    <col min="2325" max="2328" width="7.5" style="578" customWidth="1"/>
    <col min="2329" max="2329" width="12.75" style="578" customWidth="1"/>
    <col min="2330" max="2560" width="7.5" style="578" customWidth="1"/>
    <col min="2561" max="2561" width="6.125" style="578" customWidth="1"/>
    <col min="2562" max="2562" width="15.25" style="578" customWidth="1"/>
    <col min="2563" max="2563" width="6.75" style="578" customWidth="1"/>
    <col min="2564" max="2564" width="6.25" style="578" customWidth="1"/>
    <col min="2565" max="2565" width="6.75" style="578" customWidth="1"/>
    <col min="2566" max="2566" width="6.875" style="578" customWidth="1"/>
    <col min="2567" max="2567" width="9.5" style="578" customWidth="1"/>
    <col min="2568" max="2568" width="9.25" style="578" customWidth="1"/>
    <col min="2569" max="2569" width="6.5" style="578" customWidth="1"/>
    <col min="2570" max="2570" width="6.25" style="578" customWidth="1"/>
    <col min="2571" max="2571" width="6.75" style="578" customWidth="1"/>
    <col min="2572" max="2572" width="31.5" style="578" customWidth="1"/>
    <col min="2573" max="2573" width="8.875" style="578" customWidth="1"/>
    <col min="2574" max="2574" width="9.25" style="578" customWidth="1"/>
    <col min="2575" max="2576" width="7.5" style="578" customWidth="1"/>
    <col min="2577" max="2577" width="6.75" style="578" customWidth="1"/>
    <col min="2578" max="2578" width="11.625" style="578" customWidth="1"/>
    <col min="2579" max="2580" width="12.5" style="578" customWidth="1"/>
    <col min="2581" max="2584" width="7.5" style="578" customWidth="1"/>
    <col min="2585" max="2585" width="12.75" style="578" customWidth="1"/>
    <col min="2586" max="2816" width="7.5" style="578" customWidth="1"/>
    <col min="2817" max="2817" width="6.125" style="578" customWidth="1"/>
    <col min="2818" max="2818" width="15.25" style="578" customWidth="1"/>
    <col min="2819" max="2819" width="6.75" style="578" customWidth="1"/>
    <col min="2820" max="2820" width="6.25" style="578" customWidth="1"/>
    <col min="2821" max="2821" width="6.75" style="578" customWidth="1"/>
    <col min="2822" max="2822" width="6.875" style="578" customWidth="1"/>
    <col min="2823" max="2823" width="9.5" style="578" customWidth="1"/>
    <col min="2824" max="2824" width="9.25" style="578" customWidth="1"/>
    <col min="2825" max="2825" width="6.5" style="578" customWidth="1"/>
    <col min="2826" max="2826" width="6.25" style="578" customWidth="1"/>
    <col min="2827" max="2827" width="6.75" style="578" customWidth="1"/>
    <col min="2828" max="2828" width="31.5" style="578" customWidth="1"/>
    <col min="2829" max="2829" width="8.875" style="578" customWidth="1"/>
    <col min="2830" max="2830" width="9.25" style="578" customWidth="1"/>
    <col min="2831" max="2832" width="7.5" style="578" customWidth="1"/>
    <col min="2833" max="2833" width="6.75" style="578" customWidth="1"/>
    <col min="2834" max="2834" width="11.625" style="578" customWidth="1"/>
    <col min="2835" max="2836" width="12.5" style="578" customWidth="1"/>
    <col min="2837" max="2840" width="7.5" style="578" customWidth="1"/>
    <col min="2841" max="2841" width="12.75" style="578" customWidth="1"/>
    <col min="2842" max="3072" width="7.5" style="578" customWidth="1"/>
    <col min="3073" max="3073" width="6.125" style="578" customWidth="1"/>
    <col min="3074" max="3074" width="15.25" style="578" customWidth="1"/>
    <col min="3075" max="3075" width="6.75" style="578" customWidth="1"/>
    <col min="3076" max="3076" width="6.25" style="578" customWidth="1"/>
    <col min="3077" max="3077" width="6.75" style="578" customWidth="1"/>
    <col min="3078" max="3078" width="6.875" style="578" customWidth="1"/>
    <col min="3079" max="3079" width="9.5" style="578" customWidth="1"/>
    <col min="3080" max="3080" width="9.25" style="578" customWidth="1"/>
    <col min="3081" max="3081" width="6.5" style="578" customWidth="1"/>
    <col min="3082" max="3082" width="6.25" style="578" customWidth="1"/>
    <col min="3083" max="3083" width="6.75" style="578" customWidth="1"/>
    <col min="3084" max="3084" width="31.5" style="578" customWidth="1"/>
    <col min="3085" max="3085" width="8.875" style="578" customWidth="1"/>
    <col min="3086" max="3086" width="9.25" style="578" customWidth="1"/>
    <col min="3087" max="3088" width="7.5" style="578" customWidth="1"/>
    <col min="3089" max="3089" width="6.75" style="578" customWidth="1"/>
    <col min="3090" max="3090" width="11.625" style="578" customWidth="1"/>
    <col min="3091" max="3092" width="12.5" style="578" customWidth="1"/>
    <col min="3093" max="3096" width="7.5" style="578" customWidth="1"/>
    <col min="3097" max="3097" width="12.75" style="578" customWidth="1"/>
    <col min="3098" max="3328" width="7.5" style="578" customWidth="1"/>
    <col min="3329" max="3329" width="6.125" style="578" customWidth="1"/>
    <col min="3330" max="3330" width="15.25" style="578" customWidth="1"/>
    <col min="3331" max="3331" width="6.75" style="578" customWidth="1"/>
    <col min="3332" max="3332" width="6.25" style="578" customWidth="1"/>
    <col min="3333" max="3333" width="6.75" style="578" customWidth="1"/>
    <col min="3334" max="3334" width="6.875" style="578" customWidth="1"/>
    <col min="3335" max="3335" width="9.5" style="578" customWidth="1"/>
    <col min="3336" max="3336" width="9.25" style="578" customWidth="1"/>
    <col min="3337" max="3337" width="6.5" style="578" customWidth="1"/>
    <col min="3338" max="3338" width="6.25" style="578" customWidth="1"/>
    <col min="3339" max="3339" width="6.75" style="578" customWidth="1"/>
    <col min="3340" max="3340" width="31.5" style="578" customWidth="1"/>
    <col min="3341" max="3341" width="8.875" style="578" customWidth="1"/>
    <col min="3342" max="3342" width="9.25" style="578" customWidth="1"/>
    <col min="3343" max="3344" width="7.5" style="578" customWidth="1"/>
    <col min="3345" max="3345" width="6.75" style="578" customWidth="1"/>
    <col min="3346" max="3346" width="11.625" style="578" customWidth="1"/>
    <col min="3347" max="3348" width="12.5" style="578" customWidth="1"/>
    <col min="3349" max="3352" width="7.5" style="578" customWidth="1"/>
    <col min="3353" max="3353" width="12.75" style="578" customWidth="1"/>
    <col min="3354" max="3584" width="7.5" style="578" customWidth="1"/>
    <col min="3585" max="3585" width="6.125" style="578" customWidth="1"/>
    <col min="3586" max="3586" width="15.25" style="578" customWidth="1"/>
    <col min="3587" max="3587" width="6.75" style="578" customWidth="1"/>
    <col min="3588" max="3588" width="6.25" style="578" customWidth="1"/>
    <col min="3589" max="3589" width="6.75" style="578" customWidth="1"/>
    <col min="3590" max="3590" width="6.875" style="578" customWidth="1"/>
    <col min="3591" max="3591" width="9.5" style="578" customWidth="1"/>
    <col min="3592" max="3592" width="9.25" style="578" customWidth="1"/>
    <col min="3593" max="3593" width="6.5" style="578" customWidth="1"/>
    <col min="3594" max="3594" width="6.25" style="578" customWidth="1"/>
    <col min="3595" max="3595" width="6.75" style="578" customWidth="1"/>
    <col min="3596" max="3596" width="31.5" style="578" customWidth="1"/>
    <col min="3597" max="3597" width="8.875" style="578" customWidth="1"/>
    <col min="3598" max="3598" width="9.25" style="578" customWidth="1"/>
    <col min="3599" max="3600" width="7.5" style="578" customWidth="1"/>
    <col min="3601" max="3601" width="6.75" style="578" customWidth="1"/>
    <col min="3602" max="3602" width="11.625" style="578" customWidth="1"/>
    <col min="3603" max="3604" width="12.5" style="578" customWidth="1"/>
    <col min="3605" max="3608" width="7.5" style="578" customWidth="1"/>
    <col min="3609" max="3609" width="12.75" style="578" customWidth="1"/>
    <col min="3610" max="3840" width="7.5" style="578" customWidth="1"/>
    <col min="3841" max="3841" width="6.125" style="578" customWidth="1"/>
    <col min="3842" max="3842" width="15.25" style="578" customWidth="1"/>
    <col min="3843" max="3843" width="6.75" style="578" customWidth="1"/>
    <col min="3844" max="3844" width="6.25" style="578" customWidth="1"/>
    <col min="3845" max="3845" width="6.75" style="578" customWidth="1"/>
    <col min="3846" max="3846" width="6.875" style="578" customWidth="1"/>
    <col min="3847" max="3847" width="9.5" style="578" customWidth="1"/>
    <col min="3848" max="3848" width="9.25" style="578" customWidth="1"/>
    <col min="3849" max="3849" width="6.5" style="578" customWidth="1"/>
    <col min="3850" max="3850" width="6.25" style="578" customWidth="1"/>
    <col min="3851" max="3851" width="6.75" style="578" customWidth="1"/>
    <col min="3852" max="3852" width="31.5" style="578" customWidth="1"/>
    <col min="3853" max="3853" width="8.875" style="578" customWidth="1"/>
    <col min="3854" max="3854" width="9.25" style="578" customWidth="1"/>
    <col min="3855" max="3856" width="7.5" style="578" customWidth="1"/>
    <col min="3857" max="3857" width="6.75" style="578" customWidth="1"/>
    <col min="3858" max="3858" width="11.625" style="578" customWidth="1"/>
    <col min="3859" max="3860" width="12.5" style="578" customWidth="1"/>
    <col min="3861" max="3864" width="7.5" style="578" customWidth="1"/>
    <col min="3865" max="3865" width="12.75" style="578" customWidth="1"/>
    <col min="3866" max="4096" width="7.5" style="578" customWidth="1"/>
    <col min="4097" max="4097" width="6.125" style="578" customWidth="1"/>
    <col min="4098" max="4098" width="15.25" style="578" customWidth="1"/>
    <col min="4099" max="4099" width="6.75" style="578" customWidth="1"/>
    <col min="4100" max="4100" width="6.25" style="578" customWidth="1"/>
    <col min="4101" max="4101" width="6.75" style="578" customWidth="1"/>
    <col min="4102" max="4102" width="6.875" style="578" customWidth="1"/>
    <col min="4103" max="4103" width="9.5" style="578" customWidth="1"/>
    <col min="4104" max="4104" width="9.25" style="578" customWidth="1"/>
    <col min="4105" max="4105" width="6.5" style="578" customWidth="1"/>
    <col min="4106" max="4106" width="6.25" style="578" customWidth="1"/>
    <col min="4107" max="4107" width="6.75" style="578" customWidth="1"/>
    <col min="4108" max="4108" width="31.5" style="578" customWidth="1"/>
    <col min="4109" max="4109" width="8.875" style="578" customWidth="1"/>
    <col min="4110" max="4110" width="9.25" style="578" customWidth="1"/>
    <col min="4111" max="4112" width="7.5" style="578" customWidth="1"/>
    <col min="4113" max="4113" width="6.75" style="578" customWidth="1"/>
    <col min="4114" max="4114" width="11.625" style="578" customWidth="1"/>
    <col min="4115" max="4116" width="12.5" style="578" customWidth="1"/>
    <col min="4117" max="4120" width="7.5" style="578" customWidth="1"/>
    <col min="4121" max="4121" width="12.75" style="578" customWidth="1"/>
    <col min="4122" max="4352" width="7.5" style="578" customWidth="1"/>
    <col min="4353" max="4353" width="6.125" style="578" customWidth="1"/>
    <col min="4354" max="4354" width="15.25" style="578" customWidth="1"/>
    <col min="4355" max="4355" width="6.75" style="578" customWidth="1"/>
    <col min="4356" max="4356" width="6.25" style="578" customWidth="1"/>
    <col min="4357" max="4357" width="6.75" style="578" customWidth="1"/>
    <col min="4358" max="4358" width="6.875" style="578" customWidth="1"/>
    <col min="4359" max="4359" width="9.5" style="578" customWidth="1"/>
    <col min="4360" max="4360" width="9.25" style="578" customWidth="1"/>
    <col min="4361" max="4361" width="6.5" style="578" customWidth="1"/>
    <col min="4362" max="4362" width="6.25" style="578" customWidth="1"/>
    <col min="4363" max="4363" width="6.75" style="578" customWidth="1"/>
    <col min="4364" max="4364" width="31.5" style="578" customWidth="1"/>
    <col min="4365" max="4365" width="8.875" style="578" customWidth="1"/>
    <col min="4366" max="4366" width="9.25" style="578" customWidth="1"/>
    <col min="4367" max="4368" width="7.5" style="578" customWidth="1"/>
    <col min="4369" max="4369" width="6.75" style="578" customWidth="1"/>
    <col min="4370" max="4370" width="11.625" style="578" customWidth="1"/>
    <col min="4371" max="4372" width="12.5" style="578" customWidth="1"/>
    <col min="4373" max="4376" width="7.5" style="578" customWidth="1"/>
    <col min="4377" max="4377" width="12.75" style="578" customWidth="1"/>
    <col min="4378" max="4608" width="7.5" style="578" customWidth="1"/>
    <col min="4609" max="4609" width="6.125" style="578" customWidth="1"/>
    <col min="4610" max="4610" width="15.25" style="578" customWidth="1"/>
    <col min="4611" max="4611" width="6.75" style="578" customWidth="1"/>
    <col min="4612" max="4612" width="6.25" style="578" customWidth="1"/>
    <col min="4613" max="4613" width="6.75" style="578" customWidth="1"/>
    <col min="4614" max="4614" width="6.875" style="578" customWidth="1"/>
    <col min="4615" max="4615" width="9.5" style="578" customWidth="1"/>
    <col min="4616" max="4616" width="9.25" style="578" customWidth="1"/>
    <col min="4617" max="4617" width="6.5" style="578" customWidth="1"/>
    <col min="4618" max="4618" width="6.25" style="578" customWidth="1"/>
    <col min="4619" max="4619" width="6.75" style="578" customWidth="1"/>
    <col min="4620" max="4620" width="31.5" style="578" customWidth="1"/>
    <col min="4621" max="4621" width="8.875" style="578" customWidth="1"/>
    <col min="4622" max="4622" width="9.25" style="578" customWidth="1"/>
    <col min="4623" max="4624" width="7.5" style="578" customWidth="1"/>
    <col min="4625" max="4625" width="6.75" style="578" customWidth="1"/>
    <col min="4626" max="4626" width="11.625" style="578" customWidth="1"/>
    <col min="4627" max="4628" width="12.5" style="578" customWidth="1"/>
    <col min="4629" max="4632" width="7.5" style="578" customWidth="1"/>
    <col min="4633" max="4633" width="12.75" style="578" customWidth="1"/>
    <col min="4634" max="4864" width="7.5" style="578" customWidth="1"/>
    <col min="4865" max="4865" width="6.125" style="578" customWidth="1"/>
    <col min="4866" max="4866" width="15.25" style="578" customWidth="1"/>
    <col min="4867" max="4867" width="6.75" style="578" customWidth="1"/>
    <col min="4868" max="4868" width="6.25" style="578" customWidth="1"/>
    <col min="4869" max="4869" width="6.75" style="578" customWidth="1"/>
    <col min="4870" max="4870" width="6.875" style="578" customWidth="1"/>
    <col min="4871" max="4871" width="9.5" style="578" customWidth="1"/>
    <col min="4872" max="4872" width="9.25" style="578" customWidth="1"/>
    <col min="4873" max="4873" width="6.5" style="578" customWidth="1"/>
    <col min="4874" max="4874" width="6.25" style="578" customWidth="1"/>
    <col min="4875" max="4875" width="6.75" style="578" customWidth="1"/>
    <col min="4876" max="4876" width="31.5" style="578" customWidth="1"/>
    <col min="4877" max="4877" width="8.875" style="578" customWidth="1"/>
    <col min="4878" max="4878" width="9.25" style="578" customWidth="1"/>
    <col min="4879" max="4880" width="7.5" style="578" customWidth="1"/>
    <col min="4881" max="4881" width="6.75" style="578" customWidth="1"/>
    <col min="4882" max="4882" width="11.625" style="578" customWidth="1"/>
    <col min="4883" max="4884" width="12.5" style="578" customWidth="1"/>
    <col min="4885" max="4888" width="7.5" style="578" customWidth="1"/>
    <col min="4889" max="4889" width="12.75" style="578" customWidth="1"/>
    <col min="4890" max="5120" width="7.5" style="578" customWidth="1"/>
    <col min="5121" max="5121" width="6.125" style="578" customWidth="1"/>
    <col min="5122" max="5122" width="15.25" style="578" customWidth="1"/>
    <col min="5123" max="5123" width="6.75" style="578" customWidth="1"/>
    <col min="5124" max="5124" width="6.25" style="578" customWidth="1"/>
    <col min="5125" max="5125" width="6.75" style="578" customWidth="1"/>
    <col min="5126" max="5126" width="6.875" style="578" customWidth="1"/>
    <col min="5127" max="5127" width="9.5" style="578" customWidth="1"/>
    <col min="5128" max="5128" width="9.25" style="578" customWidth="1"/>
    <col min="5129" max="5129" width="6.5" style="578" customWidth="1"/>
    <col min="5130" max="5130" width="6.25" style="578" customWidth="1"/>
    <col min="5131" max="5131" width="6.75" style="578" customWidth="1"/>
    <col min="5132" max="5132" width="31.5" style="578" customWidth="1"/>
    <col min="5133" max="5133" width="8.875" style="578" customWidth="1"/>
    <col min="5134" max="5134" width="9.25" style="578" customWidth="1"/>
    <col min="5135" max="5136" width="7.5" style="578" customWidth="1"/>
    <col min="5137" max="5137" width="6.75" style="578" customWidth="1"/>
    <col min="5138" max="5138" width="11.625" style="578" customWidth="1"/>
    <col min="5139" max="5140" width="12.5" style="578" customWidth="1"/>
    <col min="5141" max="5144" width="7.5" style="578" customWidth="1"/>
    <col min="5145" max="5145" width="12.75" style="578" customWidth="1"/>
    <col min="5146" max="5376" width="7.5" style="578" customWidth="1"/>
    <col min="5377" max="5377" width="6.125" style="578" customWidth="1"/>
    <col min="5378" max="5378" width="15.25" style="578" customWidth="1"/>
    <col min="5379" max="5379" width="6.75" style="578" customWidth="1"/>
    <col min="5380" max="5380" width="6.25" style="578" customWidth="1"/>
    <col min="5381" max="5381" width="6.75" style="578" customWidth="1"/>
    <col min="5382" max="5382" width="6.875" style="578" customWidth="1"/>
    <col min="5383" max="5383" width="9.5" style="578" customWidth="1"/>
    <col min="5384" max="5384" width="9.25" style="578" customWidth="1"/>
    <col min="5385" max="5385" width="6.5" style="578" customWidth="1"/>
    <col min="5386" max="5386" width="6.25" style="578" customWidth="1"/>
    <col min="5387" max="5387" width="6.75" style="578" customWidth="1"/>
    <col min="5388" max="5388" width="31.5" style="578" customWidth="1"/>
    <col min="5389" max="5389" width="8.875" style="578" customWidth="1"/>
    <col min="5390" max="5390" width="9.25" style="578" customWidth="1"/>
    <col min="5391" max="5392" width="7.5" style="578" customWidth="1"/>
    <col min="5393" max="5393" width="6.75" style="578" customWidth="1"/>
    <col min="5394" max="5394" width="11.625" style="578" customWidth="1"/>
    <col min="5395" max="5396" width="12.5" style="578" customWidth="1"/>
    <col min="5397" max="5400" width="7.5" style="578" customWidth="1"/>
    <col min="5401" max="5401" width="12.75" style="578" customWidth="1"/>
    <col min="5402" max="5632" width="7.5" style="578" customWidth="1"/>
    <col min="5633" max="5633" width="6.125" style="578" customWidth="1"/>
    <col min="5634" max="5634" width="15.25" style="578" customWidth="1"/>
    <col min="5635" max="5635" width="6.75" style="578" customWidth="1"/>
    <col min="5636" max="5636" width="6.25" style="578" customWidth="1"/>
    <col min="5637" max="5637" width="6.75" style="578" customWidth="1"/>
    <col min="5638" max="5638" width="6.875" style="578" customWidth="1"/>
    <col min="5639" max="5639" width="9.5" style="578" customWidth="1"/>
    <col min="5640" max="5640" width="9.25" style="578" customWidth="1"/>
    <col min="5641" max="5641" width="6.5" style="578" customWidth="1"/>
    <col min="5642" max="5642" width="6.25" style="578" customWidth="1"/>
    <col min="5643" max="5643" width="6.75" style="578" customWidth="1"/>
    <col min="5644" max="5644" width="31.5" style="578" customWidth="1"/>
    <col min="5645" max="5645" width="8.875" style="578" customWidth="1"/>
    <col min="5646" max="5646" width="9.25" style="578" customWidth="1"/>
    <col min="5647" max="5648" width="7.5" style="578" customWidth="1"/>
    <col min="5649" max="5649" width="6.75" style="578" customWidth="1"/>
    <col min="5650" max="5650" width="11.625" style="578" customWidth="1"/>
    <col min="5651" max="5652" width="12.5" style="578" customWidth="1"/>
    <col min="5653" max="5656" width="7.5" style="578" customWidth="1"/>
    <col min="5657" max="5657" width="12.75" style="578" customWidth="1"/>
    <col min="5658" max="5888" width="7.5" style="578" customWidth="1"/>
    <col min="5889" max="5889" width="6.125" style="578" customWidth="1"/>
    <col min="5890" max="5890" width="15.25" style="578" customWidth="1"/>
    <col min="5891" max="5891" width="6.75" style="578" customWidth="1"/>
    <col min="5892" max="5892" width="6.25" style="578" customWidth="1"/>
    <col min="5893" max="5893" width="6.75" style="578" customWidth="1"/>
    <col min="5894" max="5894" width="6.875" style="578" customWidth="1"/>
    <col min="5895" max="5895" width="9.5" style="578" customWidth="1"/>
    <col min="5896" max="5896" width="9.25" style="578" customWidth="1"/>
    <col min="5897" max="5897" width="6.5" style="578" customWidth="1"/>
    <col min="5898" max="5898" width="6.25" style="578" customWidth="1"/>
    <col min="5899" max="5899" width="6.75" style="578" customWidth="1"/>
    <col min="5900" max="5900" width="31.5" style="578" customWidth="1"/>
    <col min="5901" max="5901" width="8.875" style="578" customWidth="1"/>
    <col min="5902" max="5902" width="9.25" style="578" customWidth="1"/>
    <col min="5903" max="5904" width="7.5" style="578" customWidth="1"/>
    <col min="5905" max="5905" width="6.75" style="578" customWidth="1"/>
    <col min="5906" max="5906" width="11.625" style="578" customWidth="1"/>
    <col min="5907" max="5908" width="12.5" style="578" customWidth="1"/>
    <col min="5909" max="5912" width="7.5" style="578" customWidth="1"/>
    <col min="5913" max="5913" width="12.75" style="578" customWidth="1"/>
    <col min="5914" max="6144" width="7.5" style="578" customWidth="1"/>
    <col min="6145" max="6145" width="6.125" style="578" customWidth="1"/>
    <col min="6146" max="6146" width="15.25" style="578" customWidth="1"/>
    <col min="6147" max="6147" width="6.75" style="578" customWidth="1"/>
    <col min="6148" max="6148" width="6.25" style="578" customWidth="1"/>
    <col min="6149" max="6149" width="6.75" style="578" customWidth="1"/>
    <col min="6150" max="6150" width="6.875" style="578" customWidth="1"/>
    <col min="6151" max="6151" width="9.5" style="578" customWidth="1"/>
    <col min="6152" max="6152" width="9.25" style="578" customWidth="1"/>
    <col min="6153" max="6153" width="6.5" style="578" customWidth="1"/>
    <col min="6154" max="6154" width="6.25" style="578" customWidth="1"/>
    <col min="6155" max="6155" width="6.75" style="578" customWidth="1"/>
    <col min="6156" max="6156" width="31.5" style="578" customWidth="1"/>
    <col min="6157" max="6157" width="8.875" style="578" customWidth="1"/>
    <col min="6158" max="6158" width="9.25" style="578" customWidth="1"/>
    <col min="6159" max="6160" width="7.5" style="578" customWidth="1"/>
    <col min="6161" max="6161" width="6.75" style="578" customWidth="1"/>
    <col min="6162" max="6162" width="11.625" style="578" customWidth="1"/>
    <col min="6163" max="6164" width="12.5" style="578" customWidth="1"/>
    <col min="6165" max="6168" width="7.5" style="578" customWidth="1"/>
    <col min="6169" max="6169" width="12.75" style="578" customWidth="1"/>
    <col min="6170" max="6400" width="7.5" style="578" customWidth="1"/>
    <col min="6401" max="6401" width="6.125" style="578" customWidth="1"/>
    <col min="6402" max="6402" width="15.25" style="578" customWidth="1"/>
    <col min="6403" max="6403" width="6.75" style="578" customWidth="1"/>
    <col min="6404" max="6404" width="6.25" style="578" customWidth="1"/>
    <col min="6405" max="6405" width="6.75" style="578" customWidth="1"/>
    <col min="6406" max="6406" width="6.875" style="578" customWidth="1"/>
    <col min="6407" max="6407" width="9.5" style="578" customWidth="1"/>
    <col min="6408" max="6408" width="9.25" style="578" customWidth="1"/>
    <col min="6409" max="6409" width="6.5" style="578" customWidth="1"/>
    <col min="6410" max="6410" width="6.25" style="578" customWidth="1"/>
    <col min="6411" max="6411" width="6.75" style="578" customWidth="1"/>
    <col min="6412" max="6412" width="31.5" style="578" customWidth="1"/>
    <col min="6413" max="6413" width="8.875" style="578" customWidth="1"/>
    <col min="6414" max="6414" width="9.25" style="578" customWidth="1"/>
    <col min="6415" max="6416" width="7.5" style="578" customWidth="1"/>
    <col min="6417" max="6417" width="6.75" style="578" customWidth="1"/>
    <col min="6418" max="6418" width="11.625" style="578" customWidth="1"/>
    <col min="6419" max="6420" width="12.5" style="578" customWidth="1"/>
    <col min="6421" max="6424" width="7.5" style="578" customWidth="1"/>
    <col min="6425" max="6425" width="12.75" style="578" customWidth="1"/>
    <col min="6426" max="6656" width="7.5" style="578" customWidth="1"/>
    <col min="6657" max="6657" width="6.125" style="578" customWidth="1"/>
    <col min="6658" max="6658" width="15.25" style="578" customWidth="1"/>
    <col min="6659" max="6659" width="6.75" style="578" customWidth="1"/>
    <col min="6660" max="6660" width="6.25" style="578" customWidth="1"/>
    <col min="6661" max="6661" width="6.75" style="578" customWidth="1"/>
    <col min="6662" max="6662" width="6.875" style="578" customWidth="1"/>
    <col min="6663" max="6663" width="9.5" style="578" customWidth="1"/>
    <col min="6664" max="6664" width="9.25" style="578" customWidth="1"/>
    <col min="6665" max="6665" width="6.5" style="578" customWidth="1"/>
    <col min="6666" max="6666" width="6.25" style="578" customWidth="1"/>
    <col min="6667" max="6667" width="6.75" style="578" customWidth="1"/>
    <col min="6668" max="6668" width="31.5" style="578" customWidth="1"/>
    <col min="6669" max="6669" width="8.875" style="578" customWidth="1"/>
    <col min="6670" max="6670" width="9.25" style="578" customWidth="1"/>
    <col min="6671" max="6672" width="7.5" style="578" customWidth="1"/>
    <col min="6673" max="6673" width="6.75" style="578" customWidth="1"/>
    <col min="6674" max="6674" width="11.625" style="578" customWidth="1"/>
    <col min="6675" max="6676" width="12.5" style="578" customWidth="1"/>
    <col min="6677" max="6680" width="7.5" style="578" customWidth="1"/>
    <col min="6681" max="6681" width="12.75" style="578" customWidth="1"/>
    <col min="6682" max="6912" width="7.5" style="578" customWidth="1"/>
    <col min="6913" max="6913" width="6.125" style="578" customWidth="1"/>
    <col min="6914" max="6914" width="15.25" style="578" customWidth="1"/>
    <col min="6915" max="6915" width="6.75" style="578" customWidth="1"/>
    <col min="6916" max="6916" width="6.25" style="578" customWidth="1"/>
    <col min="6917" max="6917" width="6.75" style="578" customWidth="1"/>
    <col min="6918" max="6918" width="6.875" style="578" customWidth="1"/>
    <col min="6919" max="6919" width="9.5" style="578" customWidth="1"/>
    <col min="6920" max="6920" width="9.25" style="578" customWidth="1"/>
    <col min="6921" max="6921" width="6.5" style="578" customWidth="1"/>
    <col min="6922" max="6922" width="6.25" style="578" customWidth="1"/>
    <col min="6923" max="6923" width="6.75" style="578" customWidth="1"/>
    <col min="6924" max="6924" width="31.5" style="578" customWidth="1"/>
    <col min="6925" max="6925" width="8.875" style="578" customWidth="1"/>
    <col min="6926" max="6926" width="9.25" style="578" customWidth="1"/>
    <col min="6927" max="6928" width="7.5" style="578" customWidth="1"/>
    <col min="6929" max="6929" width="6.75" style="578" customWidth="1"/>
    <col min="6930" max="6930" width="11.625" style="578" customWidth="1"/>
    <col min="6931" max="6932" width="12.5" style="578" customWidth="1"/>
    <col min="6933" max="6936" width="7.5" style="578" customWidth="1"/>
    <col min="6937" max="6937" width="12.75" style="578" customWidth="1"/>
    <col min="6938" max="7168" width="7.5" style="578" customWidth="1"/>
    <col min="7169" max="7169" width="6.125" style="578" customWidth="1"/>
    <col min="7170" max="7170" width="15.25" style="578" customWidth="1"/>
    <col min="7171" max="7171" width="6.75" style="578" customWidth="1"/>
    <col min="7172" max="7172" width="6.25" style="578" customWidth="1"/>
    <col min="7173" max="7173" width="6.75" style="578" customWidth="1"/>
    <col min="7174" max="7174" width="6.875" style="578" customWidth="1"/>
    <col min="7175" max="7175" width="9.5" style="578" customWidth="1"/>
    <col min="7176" max="7176" width="9.25" style="578" customWidth="1"/>
    <col min="7177" max="7177" width="6.5" style="578" customWidth="1"/>
    <col min="7178" max="7178" width="6.25" style="578" customWidth="1"/>
    <col min="7179" max="7179" width="6.75" style="578" customWidth="1"/>
    <col min="7180" max="7180" width="31.5" style="578" customWidth="1"/>
    <col min="7181" max="7181" width="8.875" style="578" customWidth="1"/>
    <col min="7182" max="7182" width="9.25" style="578" customWidth="1"/>
    <col min="7183" max="7184" width="7.5" style="578" customWidth="1"/>
    <col min="7185" max="7185" width="6.75" style="578" customWidth="1"/>
    <col min="7186" max="7186" width="11.625" style="578" customWidth="1"/>
    <col min="7187" max="7188" width="12.5" style="578" customWidth="1"/>
    <col min="7189" max="7192" width="7.5" style="578" customWidth="1"/>
    <col min="7193" max="7193" width="12.75" style="578" customWidth="1"/>
    <col min="7194" max="7424" width="7.5" style="578" customWidth="1"/>
    <col min="7425" max="7425" width="6.125" style="578" customWidth="1"/>
    <col min="7426" max="7426" width="15.25" style="578" customWidth="1"/>
    <col min="7427" max="7427" width="6.75" style="578" customWidth="1"/>
    <col min="7428" max="7428" width="6.25" style="578" customWidth="1"/>
    <col min="7429" max="7429" width="6.75" style="578" customWidth="1"/>
    <col min="7430" max="7430" width="6.875" style="578" customWidth="1"/>
    <col min="7431" max="7431" width="9.5" style="578" customWidth="1"/>
    <col min="7432" max="7432" width="9.25" style="578" customWidth="1"/>
    <col min="7433" max="7433" width="6.5" style="578" customWidth="1"/>
    <col min="7434" max="7434" width="6.25" style="578" customWidth="1"/>
    <col min="7435" max="7435" width="6.75" style="578" customWidth="1"/>
    <col min="7436" max="7436" width="31.5" style="578" customWidth="1"/>
    <col min="7437" max="7437" width="8.875" style="578" customWidth="1"/>
    <col min="7438" max="7438" width="9.25" style="578" customWidth="1"/>
    <col min="7439" max="7440" width="7.5" style="578" customWidth="1"/>
    <col min="7441" max="7441" width="6.75" style="578" customWidth="1"/>
    <col min="7442" max="7442" width="11.625" style="578" customWidth="1"/>
    <col min="7443" max="7444" width="12.5" style="578" customWidth="1"/>
    <col min="7445" max="7448" width="7.5" style="578" customWidth="1"/>
    <col min="7449" max="7449" width="12.75" style="578" customWidth="1"/>
    <col min="7450" max="7680" width="7.5" style="578" customWidth="1"/>
    <col min="7681" max="7681" width="6.125" style="578" customWidth="1"/>
    <col min="7682" max="7682" width="15.25" style="578" customWidth="1"/>
    <col min="7683" max="7683" width="6.75" style="578" customWidth="1"/>
    <col min="7684" max="7684" width="6.25" style="578" customWidth="1"/>
    <col min="7685" max="7685" width="6.75" style="578" customWidth="1"/>
    <col min="7686" max="7686" width="6.875" style="578" customWidth="1"/>
    <col min="7687" max="7687" width="9.5" style="578" customWidth="1"/>
    <col min="7688" max="7688" width="9.25" style="578" customWidth="1"/>
    <col min="7689" max="7689" width="6.5" style="578" customWidth="1"/>
    <col min="7690" max="7690" width="6.25" style="578" customWidth="1"/>
    <col min="7691" max="7691" width="6.75" style="578" customWidth="1"/>
    <col min="7692" max="7692" width="31.5" style="578" customWidth="1"/>
    <col min="7693" max="7693" width="8.875" style="578" customWidth="1"/>
    <col min="7694" max="7694" width="9.25" style="578" customWidth="1"/>
    <col min="7695" max="7696" width="7.5" style="578" customWidth="1"/>
    <col min="7697" max="7697" width="6.75" style="578" customWidth="1"/>
    <col min="7698" max="7698" width="11.625" style="578" customWidth="1"/>
    <col min="7699" max="7700" width="12.5" style="578" customWidth="1"/>
    <col min="7701" max="7704" width="7.5" style="578" customWidth="1"/>
    <col min="7705" max="7705" width="12.75" style="578" customWidth="1"/>
    <col min="7706" max="7936" width="7.5" style="578" customWidth="1"/>
    <col min="7937" max="7937" width="6.125" style="578" customWidth="1"/>
    <col min="7938" max="7938" width="15.25" style="578" customWidth="1"/>
    <col min="7939" max="7939" width="6.75" style="578" customWidth="1"/>
    <col min="7940" max="7940" width="6.25" style="578" customWidth="1"/>
    <col min="7941" max="7941" width="6.75" style="578" customWidth="1"/>
    <col min="7942" max="7942" width="6.875" style="578" customWidth="1"/>
    <col min="7943" max="7943" width="9.5" style="578" customWidth="1"/>
    <col min="7944" max="7944" width="9.25" style="578" customWidth="1"/>
    <col min="7945" max="7945" width="6.5" style="578" customWidth="1"/>
    <col min="7946" max="7946" width="6.25" style="578" customWidth="1"/>
    <col min="7947" max="7947" width="6.75" style="578" customWidth="1"/>
    <col min="7948" max="7948" width="31.5" style="578" customWidth="1"/>
    <col min="7949" max="7949" width="8.875" style="578" customWidth="1"/>
    <col min="7950" max="7950" width="9.25" style="578" customWidth="1"/>
    <col min="7951" max="7952" width="7.5" style="578" customWidth="1"/>
    <col min="7953" max="7953" width="6.75" style="578" customWidth="1"/>
    <col min="7954" max="7954" width="11.625" style="578" customWidth="1"/>
    <col min="7955" max="7956" width="12.5" style="578" customWidth="1"/>
    <col min="7957" max="7960" width="7.5" style="578" customWidth="1"/>
    <col min="7961" max="7961" width="12.75" style="578" customWidth="1"/>
    <col min="7962" max="8192" width="7.5" style="578" customWidth="1"/>
    <col min="8193" max="8193" width="6.125" style="578" customWidth="1"/>
    <col min="8194" max="8194" width="15.25" style="578" customWidth="1"/>
    <col min="8195" max="8195" width="6.75" style="578" customWidth="1"/>
    <col min="8196" max="8196" width="6.25" style="578" customWidth="1"/>
    <col min="8197" max="8197" width="6.75" style="578" customWidth="1"/>
    <col min="8198" max="8198" width="6.875" style="578" customWidth="1"/>
    <col min="8199" max="8199" width="9.5" style="578" customWidth="1"/>
    <col min="8200" max="8200" width="9.25" style="578" customWidth="1"/>
    <col min="8201" max="8201" width="6.5" style="578" customWidth="1"/>
    <col min="8202" max="8202" width="6.25" style="578" customWidth="1"/>
    <col min="8203" max="8203" width="6.75" style="578" customWidth="1"/>
    <col min="8204" max="8204" width="31.5" style="578" customWidth="1"/>
    <col min="8205" max="8205" width="8.875" style="578" customWidth="1"/>
    <col min="8206" max="8206" width="9.25" style="578" customWidth="1"/>
    <col min="8207" max="8208" width="7.5" style="578" customWidth="1"/>
    <col min="8209" max="8209" width="6.75" style="578" customWidth="1"/>
    <col min="8210" max="8210" width="11.625" style="578" customWidth="1"/>
    <col min="8211" max="8212" width="12.5" style="578" customWidth="1"/>
    <col min="8213" max="8216" width="7.5" style="578" customWidth="1"/>
    <col min="8217" max="8217" width="12.75" style="578" customWidth="1"/>
    <col min="8218" max="8448" width="7.5" style="578" customWidth="1"/>
    <col min="8449" max="8449" width="6.125" style="578" customWidth="1"/>
    <col min="8450" max="8450" width="15.25" style="578" customWidth="1"/>
    <col min="8451" max="8451" width="6.75" style="578" customWidth="1"/>
    <col min="8452" max="8452" width="6.25" style="578" customWidth="1"/>
    <col min="8453" max="8453" width="6.75" style="578" customWidth="1"/>
    <col min="8454" max="8454" width="6.875" style="578" customWidth="1"/>
    <col min="8455" max="8455" width="9.5" style="578" customWidth="1"/>
    <col min="8456" max="8456" width="9.25" style="578" customWidth="1"/>
    <col min="8457" max="8457" width="6.5" style="578" customWidth="1"/>
    <col min="8458" max="8458" width="6.25" style="578" customWidth="1"/>
    <col min="8459" max="8459" width="6.75" style="578" customWidth="1"/>
    <col min="8460" max="8460" width="31.5" style="578" customWidth="1"/>
    <col min="8461" max="8461" width="8.875" style="578" customWidth="1"/>
    <col min="8462" max="8462" width="9.25" style="578" customWidth="1"/>
    <col min="8463" max="8464" width="7.5" style="578" customWidth="1"/>
    <col min="8465" max="8465" width="6.75" style="578" customWidth="1"/>
    <col min="8466" max="8466" width="11.625" style="578" customWidth="1"/>
    <col min="8467" max="8468" width="12.5" style="578" customWidth="1"/>
    <col min="8469" max="8472" width="7.5" style="578" customWidth="1"/>
    <col min="8473" max="8473" width="12.75" style="578" customWidth="1"/>
    <col min="8474" max="8704" width="7.5" style="578" customWidth="1"/>
    <col min="8705" max="8705" width="6.125" style="578" customWidth="1"/>
    <col min="8706" max="8706" width="15.25" style="578" customWidth="1"/>
    <col min="8707" max="8707" width="6.75" style="578" customWidth="1"/>
    <col min="8708" max="8708" width="6.25" style="578" customWidth="1"/>
    <col min="8709" max="8709" width="6.75" style="578" customWidth="1"/>
    <col min="8710" max="8710" width="6.875" style="578" customWidth="1"/>
    <col min="8711" max="8711" width="9.5" style="578" customWidth="1"/>
    <col min="8712" max="8712" width="9.25" style="578" customWidth="1"/>
    <col min="8713" max="8713" width="6.5" style="578" customWidth="1"/>
    <col min="8714" max="8714" width="6.25" style="578" customWidth="1"/>
    <col min="8715" max="8715" width="6.75" style="578" customWidth="1"/>
    <col min="8716" max="8716" width="31.5" style="578" customWidth="1"/>
    <col min="8717" max="8717" width="8.875" style="578" customWidth="1"/>
    <col min="8718" max="8718" width="9.25" style="578" customWidth="1"/>
    <col min="8719" max="8720" width="7.5" style="578" customWidth="1"/>
    <col min="8721" max="8721" width="6.75" style="578" customWidth="1"/>
    <col min="8722" max="8722" width="11.625" style="578" customWidth="1"/>
    <col min="8723" max="8724" width="12.5" style="578" customWidth="1"/>
    <col min="8725" max="8728" width="7.5" style="578" customWidth="1"/>
    <col min="8729" max="8729" width="12.75" style="578" customWidth="1"/>
    <col min="8730" max="8960" width="7.5" style="578" customWidth="1"/>
    <col min="8961" max="8961" width="6.125" style="578" customWidth="1"/>
    <col min="8962" max="8962" width="15.25" style="578" customWidth="1"/>
    <col min="8963" max="8963" width="6.75" style="578" customWidth="1"/>
    <col min="8964" max="8964" width="6.25" style="578" customWidth="1"/>
    <col min="8965" max="8965" width="6.75" style="578" customWidth="1"/>
    <col min="8966" max="8966" width="6.875" style="578" customWidth="1"/>
    <col min="8967" max="8967" width="9.5" style="578" customWidth="1"/>
    <col min="8968" max="8968" width="9.25" style="578" customWidth="1"/>
    <col min="8969" max="8969" width="6.5" style="578" customWidth="1"/>
    <col min="8970" max="8970" width="6.25" style="578" customWidth="1"/>
    <col min="8971" max="8971" width="6.75" style="578" customWidth="1"/>
    <col min="8972" max="8972" width="31.5" style="578" customWidth="1"/>
    <col min="8973" max="8973" width="8.875" style="578" customWidth="1"/>
    <col min="8974" max="8974" width="9.25" style="578" customWidth="1"/>
    <col min="8975" max="8976" width="7.5" style="578" customWidth="1"/>
    <col min="8977" max="8977" width="6.75" style="578" customWidth="1"/>
    <col min="8978" max="8978" width="11.625" style="578" customWidth="1"/>
    <col min="8979" max="8980" width="12.5" style="578" customWidth="1"/>
    <col min="8981" max="8984" width="7.5" style="578" customWidth="1"/>
    <col min="8985" max="8985" width="12.75" style="578" customWidth="1"/>
    <col min="8986" max="9216" width="7.5" style="578" customWidth="1"/>
    <col min="9217" max="9217" width="6.125" style="578" customWidth="1"/>
    <col min="9218" max="9218" width="15.25" style="578" customWidth="1"/>
    <col min="9219" max="9219" width="6.75" style="578" customWidth="1"/>
    <col min="9220" max="9220" width="6.25" style="578" customWidth="1"/>
    <col min="9221" max="9221" width="6.75" style="578" customWidth="1"/>
    <col min="9222" max="9222" width="6.875" style="578" customWidth="1"/>
    <col min="9223" max="9223" width="9.5" style="578" customWidth="1"/>
    <col min="9224" max="9224" width="9.25" style="578" customWidth="1"/>
    <col min="9225" max="9225" width="6.5" style="578" customWidth="1"/>
    <col min="9226" max="9226" width="6.25" style="578" customWidth="1"/>
    <col min="9227" max="9227" width="6.75" style="578" customWidth="1"/>
    <col min="9228" max="9228" width="31.5" style="578" customWidth="1"/>
    <col min="9229" max="9229" width="8.875" style="578" customWidth="1"/>
    <col min="9230" max="9230" width="9.25" style="578" customWidth="1"/>
    <col min="9231" max="9232" width="7.5" style="578" customWidth="1"/>
    <col min="9233" max="9233" width="6.75" style="578" customWidth="1"/>
    <col min="9234" max="9234" width="11.625" style="578" customWidth="1"/>
    <col min="9235" max="9236" width="12.5" style="578" customWidth="1"/>
    <col min="9237" max="9240" width="7.5" style="578" customWidth="1"/>
    <col min="9241" max="9241" width="12.75" style="578" customWidth="1"/>
    <col min="9242" max="9472" width="7.5" style="578" customWidth="1"/>
    <col min="9473" max="9473" width="6.125" style="578" customWidth="1"/>
    <col min="9474" max="9474" width="15.25" style="578" customWidth="1"/>
    <col min="9475" max="9475" width="6.75" style="578" customWidth="1"/>
    <col min="9476" max="9476" width="6.25" style="578" customWidth="1"/>
    <col min="9477" max="9477" width="6.75" style="578" customWidth="1"/>
    <col min="9478" max="9478" width="6.875" style="578" customWidth="1"/>
    <col min="9479" max="9479" width="9.5" style="578" customWidth="1"/>
    <col min="9480" max="9480" width="9.25" style="578" customWidth="1"/>
    <col min="9481" max="9481" width="6.5" style="578" customWidth="1"/>
    <col min="9482" max="9482" width="6.25" style="578" customWidth="1"/>
    <col min="9483" max="9483" width="6.75" style="578" customWidth="1"/>
    <col min="9484" max="9484" width="31.5" style="578" customWidth="1"/>
    <col min="9485" max="9485" width="8.875" style="578" customWidth="1"/>
    <col min="9486" max="9486" width="9.25" style="578" customWidth="1"/>
    <col min="9487" max="9488" width="7.5" style="578" customWidth="1"/>
    <col min="9489" max="9489" width="6.75" style="578" customWidth="1"/>
    <col min="9490" max="9490" width="11.625" style="578" customWidth="1"/>
    <col min="9491" max="9492" width="12.5" style="578" customWidth="1"/>
    <col min="9493" max="9496" width="7.5" style="578" customWidth="1"/>
    <col min="9497" max="9497" width="12.75" style="578" customWidth="1"/>
    <col min="9498" max="9728" width="7.5" style="578" customWidth="1"/>
    <col min="9729" max="9729" width="6.125" style="578" customWidth="1"/>
    <col min="9730" max="9730" width="15.25" style="578" customWidth="1"/>
    <col min="9731" max="9731" width="6.75" style="578" customWidth="1"/>
    <col min="9732" max="9732" width="6.25" style="578" customWidth="1"/>
    <col min="9733" max="9733" width="6.75" style="578" customWidth="1"/>
    <col min="9734" max="9734" width="6.875" style="578" customWidth="1"/>
    <col min="9735" max="9735" width="9.5" style="578" customWidth="1"/>
    <col min="9736" max="9736" width="9.25" style="578" customWidth="1"/>
    <col min="9737" max="9737" width="6.5" style="578" customWidth="1"/>
    <col min="9738" max="9738" width="6.25" style="578" customWidth="1"/>
    <col min="9739" max="9739" width="6.75" style="578" customWidth="1"/>
    <col min="9740" max="9740" width="31.5" style="578" customWidth="1"/>
    <col min="9741" max="9741" width="8.875" style="578" customWidth="1"/>
    <col min="9742" max="9742" width="9.25" style="578" customWidth="1"/>
    <col min="9743" max="9744" width="7.5" style="578" customWidth="1"/>
    <col min="9745" max="9745" width="6.75" style="578" customWidth="1"/>
    <col min="9746" max="9746" width="11.625" style="578" customWidth="1"/>
    <col min="9747" max="9748" width="12.5" style="578" customWidth="1"/>
    <col min="9749" max="9752" width="7.5" style="578" customWidth="1"/>
    <col min="9753" max="9753" width="12.75" style="578" customWidth="1"/>
    <col min="9754" max="9984" width="7.5" style="578" customWidth="1"/>
    <col min="9985" max="9985" width="6.125" style="578" customWidth="1"/>
    <col min="9986" max="9986" width="15.25" style="578" customWidth="1"/>
    <col min="9987" max="9987" width="6.75" style="578" customWidth="1"/>
    <col min="9988" max="9988" width="6.25" style="578" customWidth="1"/>
    <col min="9989" max="9989" width="6.75" style="578" customWidth="1"/>
    <col min="9990" max="9990" width="6.875" style="578" customWidth="1"/>
    <col min="9991" max="9991" width="9.5" style="578" customWidth="1"/>
    <col min="9992" max="9992" width="9.25" style="578" customWidth="1"/>
    <col min="9993" max="9993" width="6.5" style="578" customWidth="1"/>
    <col min="9994" max="9994" width="6.25" style="578" customWidth="1"/>
    <col min="9995" max="9995" width="6.75" style="578" customWidth="1"/>
    <col min="9996" max="9996" width="31.5" style="578" customWidth="1"/>
    <col min="9997" max="9997" width="8.875" style="578" customWidth="1"/>
    <col min="9998" max="9998" width="9.25" style="578" customWidth="1"/>
    <col min="9999" max="10000" width="7.5" style="578" customWidth="1"/>
    <col min="10001" max="10001" width="6.75" style="578" customWidth="1"/>
    <col min="10002" max="10002" width="11.625" style="578" customWidth="1"/>
    <col min="10003" max="10004" width="12.5" style="578" customWidth="1"/>
    <col min="10005" max="10008" width="7.5" style="578" customWidth="1"/>
    <col min="10009" max="10009" width="12.75" style="578" customWidth="1"/>
    <col min="10010" max="10240" width="7.5" style="578" customWidth="1"/>
    <col min="10241" max="10241" width="6.125" style="578" customWidth="1"/>
    <col min="10242" max="10242" width="15.25" style="578" customWidth="1"/>
    <col min="10243" max="10243" width="6.75" style="578" customWidth="1"/>
    <col min="10244" max="10244" width="6.25" style="578" customWidth="1"/>
    <col min="10245" max="10245" width="6.75" style="578" customWidth="1"/>
    <col min="10246" max="10246" width="6.875" style="578" customWidth="1"/>
    <col min="10247" max="10247" width="9.5" style="578" customWidth="1"/>
    <col min="10248" max="10248" width="9.25" style="578" customWidth="1"/>
    <col min="10249" max="10249" width="6.5" style="578" customWidth="1"/>
    <col min="10250" max="10250" width="6.25" style="578" customWidth="1"/>
    <col min="10251" max="10251" width="6.75" style="578" customWidth="1"/>
    <col min="10252" max="10252" width="31.5" style="578" customWidth="1"/>
    <col min="10253" max="10253" width="8.875" style="578" customWidth="1"/>
    <col min="10254" max="10254" width="9.25" style="578" customWidth="1"/>
    <col min="10255" max="10256" width="7.5" style="578" customWidth="1"/>
    <col min="10257" max="10257" width="6.75" style="578" customWidth="1"/>
    <col min="10258" max="10258" width="11.625" style="578" customWidth="1"/>
    <col min="10259" max="10260" width="12.5" style="578" customWidth="1"/>
    <col min="10261" max="10264" width="7.5" style="578" customWidth="1"/>
    <col min="10265" max="10265" width="12.75" style="578" customWidth="1"/>
    <col min="10266" max="10496" width="7.5" style="578" customWidth="1"/>
    <col min="10497" max="10497" width="6.125" style="578" customWidth="1"/>
    <col min="10498" max="10498" width="15.25" style="578" customWidth="1"/>
    <col min="10499" max="10499" width="6.75" style="578" customWidth="1"/>
    <col min="10500" max="10500" width="6.25" style="578" customWidth="1"/>
    <col min="10501" max="10501" width="6.75" style="578" customWidth="1"/>
    <col min="10502" max="10502" width="6.875" style="578" customWidth="1"/>
    <col min="10503" max="10503" width="9.5" style="578" customWidth="1"/>
    <col min="10504" max="10504" width="9.25" style="578" customWidth="1"/>
    <col min="10505" max="10505" width="6.5" style="578" customWidth="1"/>
    <col min="10506" max="10506" width="6.25" style="578" customWidth="1"/>
    <col min="10507" max="10507" width="6.75" style="578" customWidth="1"/>
    <col min="10508" max="10508" width="31.5" style="578" customWidth="1"/>
    <col min="10509" max="10509" width="8.875" style="578" customWidth="1"/>
    <col min="10510" max="10510" width="9.25" style="578" customWidth="1"/>
    <col min="10511" max="10512" width="7.5" style="578" customWidth="1"/>
    <col min="10513" max="10513" width="6.75" style="578" customWidth="1"/>
    <col min="10514" max="10514" width="11.625" style="578" customWidth="1"/>
    <col min="10515" max="10516" width="12.5" style="578" customWidth="1"/>
    <col min="10517" max="10520" width="7.5" style="578" customWidth="1"/>
    <col min="10521" max="10521" width="12.75" style="578" customWidth="1"/>
    <col min="10522" max="10752" width="7.5" style="578" customWidth="1"/>
    <col min="10753" max="10753" width="6.125" style="578" customWidth="1"/>
    <col min="10754" max="10754" width="15.25" style="578" customWidth="1"/>
    <col min="10755" max="10755" width="6.75" style="578" customWidth="1"/>
    <col min="10756" max="10756" width="6.25" style="578" customWidth="1"/>
    <col min="10757" max="10757" width="6.75" style="578" customWidth="1"/>
    <col min="10758" max="10758" width="6.875" style="578" customWidth="1"/>
    <col min="10759" max="10759" width="9.5" style="578" customWidth="1"/>
    <col min="10760" max="10760" width="9.25" style="578" customWidth="1"/>
    <col min="10761" max="10761" width="6.5" style="578" customWidth="1"/>
    <col min="10762" max="10762" width="6.25" style="578" customWidth="1"/>
    <col min="10763" max="10763" width="6.75" style="578" customWidth="1"/>
    <col min="10764" max="10764" width="31.5" style="578" customWidth="1"/>
    <col min="10765" max="10765" width="8.875" style="578" customWidth="1"/>
    <col min="10766" max="10766" width="9.25" style="578" customWidth="1"/>
    <col min="10767" max="10768" width="7.5" style="578" customWidth="1"/>
    <col min="10769" max="10769" width="6.75" style="578" customWidth="1"/>
    <col min="10770" max="10770" width="11.625" style="578" customWidth="1"/>
    <col min="10771" max="10772" width="12.5" style="578" customWidth="1"/>
    <col min="10773" max="10776" width="7.5" style="578" customWidth="1"/>
    <col min="10777" max="10777" width="12.75" style="578" customWidth="1"/>
    <col min="10778" max="11008" width="7.5" style="578" customWidth="1"/>
    <col min="11009" max="11009" width="6.125" style="578" customWidth="1"/>
    <col min="11010" max="11010" width="15.25" style="578" customWidth="1"/>
    <col min="11011" max="11011" width="6.75" style="578" customWidth="1"/>
    <col min="11012" max="11012" width="6.25" style="578" customWidth="1"/>
    <col min="11013" max="11013" width="6.75" style="578" customWidth="1"/>
    <col min="11014" max="11014" width="6.875" style="578" customWidth="1"/>
    <col min="11015" max="11015" width="9.5" style="578" customWidth="1"/>
    <col min="11016" max="11016" width="9.25" style="578" customWidth="1"/>
    <col min="11017" max="11017" width="6.5" style="578" customWidth="1"/>
    <col min="11018" max="11018" width="6.25" style="578" customWidth="1"/>
    <col min="11019" max="11019" width="6.75" style="578" customWidth="1"/>
    <col min="11020" max="11020" width="31.5" style="578" customWidth="1"/>
    <col min="11021" max="11021" width="8.875" style="578" customWidth="1"/>
    <col min="11022" max="11022" width="9.25" style="578" customWidth="1"/>
    <col min="11023" max="11024" width="7.5" style="578" customWidth="1"/>
    <col min="11025" max="11025" width="6.75" style="578" customWidth="1"/>
    <col min="11026" max="11026" width="11.625" style="578" customWidth="1"/>
    <col min="11027" max="11028" width="12.5" style="578" customWidth="1"/>
    <col min="11029" max="11032" width="7.5" style="578" customWidth="1"/>
    <col min="11033" max="11033" width="12.75" style="578" customWidth="1"/>
    <col min="11034" max="11264" width="7.5" style="578" customWidth="1"/>
    <col min="11265" max="11265" width="6.125" style="578" customWidth="1"/>
    <col min="11266" max="11266" width="15.25" style="578" customWidth="1"/>
    <col min="11267" max="11267" width="6.75" style="578" customWidth="1"/>
    <col min="11268" max="11268" width="6.25" style="578" customWidth="1"/>
    <col min="11269" max="11269" width="6.75" style="578" customWidth="1"/>
    <col min="11270" max="11270" width="6.875" style="578" customWidth="1"/>
    <col min="11271" max="11271" width="9.5" style="578" customWidth="1"/>
    <col min="11272" max="11272" width="9.25" style="578" customWidth="1"/>
    <col min="11273" max="11273" width="6.5" style="578" customWidth="1"/>
    <col min="11274" max="11274" width="6.25" style="578" customWidth="1"/>
    <col min="11275" max="11275" width="6.75" style="578" customWidth="1"/>
    <col min="11276" max="11276" width="31.5" style="578" customWidth="1"/>
    <col min="11277" max="11277" width="8.875" style="578" customWidth="1"/>
    <col min="11278" max="11278" width="9.25" style="578" customWidth="1"/>
    <col min="11279" max="11280" width="7.5" style="578" customWidth="1"/>
    <col min="11281" max="11281" width="6.75" style="578" customWidth="1"/>
    <col min="11282" max="11282" width="11.625" style="578" customWidth="1"/>
    <col min="11283" max="11284" width="12.5" style="578" customWidth="1"/>
    <col min="11285" max="11288" width="7.5" style="578" customWidth="1"/>
    <col min="11289" max="11289" width="12.75" style="578" customWidth="1"/>
    <col min="11290" max="11520" width="7.5" style="578" customWidth="1"/>
    <col min="11521" max="11521" width="6.125" style="578" customWidth="1"/>
    <col min="11522" max="11522" width="15.25" style="578" customWidth="1"/>
    <col min="11523" max="11523" width="6.75" style="578" customWidth="1"/>
    <col min="11524" max="11524" width="6.25" style="578" customWidth="1"/>
    <col min="11525" max="11525" width="6.75" style="578" customWidth="1"/>
    <col min="11526" max="11526" width="6.875" style="578" customWidth="1"/>
    <col min="11527" max="11527" width="9.5" style="578" customWidth="1"/>
    <col min="11528" max="11528" width="9.25" style="578" customWidth="1"/>
    <col min="11529" max="11529" width="6.5" style="578" customWidth="1"/>
    <col min="11530" max="11530" width="6.25" style="578" customWidth="1"/>
    <col min="11531" max="11531" width="6.75" style="578" customWidth="1"/>
    <col min="11532" max="11532" width="31.5" style="578" customWidth="1"/>
    <col min="11533" max="11533" width="8.875" style="578" customWidth="1"/>
    <col min="11534" max="11534" width="9.25" style="578" customWidth="1"/>
    <col min="11535" max="11536" width="7.5" style="578" customWidth="1"/>
    <col min="11537" max="11537" width="6.75" style="578" customWidth="1"/>
    <col min="11538" max="11538" width="11.625" style="578" customWidth="1"/>
    <col min="11539" max="11540" width="12.5" style="578" customWidth="1"/>
    <col min="11541" max="11544" width="7.5" style="578" customWidth="1"/>
    <col min="11545" max="11545" width="12.75" style="578" customWidth="1"/>
    <col min="11546" max="11776" width="7.5" style="578" customWidth="1"/>
    <col min="11777" max="11777" width="6.125" style="578" customWidth="1"/>
    <col min="11778" max="11778" width="15.25" style="578" customWidth="1"/>
    <col min="11779" max="11779" width="6.75" style="578" customWidth="1"/>
    <col min="11780" max="11780" width="6.25" style="578" customWidth="1"/>
    <col min="11781" max="11781" width="6.75" style="578" customWidth="1"/>
    <col min="11782" max="11782" width="6.875" style="578" customWidth="1"/>
    <col min="11783" max="11783" width="9.5" style="578" customWidth="1"/>
    <col min="11784" max="11784" width="9.25" style="578" customWidth="1"/>
    <col min="11785" max="11785" width="6.5" style="578" customWidth="1"/>
    <col min="11786" max="11786" width="6.25" style="578" customWidth="1"/>
    <col min="11787" max="11787" width="6.75" style="578" customWidth="1"/>
    <col min="11788" max="11788" width="31.5" style="578" customWidth="1"/>
    <col min="11789" max="11789" width="8.875" style="578" customWidth="1"/>
    <col min="11790" max="11790" width="9.25" style="578" customWidth="1"/>
    <col min="11791" max="11792" width="7.5" style="578" customWidth="1"/>
    <col min="11793" max="11793" width="6.75" style="578" customWidth="1"/>
    <col min="11794" max="11794" width="11.625" style="578" customWidth="1"/>
    <col min="11795" max="11796" width="12.5" style="578" customWidth="1"/>
    <col min="11797" max="11800" width="7.5" style="578" customWidth="1"/>
    <col min="11801" max="11801" width="12.75" style="578" customWidth="1"/>
    <col min="11802" max="12032" width="7.5" style="578" customWidth="1"/>
    <col min="12033" max="12033" width="6.125" style="578" customWidth="1"/>
    <col min="12034" max="12034" width="15.25" style="578" customWidth="1"/>
    <col min="12035" max="12035" width="6.75" style="578" customWidth="1"/>
    <col min="12036" max="12036" width="6.25" style="578" customWidth="1"/>
    <col min="12037" max="12037" width="6.75" style="578" customWidth="1"/>
    <col min="12038" max="12038" width="6.875" style="578" customWidth="1"/>
    <col min="12039" max="12039" width="9.5" style="578" customWidth="1"/>
    <col min="12040" max="12040" width="9.25" style="578" customWidth="1"/>
    <col min="12041" max="12041" width="6.5" style="578" customWidth="1"/>
    <col min="12042" max="12042" width="6.25" style="578" customWidth="1"/>
    <col min="12043" max="12043" width="6.75" style="578" customWidth="1"/>
    <col min="12044" max="12044" width="31.5" style="578" customWidth="1"/>
    <col min="12045" max="12045" width="8.875" style="578" customWidth="1"/>
    <col min="12046" max="12046" width="9.25" style="578" customWidth="1"/>
    <col min="12047" max="12048" width="7.5" style="578" customWidth="1"/>
    <col min="12049" max="12049" width="6.75" style="578" customWidth="1"/>
    <col min="12050" max="12050" width="11.625" style="578" customWidth="1"/>
    <col min="12051" max="12052" width="12.5" style="578" customWidth="1"/>
    <col min="12053" max="12056" width="7.5" style="578" customWidth="1"/>
    <col min="12057" max="12057" width="12.75" style="578" customWidth="1"/>
    <col min="12058" max="12288" width="7.5" style="578" customWidth="1"/>
    <col min="12289" max="12289" width="6.125" style="578" customWidth="1"/>
    <col min="12290" max="12290" width="15.25" style="578" customWidth="1"/>
    <col min="12291" max="12291" width="6.75" style="578" customWidth="1"/>
    <col min="12292" max="12292" width="6.25" style="578" customWidth="1"/>
    <col min="12293" max="12293" width="6.75" style="578" customWidth="1"/>
    <col min="12294" max="12294" width="6.875" style="578" customWidth="1"/>
    <col min="12295" max="12295" width="9.5" style="578" customWidth="1"/>
    <col min="12296" max="12296" width="9.25" style="578" customWidth="1"/>
    <col min="12297" max="12297" width="6.5" style="578" customWidth="1"/>
    <col min="12298" max="12298" width="6.25" style="578" customWidth="1"/>
    <col min="12299" max="12299" width="6.75" style="578" customWidth="1"/>
    <col min="12300" max="12300" width="31.5" style="578" customWidth="1"/>
    <col min="12301" max="12301" width="8.875" style="578" customWidth="1"/>
    <col min="12302" max="12302" width="9.25" style="578" customWidth="1"/>
    <col min="12303" max="12304" width="7.5" style="578" customWidth="1"/>
    <col min="12305" max="12305" width="6.75" style="578" customWidth="1"/>
    <col min="12306" max="12306" width="11.625" style="578" customWidth="1"/>
    <col min="12307" max="12308" width="12.5" style="578" customWidth="1"/>
    <col min="12309" max="12312" width="7.5" style="578" customWidth="1"/>
    <col min="12313" max="12313" width="12.75" style="578" customWidth="1"/>
    <col min="12314" max="12544" width="7.5" style="578" customWidth="1"/>
    <col min="12545" max="12545" width="6.125" style="578" customWidth="1"/>
    <col min="12546" max="12546" width="15.25" style="578" customWidth="1"/>
    <col min="12547" max="12547" width="6.75" style="578" customWidth="1"/>
    <col min="12548" max="12548" width="6.25" style="578" customWidth="1"/>
    <col min="12549" max="12549" width="6.75" style="578" customWidth="1"/>
    <col min="12550" max="12550" width="6.875" style="578" customWidth="1"/>
    <col min="12551" max="12551" width="9.5" style="578" customWidth="1"/>
    <col min="12552" max="12552" width="9.25" style="578" customWidth="1"/>
    <col min="12553" max="12553" width="6.5" style="578" customWidth="1"/>
    <col min="12554" max="12554" width="6.25" style="578" customWidth="1"/>
    <col min="12555" max="12555" width="6.75" style="578" customWidth="1"/>
    <col min="12556" max="12556" width="31.5" style="578" customWidth="1"/>
    <col min="12557" max="12557" width="8.875" style="578" customWidth="1"/>
    <col min="12558" max="12558" width="9.25" style="578" customWidth="1"/>
    <col min="12559" max="12560" width="7.5" style="578" customWidth="1"/>
    <col min="12561" max="12561" width="6.75" style="578" customWidth="1"/>
    <col min="12562" max="12562" width="11.625" style="578" customWidth="1"/>
    <col min="12563" max="12564" width="12.5" style="578" customWidth="1"/>
    <col min="12565" max="12568" width="7.5" style="578" customWidth="1"/>
    <col min="12569" max="12569" width="12.75" style="578" customWidth="1"/>
    <col min="12570" max="12800" width="7.5" style="578" customWidth="1"/>
    <col min="12801" max="12801" width="6.125" style="578" customWidth="1"/>
    <col min="12802" max="12802" width="15.25" style="578" customWidth="1"/>
    <col min="12803" max="12803" width="6.75" style="578" customWidth="1"/>
    <col min="12804" max="12804" width="6.25" style="578" customWidth="1"/>
    <col min="12805" max="12805" width="6.75" style="578" customWidth="1"/>
    <col min="12806" max="12806" width="6.875" style="578" customWidth="1"/>
    <col min="12807" max="12807" width="9.5" style="578" customWidth="1"/>
    <col min="12808" max="12808" width="9.25" style="578" customWidth="1"/>
    <col min="12809" max="12809" width="6.5" style="578" customWidth="1"/>
    <col min="12810" max="12810" width="6.25" style="578" customWidth="1"/>
    <col min="12811" max="12811" width="6.75" style="578" customWidth="1"/>
    <col min="12812" max="12812" width="31.5" style="578" customWidth="1"/>
    <col min="12813" max="12813" width="8.875" style="578" customWidth="1"/>
    <col min="12814" max="12814" width="9.25" style="578" customWidth="1"/>
    <col min="12815" max="12816" width="7.5" style="578" customWidth="1"/>
    <col min="12817" max="12817" width="6.75" style="578" customWidth="1"/>
    <col min="12818" max="12818" width="11.625" style="578" customWidth="1"/>
    <col min="12819" max="12820" width="12.5" style="578" customWidth="1"/>
    <col min="12821" max="12824" width="7.5" style="578" customWidth="1"/>
    <col min="12825" max="12825" width="12.75" style="578" customWidth="1"/>
    <col min="12826" max="13056" width="7.5" style="578" customWidth="1"/>
    <col min="13057" max="13057" width="6.125" style="578" customWidth="1"/>
    <col min="13058" max="13058" width="15.25" style="578" customWidth="1"/>
    <col min="13059" max="13059" width="6.75" style="578" customWidth="1"/>
    <col min="13060" max="13060" width="6.25" style="578" customWidth="1"/>
    <col min="13061" max="13061" width="6.75" style="578" customWidth="1"/>
    <col min="13062" max="13062" width="6.875" style="578" customWidth="1"/>
    <col min="13063" max="13063" width="9.5" style="578" customWidth="1"/>
    <col min="13064" max="13064" width="9.25" style="578" customWidth="1"/>
    <col min="13065" max="13065" width="6.5" style="578" customWidth="1"/>
    <col min="13066" max="13066" width="6.25" style="578" customWidth="1"/>
    <col min="13067" max="13067" width="6.75" style="578" customWidth="1"/>
    <col min="13068" max="13068" width="31.5" style="578" customWidth="1"/>
    <col min="13069" max="13069" width="8.875" style="578" customWidth="1"/>
    <col min="13070" max="13070" width="9.25" style="578" customWidth="1"/>
    <col min="13071" max="13072" width="7.5" style="578" customWidth="1"/>
    <col min="13073" max="13073" width="6.75" style="578" customWidth="1"/>
    <col min="13074" max="13074" width="11.625" style="578" customWidth="1"/>
    <col min="13075" max="13076" width="12.5" style="578" customWidth="1"/>
    <col min="13077" max="13080" width="7.5" style="578" customWidth="1"/>
    <col min="13081" max="13081" width="12.75" style="578" customWidth="1"/>
    <col min="13082" max="13312" width="7.5" style="578" customWidth="1"/>
    <col min="13313" max="13313" width="6.125" style="578" customWidth="1"/>
    <col min="13314" max="13314" width="15.25" style="578" customWidth="1"/>
    <col min="13315" max="13315" width="6.75" style="578" customWidth="1"/>
    <col min="13316" max="13316" width="6.25" style="578" customWidth="1"/>
    <col min="13317" max="13317" width="6.75" style="578" customWidth="1"/>
    <col min="13318" max="13318" width="6.875" style="578" customWidth="1"/>
    <col min="13319" max="13319" width="9.5" style="578" customWidth="1"/>
    <col min="13320" max="13320" width="9.25" style="578" customWidth="1"/>
    <col min="13321" max="13321" width="6.5" style="578" customWidth="1"/>
    <col min="13322" max="13322" width="6.25" style="578" customWidth="1"/>
    <col min="13323" max="13323" width="6.75" style="578" customWidth="1"/>
    <col min="13324" max="13324" width="31.5" style="578" customWidth="1"/>
    <col min="13325" max="13325" width="8.875" style="578" customWidth="1"/>
    <col min="13326" max="13326" width="9.25" style="578" customWidth="1"/>
    <col min="13327" max="13328" width="7.5" style="578" customWidth="1"/>
    <col min="13329" max="13329" width="6.75" style="578" customWidth="1"/>
    <col min="13330" max="13330" width="11.625" style="578" customWidth="1"/>
    <col min="13331" max="13332" width="12.5" style="578" customWidth="1"/>
    <col min="13333" max="13336" width="7.5" style="578" customWidth="1"/>
    <col min="13337" max="13337" width="12.75" style="578" customWidth="1"/>
    <col min="13338" max="13568" width="7.5" style="578" customWidth="1"/>
    <col min="13569" max="13569" width="6.125" style="578" customWidth="1"/>
    <col min="13570" max="13570" width="15.25" style="578" customWidth="1"/>
    <col min="13571" max="13571" width="6.75" style="578" customWidth="1"/>
    <col min="13572" max="13572" width="6.25" style="578" customWidth="1"/>
    <col min="13573" max="13573" width="6.75" style="578" customWidth="1"/>
    <col min="13574" max="13574" width="6.875" style="578" customWidth="1"/>
    <col min="13575" max="13575" width="9.5" style="578" customWidth="1"/>
    <col min="13576" max="13576" width="9.25" style="578" customWidth="1"/>
    <col min="13577" max="13577" width="6.5" style="578" customWidth="1"/>
    <col min="13578" max="13578" width="6.25" style="578" customWidth="1"/>
    <col min="13579" max="13579" width="6.75" style="578" customWidth="1"/>
    <col min="13580" max="13580" width="31.5" style="578" customWidth="1"/>
    <col min="13581" max="13581" width="8.875" style="578" customWidth="1"/>
    <col min="13582" max="13582" width="9.25" style="578" customWidth="1"/>
    <col min="13583" max="13584" width="7.5" style="578" customWidth="1"/>
    <col min="13585" max="13585" width="6.75" style="578" customWidth="1"/>
    <col min="13586" max="13586" width="11.625" style="578" customWidth="1"/>
    <col min="13587" max="13588" width="12.5" style="578" customWidth="1"/>
    <col min="13589" max="13592" width="7.5" style="578" customWidth="1"/>
    <col min="13593" max="13593" width="12.75" style="578" customWidth="1"/>
    <col min="13594" max="13824" width="7.5" style="578" customWidth="1"/>
    <col min="13825" max="13825" width="6.125" style="578" customWidth="1"/>
    <col min="13826" max="13826" width="15.25" style="578" customWidth="1"/>
    <col min="13827" max="13827" width="6.75" style="578" customWidth="1"/>
    <col min="13828" max="13828" width="6.25" style="578" customWidth="1"/>
    <col min="13829" max="13829" width="6.75" style="578" customWidth="1"/>
    <col min="13830" max="13830" width="6.875" style="578" customWidth="1"/>
    <col min="13831" max="13831" width="9.5" style="578" customWidth="1"/>
    <col min="13832" max="13832" width="9.25" style="578" customWidth="1"/>
    <col min="13833" max="13833" width="6.5" style="578" customWidth="1"/>
    <col min="13834" max="13834" width="6.25" style="578" customWidth="1"/>
    <col min="13835" max="13835" width="6.75" style="578" customWidth="1"/>
    <col min="13836" max="13836" width="31.5" style="578" customWidth="1"/>
    <col min="13837" max="13837" width="8.875" style="578" customWidth="1"/>
    <col min="13838" max="13838" width="9.25" style="578" customWidth="1"/>
    <col min="13839" max="13840" width="7.5" style="578" customWidth="1"/>
    <col min="13841" max="13841" width="6.75" style="578" customWidth="1"/>
    <col min="13842" max="13842" width="11.625" style="578" customWidth="1"/>
    <col min="13843" max="13844" width="12.5" style="578" customWidth="1"/>
    <col min="13845" max="13848" width="7.5" style="578" customWidth="1"/>
    <col min="13849" max="13849" width="12.75" style="578" customWidth="1"/>
    <col min="13850" max="14080" width="7.5" style="578" customWidth="1"/>
    <col min="14081" max="14081" width="6.125" style="578" customWidth="1"/>
    <col min="14082" max="14082" width="15.25" style="578" customWidth="1"/>
    <col min="14083" max="14083" width="6.75" style="578" customWidth="1"/>
    <col min="14084" max="14084" width="6.25" style="578" customWidth="1"/>
    <col min="14085" max="14085" width="6.75" style="578" customWidth="1"/>
    <col min="14086" max="14086" width="6.875" style="578" customWidth="1"/>
    <col min="14087" max="14087" width="9.5" style="578" customWidth="1"/>
    <col min="14088" max="14088" width="9.25" style="578" customWidth="1"/>
    <col min="14089" max="14089" width="6.5" style="578" customWidth="1"/>
    <col min="14090" max="14090" width="6.25" style="578" customWidth="1"/>
    <col min="14091" max="14091" width="6.75" style="578" customWidth="1"/>
    <col min="14092" max="14092" width="31.5" style="578" customWidth="1"/>
    <col min="14093" max="14093" width="8.875" style="578" customWidth="1"/>
    <col min="14094" max="14094" width="9.25" style="578" customWidth="1"/>
    <col min="14095" max="14096" width="7.5" style="578" customWidth="1"/>
    <col min="14097" max="14097" width="6.75" style="578" customWidth="1"/>
    <col min="14098" max="14098" width="11.625" style="578" customWidth="1"/>
    <col min="14099" max="14100" width="12.5" style="578" customWidth="1"/>
    <col min="14101" max="14104" width="7.5" style="578" customWidth="1"/>
    <col min="14105" max="14105" width="12.75" style="578" customWidth="1"/>
    <col min="14106" max="14336" width="7.5" style="578" customWidth="1"/>
    <col min="14337" max="14337" width="6.125" style="578" customWidth="1"/>
    <col min="14338" max="14338" width="15.25" style="578" customWidth="1"/>
    <col min="14339" max="14339" width="6.75" style="578" customWidth="1"/>
    <col min="14340" max="14340" width="6.25" style="578" customWidth="1"/>
    <col min="14341" max="14341" width="6.75" style="578" customWidth="1"/>
    <col min="14342" max="14342" width="6.875" style="578" customWidth="1"/>
    <col min="14343" max="14343" width="9.5" style="578" customWidth="1"/>
    <col min="14344" max="14344" width="9.25" style="578" customWidth="1"/>
    <col min="14345" max="14345" width="6.5" style="578" customWidth="1"/>
    <col min="14346" max="14346" width="6.25" style="578" customWidth="1"/>
    <col min="14347" max="14347" width="6.75" style="578" customWidth="1"/>
    <col min="14348" max="14348" width="31.5" style="578" customWidth="1"/>
    <col min="14349" max="14349" width="8.875" style="578" customWidth="1"/>
    <col min="14350" max="14350" width="9.25" style="578" customWidth="1"/>
    <col min="14351" max="14352" width="7.5" style="578" customWidth="1"/>
    <col min="14353" max="14353" width="6.75" style="578" customWidth="1"/>
    <col min="14354" max="14354" width="11.625" style="578" customWidth="1"/>
    <col min="14355" max="14356" width="12.5" style="578" customWidth="1"/>
    <col min="14357" max="14360" width="7.5" style="578" customWidth="1"/>
    <col min="14361" max="14361" width="12.75" style="578" customWidth="1"/>
    <col min="14362" max="14592" width="7.5" style="578" customWidth="1"/>
    <col min="14593" max="14593" width="6.125" style="578" customWidth="1"/>
    <col min="14594" max="14594" width="15.25" style="578" customWidth="1"/>
    <col min="14595" max="14595" width="6.75" style="578" customWidth="1"/>
    <col min="14596" max="14596" width="6.25" style="578" customWidth="1"/>
    <col min="14597" max="14597" width="6.75" style="578" customWidth="1"/>
    <col min="14598" max="14598" width="6.875" style="578" customWidth="1"/>
    <col min="14599" max="14599" width="9.5" style="578" customWidth="1"/>
    <col min="14600" max="14600" width="9.25" style="578" customWidth="1"/>
    <col min="14601" max="14601" width="6.5" style="578" customWidth="1"/>
    <col min="14602" max="14602" width="6.25" style="578" customWidth="1"/>
    <col min="14603" max="14603" width="6.75" style="578" customWidth="1"/>
    <col min="14604" max="14604" width="31.5" style="578" customWidth="1"/>
    <col min="14605" max="14605" width="8.875" style="578" customWidth="1"/>
    <col min="14606" max="14606" width="9.25" style="578" customWidth="1"/>
    <col min="14607" max="14608" width="7.5" style="578" customWidth="1"/>
    <col min="14609" max="14609" width="6.75" style="578" customWidth="1"/>
    <col min="14610" max="14610" width="11.625" style="578" customWidth="1"/>
    <col min="14611" max="14612" width="12.5" style="578" customWidth="1"/>
    <col min="14613" max="14616" width="7.5" style="578" customWidth="1"/>
    <col min="14617" max="14617" width="12.75" style="578" customWidth="1"/>
    <col min="14618" max="14848" width="7.5" style="578" customWidth="1"/>
    <col min="14849" max="14849" width="6.125" style="578" customWidth="1"/>
    <col min="14850" max="14850" width="15.25" style="578" customWidth="1"/>
    <col min="14851" max="14851" width="6.75" style="578" customWidth="1"/>
    <col min="14852" max="14852" width="6.25" style="578" customWidth="1"/>
    <col min="14853" max="14853" width="6.75" style="578" customWidth="1"/>
    <col min="14854" max="14854" width="6.875" style="578" customWidth="1"/>
    <col min="14855" max="14855" width="9.5" style="578" customWidth="1"/>
    <col min="14856" max="14856" width="9.25" style="578" customWidth="1"/>
    <col min="14857" max="14857" width="6.5" style="578" customWidth="1"/>
    <col min="14858" max="14858" width="6.25" style="578" customWidth="1"/>
    <col min="14859" max="14859" width="6.75" style="578" customWidth="1"/>
    <col min="14860" max="14860" width="31.5" style="578" customWidth="1"/>
    <col min="14861" max="14861" width="8.875" style="578" customWidth="1"/>
    <col min="14862" max="14862" width="9.25" style="578" customWidth="1"/>
    <col min="14863" max="14864" width="7.5" style="578" customWidth="1"/>
    <col min="14865" max="14865" width="6.75" style="578" customWidth="1"/>
    <col min="14866" max="14866" width="11.625" style="578" customWidth="1"/>
    <col min="14867" max="14868" width="12.5" style="578" customWidth="1"/>
    <col min="14869" max="14872" width="7.5" style="578" customWidth="1"/>
    <col min="14873" max="14873" width="12.75" style="578" customWidth="1"/>
    <col min="14874" max="15104" width="7.5" style="578" customWidth="1"/>
    <col min="15105" max="15105" width="6.125" style="578" customWidth="1"/>
    <col min="15106" max="15106" width="15.25" style="578" customWidth="1"/>
    <col min="15107" max="15107" width="6.75" style="578" customWidth="1"/>
    <col min="15108" max="15108" width="6.25" style="578" customWidth="1"/>
    <col min="15109" max="15109" width="6.75" style="578" customWidth="1"/>
    <col min="15110" max="15110" width="6.875" style="578" customWidth="1"/>
    <col min="15111" max="15111" width="9.5" style="578" customWidth="1"/>
    <col min="15112" max="15112" width="9.25" style="578" customWidth="1"/>
    <col min="15113" max="15113" width="6.5" style="578" customWidth="1"/>
    <col min="15114" max="15114" width="6.25" style="578" customWidth="1"/>
    <col min="15115" max="15115" width="6.75" style="578" customWidth="1"/>
    <col min="15116" max="15116" width="31.5" style="578" customWidth="1"/>
    <col min="15117" max="15117" width="8.875" style="578" customWidth="1"/>
    <col min="15118" max="15118" width="9.25" style="578" customWidth="1"/>
    <col min="15119" max="15120" width="7.5" style="578" customWidth="1"/>
    <col min="15121" max="15121" width="6.75" style="578" customWidth="1"/>
    <col min="15122" max="15122" width="11.625" style="578" customWidth="1"/>
    <col min="15123" max="15124" width="12.5" style="578" customWidth="1"/>
    <col min="15125" max="15128" width="7.5" style="578" customWidth="1"/>
    <col min="15129" max="15129" width="12.75" style="578" customWidth="1"/>
    <col min="15130" max="15360" width="7.5" style="578" customWidth="1"/>
    <col min="15361" max="15361" width="6.125" style="578" customWidth="1"/>
    <col min="15362" max="15362" width="15.25" style="578" customWidth="1"/>
    <col min="15363" max="15363" width="6.75" style="578" customWidth="1"/>
    <col min="15364" max="15364" width="6.25" style="578" customWidth="1"/>
    <col min="15365" max="15365" width="6.75" style="578" customWidth="1"/>
    <col min="15366" max="15366" width="6.875" style="578" customWidth="1"/>
    <col min="15367" max="15367" width="9.5" style="578" customWidth="1"/>
    <col min="15368" max="15368" width="9.25" style="578" customWidth="1"/>
    <col min="15369" max="15369" width="6.5" style="578" customWidth="1"/>
    <col min="15370" max="15370" width="6.25" style="578" customWidth="1"/>
    <col min="15371" max="15371" width="6.75" style="578" customWidth="1"/>
    <col min="15372" max="15372" width="31.5" style="578" customWidth="1"/>
    <col min="15373" max="15373" width="8.875" style="578" customWidth="1"/>
    <col min="15374" max="15374" width="9.25" style="578" customWidth="1"/>
    <col min="15375" max="15376" width="7.5" style="578" customWidth="1"/>
    <col min="15377" max="15377" width="6.75" style="578" customWidth="1"/>
    <col min="15378" max="15378" width="11.625" style="578" customWidth="1"/>
    <col min="15379" max="15380" width="12.5" style="578" customWidth="1"/>
    <col min="15381" max="15384" width="7.5" style="578" customWidth="1"/>
    <col min="15385" max="15385" width="12.75" style="578" customWidth="1"/>
    <col min="15386" max="15616" width="7.5" style="578" customWidth="1"/>
    <col min="15617" max="15617" width="6.125" style="578" customWidth="1"/>
    <col min="15618" max="15618" width="15.25" style="578" customWidth="1"/>
    <col min="15619" max="15619" width="6.75" style="578" customWidth="1"/>
    <col min="15620" max="15620" width="6.25" style="578" customWidth="1"/>
    <col min="15621" max="15621" width="6.75" style="578" customWidth="1"/>
    <col min="15622" max="15622" width="6.875" style="578" customWidth="1"/>
    <col min="15623" max="15623" width="9.5" style="578" customWidth="1"/>
    <col min="15624" max="15624" width="9.25" style="578" customWidth="1"/>
    <col min="15625" max="15625" width="6.5" style="578" customWidth="1"/>
    <col min="15626" max="15626" width="6.25" style="578" customWidth="1"/>
    <col min="15627" max="15627" width="6.75" style="578" customWidth="1"/>
    <col min="15628" max="15628" width="31.5" style="578" customWidth="1"/>
    <col min="15629" max="15629" width="8.875" style="578" customWidth="1"/>
    <col min="15630" max="15630" width="9.25" style="578" customWidth="1"/>
    <col min="15631" max="15632" width="7.5" style="578" customWidth="1"/>
    <col min="15633" max="15633" width="6.75" style="578" customWidth="1"/>
    <col min="15634" max="15634" width="11.625" style="578" customWidth="1"/>
    <col min="15635" max="15636" width="12.5" style="578" customWidth="1"/>
    <col min="15637" max="15640" width="7.5" style="578" customWidth="1"/>
    <col min="15641" max="15641" width="12.75" style="578" customWidth="1"/>
    <col min="15642" max="15872" width="7.5" style="578" customWidth="1"/>
    <col min="15873" max="15873" width="6.125" style="578" customWidth="1"/>
    <col min="15874" max="15874" width="15.25" style="578" customWidth="1"/>
    <col min="15875" max="15875" width="6.75" style="578" customWidth="1"/>
    <col min="15876" max="15876" width="6.25" style="578" customWidth="1"/>
    <col min="15877" max="15877" width="6.75" style="578" customWidth="1"/>
    <col min="15878" max="15878" width="6.875" style="578" customWidth="1"/>
    <col min="15879" max="15879" width="9.5" style="578" customWidth="1"/>
    <col min="15880" max="15880" width="9.25" style="578" customWidth="1"/>
    <col min="15881" max="15881" width="6.5" style="578" customWidth="1"/>
    <col min="15882" max="15882" width="6.25" style="578" customWidth="1"/>
    <col min="15883" max="15883" width="6.75" style="578" customWidth="1"/>
    <col min="15884" max="15884" width="31.5" style="578" customWidth="1"/>
    <col min="15885" max="15885" width="8.875" style="578" customWidth="1"/>
    <col min="15886" max="15886" width="9.25" style="578" customWidth="1"/>
    <col min="15887" max="15888" width="7.5" style="578" customWidth="1"/>
    <col min="15889" max="15889" width="6.75" style="578" customWidth="1"/>
    <col min="15890" max="15890" width="11.625" style="578" customWidth="1"/>
    <col min="15891" max="15892" width="12.5" style="578" customWidth="1"/>
    <col min="15893" max="15896" width="7.5" style="578" customWidth="1"/>
    <col min="15897" max="15897" width="12.75" style="578" customWidth="1"/>
    <col min="15898" max="16128" width="7.5" style="578" customWidth="1"/>
    <col min="16129" max="16129" width="6.125" style="578" customWidth="1"/>
    <col min="16130" max="16130" width="15.25" style="578" customWidth="1"/>
    <col min="16131" max="16131" width="6.75" style="578" customWidth="1"/>
    <col min="16132" max="16132" width="6.25" style="578" customWidth="1"/>
    <col min="16133" max="16133" width="6.75" style="578" customWidth="1"/>
    <col min="16134" max="16134" width="6.875" style="578" customWidth="1"/>
    <col min="16135" max="16135" width="9.5" style="578" customWidth="1"/>
    <col min="16136" max="16136" width="9.25" style="578" customWidth="1"/>
    <col min="16137" max="16137" width="6.5" style="578" customWidth="1"/>
    <col min="16138" max="16138" width="6.25" style="578" customWidth="1"/>
    <col min="16139" max="16139" width="6.75" style="578" customWidth="1"/>
    <col min="16140" max="16140" width="31.5" style="578" customWidth="1"/>
    <col min="16141" max="16141" width="8.875" style="578" customWidth="1"/>
    <col min="16142" max="16142" width="9.25" style="578" customWidth="1"/>
    <col min="16143" max="16144" width="7.5" style="578" customWidth="1"/>
    <col min="16145" max="16145" width="6.75" style="578" customWidth="1"/>
    <col min="16146" max="16146" width="11.625" style="578" customWidth="1"/>
    <col min="16147" max="16148" width="12.5" style="578" customWidth="1"/>
    <col min="16149" max="16152" width="7.5" style="578" customWidth="1"/>
    <col min="16153" max="16153" width="12.75" style="578" customWidth="1"/>
    <col min="16154" max="16384" width="7.5" style="578" customWidth="1"/>
  </cols>
  <sheetData>
    <row r="1" ht="32.25" customHeight="1" spans="1:25" x14ac:dyDescent="0.25">
      <c r="A1" s="582" t="s">
        <v>0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1"/>
      <c r="P1" s="581"/>
      <c r="Q1" s="578"/>
      <c r="R1" s="580"/>
      <c r="S1" s="578"/>
      <c r="T1" s="578"/>
      <c r="U1" s="578"/>
      <c r="V1" s="578"/>
      <c r="W1" s="578"/>
      <c r="X1" s="580"/>
      <c r="Y1" s="578"/>
    </row>
    <row r="2" ht="33.75" customHeight="1" spans="1:25" x14ac:dyDescent="0.25">
      <c r="A2" s="583" t="s">
        <v>141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5"/>
      <c r="O2" s="581"/>
      <c r="P2" s="581"/>
      <c r="Q2" s="578"/>
      <c r="R2" s="580"/>
      <c r="S2" s="578"/>
      <c r="T2" s="578"/>
      <c r="U2" s="578"/>
      <c r="V2" s="578"/>
      <c r="W2" s="578"/>
      <c r="X2" s="580"/>
      <c r="Y2" s="578"/>
    </row>
    <row r="3" ht="6" customHeight="1" spans="1:25" x14ac:dyDescent="0.25">
      <c r="A3" s="586"/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587"/>
      <c r="O3" s="581"/>
      <c r="P3" s="581"/>
      <c r="Q3" s="578"/>
      <c r="R3" s="580"/>
      <c r="S3" s="578"/>
      <c r="T3" s="578"/>
      <c r="U3" s="578"/>
      <c r="V3" s="578"/>
      <c r="W3" s="578"/>
      <c r="X3" s="580"/>
      <c r="Y3" s="578"/>
    </row>
    <row r="4" ht="21.75" customHeight="1" spans="1:25" s="588" customFormat="1" x14ac:dyDescent="0.25">
      <c r="A4" s="589" t="s">
        <v>142</v>
      </c>
      <c r="B4" s="590"/>
      <c r="C4" s="591"/>
      <c r="D4" s="591"/>
      <c r="E4" s="592"/>
      <c r="F4" s="591"/>
      <c r="G4" s="593" t="s">
        <v>143</v>
      </c>
      <c r="H4" s="594"/>
      <c r="I4" s="591"/>
      <c r="J4" s="595"/>
      <c r="K4" s="596" t="s">
        <v>144</v>
      </c>
      <c r="L4" s="596"/>
      <c r="M4" s="597"/>
      <c r="N4" s="598" t="s">
        <v>145</v>
      </c>
      <c r="O4" s="599"/>
      <c r="P4" s="599"/>
      <c r="Q4" s="578"/>
      <c r="R4" s="600"/>
      <c r="S4" s="578"/>
      <c r="T4" s="578"/>
      <c r="U4" s="578"/>
      <c r="V4" s="578"/>
      <c r="W4" s="578"/>
      <c r="X4" s="600"/>
      <c r="Y4" s="578"/>
    </row>
    <row r="5" ht="6.75" customHeight="1" spans="1:25" x14ac:dyDescent="0.25">
      <c r="A5" s="601"/>
      <c r="B5" s="601"/>
      <c r="C5" s="602"/>
      <c r="D5" s="602"/>
      <c r="E5" s="603"/>
      <c r="F5" s="602"/>
      <c r="G5" s="604"/>
      <c r="H5" s="604"/>
      <c r="I5" s="602"/>
      <c r="J5" s="602"/>
      <c r="K5" s="602"/>
      <c r="L5" s="605"/>
      <c r="M5" s="601"/>
      <c r="N5" s="601"/>
      <c r="O5" s="581"/>
      <c r="P5" s="581"/>
      <c r="Q5" s="578"/>
      <c r="R5" s="580"/>
      <c r="S5" s="578"/>
      <c r="T5" s="578"/>
      <c r="U5" s="578"/>
      <c r="V5" s="578"/>
      <c r="W5" s="578"/>
      <c r="X5" s="580"/>
      <c r="Y5" s="578"/>
    </row>
    <row r="6" ht="15" customHeight="1" spans="1:25" x14ac:dyDescent="0.25">
      <c r="A6" s="606" t="s">
        <v>146</v>
      </c>
      <c r="B6" s="606" t="s">
        <v>147</v>
      </c>
      <c r="C6" s="606" t="s">
        <v>71</v>
      </c>
      <c r="D6" s="606" t="s">
        <v>148</v>
      </c>
      <c r="E6" s="607" t="s">
        <v>149</v>
      </c>
      <c r="F6" s="606" t="s">
        <v>150</v>
      </c>
      <c r="G6" s="608" t="s">
        <v>151</v>
      </c>
      <c r="H6" s="608" t="s">
        <v>152</v>
      </c>
      <c r="I6" s="606" t="s">
        <v>153</v>
      </c>
      <c r="J6" s="606" t="s">
        <v>154</v>
      </c>
      <c r="K6" s="606" t="s">
        <v>155</v>
      </c>
      <c r="L6" s="606" t="s">
        <v>156</v>
      </c>
      <c r="M6" s="606" t="s">
        <v>120</v>
      </c>
      <c r="N6" s="606" t="s">
        <v>157</v>
      </c>
      <c r="O6" s="581"/>
      <c r="P6" s="581"/>
      <c r="Q6" s="578"/>
      <c r="R6" s="580"/>
      <c r="S6" s="578"/>
      <c r="T6" s="578"/>
      <c r="U6" s="578"/>
      <c r="V6" s="578"/>
      <c r="W6" s="578"/>
      <c r="X6" s="580"/>
      <c r="Y6" s="578"/>
    </row>
    <row r="7" ht="15.75" customHeight="1" spans="1:25" x14ac:dyDescent="0.25">
      <c r="A7" s="609"/>
      <c r="B7" s="609"/>
      <c r="C7" s="609"/>
      <c r="D7" s="606"/>
      <c r="E7" s="610"/>
      <c r="F7" s="609"/>
      <c r="G7" s="608" t="s">
        <v>158</v>
      </c>
      <c r="H7" s="608" t="s">
        <v>158</v>
      </c>
      <c r="I7" s="609"/>
      <c r="J7" s="609"/>
      <c r="K7" s="609"/>
      <c r="L7" s="606"/>
      <c r="M7" s="609"/>
      <c r="N7" s="609"/>
      <c r="O7" s="581"/>
      <c r="P7" s="581"/>
      <c r="Q7" s="578"/>
      <c r="R7" s="580"/>
      <c r="S7" s="578"/>
      <c r="T7" s="578"/>
      <c r="U7" s="578"/>
      <c r="V7" s="578"/>
      <c r="W7" s="578"/>
      <c r="X7" s="580"/>
      <c r="Y7" s="578"/>
    </row>
    <row r="8" ht="16.5" customHeight="1" spans="1:25" x14ac:dyDescent="0.25">
      <c r="A8" s="611"/>
      <c r="B8" s="612"/>
      <c r="C8" s="612"/>
      <c r="D8" s="412"/>
      <c r="E8" s="613"/>
      <c r="F8" s="612"/>
      <c r="G8" s="612"/>
      <c r="H8" s="612"/>
      <c r="I8" s="612"/>
      <c r="J8" s="612"/>
      <c r="K8" s="612"/>
      <c r="L8" s="581"/>
      <c r="M8" s="581"/>
      <c r="N8" s="578"/>
      <c r="O8" s="581"/>
      <c r="P8" s="581"/>
      <c r="Q8" s="578"/>
      <c r="R8" s="580"/>
      <c r="S8" s="578"/>
      <c r="T8" s="578"/>
      <c r="U8" s="578"/>
      <c r="V8" s="578"/>
      <c r="W8" s="578"/>
      <c r="X8" s="580"/>
      <c r="Y8" s="578"/>
    </row>
    <row r="9" ht="15" customHeight="1" spans="1:25" x14ac:dyDescent="0.25">
      <c r="A9" s="611"/>
      <c r="B9" s="612"/>
      <c r="C9" s="612"/>
      <c r="D9" s="412"/>
      <c r="E9" s="613"/>
      <c r="F9" s="612"/>
      <c r="G9" s="612"/>
      <c r="H9" s="612"/>
      <c r="I9" s="612"/>
      <c r="J9" s="612"/>
      <c r="K9" s="612"/>
      <c r="L9" s="578"/>
      <c r="M9" s="581"/>
      <c r="N9" s="578"/>
      <c r="O9" s="581"/>
      <c r="P9" s="581"/>
      <c r="Q9" s="578"/>
      <c r="R9" s="580"/>
      <c r="S9" s="578"/>
      <c r="T9" s="578"/>
      <c r="U9" s="578"/>
      <c r="V9" s="578"/>
      <c r="W9" s="578"/>
      <c r="X9" s="580"/>
      <c r="Y9" s="578"/>
    </row>
    <row r="10" ht="15" customHeight="1" spans="1:25" x14ac:dyDescent="0.25">
      <c r="A10" s="611"/>
      <c r="B10" s="614"/>
      <c r="C10" s="614"/>
      <c r="D10" s="90"/>
      <c r="E10" s="615"/>
      <c r="F10" s="614"/>
      <c r="G10" s="614"/>
      <c r="H10" s="614"/>
      <c r="I10" s="614"/>
      <c r="J10" s="614"/>
      <c r="K10" s="614"/>
      <c r="L10" s="581"/>
      <c r="M10" s="581"/>
      <c r="N10" s="581"/>
      <c r="O10" s="581"/>
      <c r="P10" s="581"/>
      <c r="Q10" s="578"/>
      <c r="R10" s="580"/>
      <c r="S10" s="578"/>
      <c r="T10" s="578"/>
      <c r="U10" s="578"/>
      <c r="V10" s="578"/>
      <c r="W10" s="578"/>
      <c r="X10" s="580"/>
      <c r="Y10" s="578"/>
    </row>
    <row r="11" ht="15" customHeight="1" spans="1:25" x14ac:dyDescent="0.25">
      <c r="A11" s="611"/>
      <c r="B11" s="612"/>
      <c r="C11" s="612"/>
      <c r="D11" s="412"/>
      <c r="E11" s="613"/>
      <c r="F11" s="612"/>
      <c r="G11" s="612"/>
      <c r="H11" s="612"/>
      <c r="I11" s="612"/>
      <c r="J11" s="612"/>
      <c r="K11" s="612"/>
      <c r="L11" s="578"/>
      <c r="M11" s="578"/>
      <c r="N11" s="578"/>
      <c r="O11" s="581"/>
      <c r="P11" s="581"/>
      <c r="Q11" s="578"/>
      <c r="R11" s="580"/>
      <c r="S11" s="578"/>
      <c r="T11" s="578"/>
      <c r="U11" s="578"/>
      <c r="V11" s="578"/>
      <c r="W11" s="578"/>
      <c r="X11" s="580"/>
      <c r="Y11" s="578"/>
    </row>
    <row r="12" ht="15" customHeight="1" spans="1:25" x14ac:dyDescent="0.25">
      <c r="A12" s="611"/>
      <c r="B12" s="612"/>
      <c r="C12" s="612"/>
      <c r="D12" s="412"/>
      <c r="E12" s="613"/>
      <c r="F12" s="612"/>
      <c r="G12" s="612"/>
      <c r="H12" s="612"/>
      <c r="I12" s="612"/>
      <c r="J12" s="612"/>
      <c r="K12" s="612"/>
      <c r="L12" s="578"/>
      <c r="M12" s="578"/>
      <c r="N12" s="578"/>
      <c r="O12" s="581"/>
      <c r="P12" s="581"/>
      <c r="Q12" s="578"/>
      <c r="R12" s="580"/>
      <c r="S12" s="578"/>
      <c r="T12" s="578"/>
      <c r="U12" s="578"/>
      <c r="V12" s="578"/>
      <c r="W12" s="578"/>
      <c r="X12" s="580"/>
      <c r="Y12" s="578"/>
    </row>
    <row r="13" ht="16.5" customHeight="1" spans="1:25" x14ac:dyDescent="0.25">
      <c r="A13" s="611"/>
      <c r="B13" s="612"/>
      <c r="C13" s="612"/>
      <c r="D13" s="412"/>
      <c r="E13" s="613"/>
      <c r="F13" s="612"/>
      <c r="G13" s="612"/>
      <c r="H13" s="612"/>
      <c r="I13" s="612"/>
      <c r="J13" s="612"/>
      <c r="K13" s="612"/>
      <c r="L13" s="578"/>
      <c r="M13" s="578"/>
      <c r="N13" s="578"/>
      <c r="O13" s="581"/>
      <c r="P13" s="581"/>
      <c r="Q13" s="578"/>
      <c r="R13" s="580"/>
      <c r="S13" s="578"/>
      <c r="T13" s="578"/>
      <c r="U13" s="578"/>
      <c r="V13" s="578"/>
      <c r="W13" s="578"/>
      <c r="X13" s="580"/>
      <c r="Y13" s="578"/>
    </row>
    <row r="14" ht="16.5" customHeight="1" spans="1:25" x14ac:dyDescent="0.25">
      <c r="A14" s="611"/>
      <c r="B14" s="612"/>
      <c r="C14" s="612"/>
      <c r="D14" s="412"/>
      <c r="E14" s="613"/>
      <c r="F14" s="612"/>
      <c r="G14" s="612"/>
      <c r="H14" s="612"/>
      <c r="I14" s="612"/>
      <c r="J14" s="612"/>
      <c r="K14" s="612"/>
      <c r="L14" s="578"/>
      <c r="M14" s="578"/>
      <c r="N14" s="578"/>
      <c r="O14" s="581"/>
      <c r="P14" s="581"/>
      <c r="Q14" s="578"/>
      <c r="R14" s="580"/>
      <c r="S14" s="578"/>
      <c r="T14" s="578"/>
      <c r="U14" s="578"/>
      <c r="V14" s="578"/>
      <c r="W14" s="578"/>
      <c r="X14" s="580"/>
      <c r="Y14" s="578"/>
    </row>
    <row r="15" ht="16.5" customHeight="1" spans="1:25" x14ac:dyDescent="0.25">
      <c r="A15" s="611"/>
      <c r="B15" s="612"/>
      <c r="C15" s="612"/>
      <c r="D15" s="412"/>
      <c r="E15" s="613"/>
      <c r="F15" s="612"/>
      <c r="G15" s="612"/>
      <c r="H15" s="612"/>
      <c r="I15" s="612"/>
      <c r="J15" s="612"/>
      <c r="K15" s="612"/>
      <c r="L15" s="578"/>
      <c r="M15" s="578"/>
      <c r="N15" s="578"/>
      <c r="O15" s="581"/>
      <c r="P15" s="581"/>
      <c r="Q15" s="578"/>
      <c r="R15" s="580"/>
      <c r="S15" s="578"/>
      <c r="T15" s="578"/>
      <c r="U15" s="578"/>
      <c r="V15" s="578"/>
      <c r="W15" s="578"/>
      <c r="X15" s="580"/>
      <c r="Y15" s="578"/>
    </row>
    <row r="16" ht="16.5" customHeight="1" spans="1:25" x14ac:dyDescent="0.25">
      <c r="A16" s="611"/>
      <c r="B16" s="612"/>
      <c r="C16" s="612"/>
      <c r="D16" s="412"/>
      <c r="E16" s="613"/>
      <c r="F16" s="612"/>
      <c r="G16" s="612"/>
      <c r="H16" s="612"/>
      <c r="I16" s="612"/>
      <c r="J16" s="612"/>
      <c r="K16" s="612"/>
      <c r="L16" s="578"/>
      <c r="M16" s="578"/>
      <c r="N16" s="578"/>
      <c r="O16" s="581"/>
      <c r="P16" s="581"/>
      <c r="Q16" s="578"/>
      <c r="R16" s="580"/>
      <c r="S16" s="578"/>
      <c r="T16" s="578"/>
      <c r="U16" s="578"/>
      <c r="V16" s="578"/>
      <c r="W16" s="578"/>
      <c r="X16" s="580"/>
      <c r="Y16" s="578"/>
    </row>
    <row r="17" ht="16.5" customHeight="1" spans="1:25" s="581" customFormat="1" x14ac:dyDescent="0.25">
      <c r="A17" s="611"/>
      <c r="B17" s="612"/>
      <c r="C17" s="612"/>
      <c r="D17" s="412"/>
      <c r="E17" s="613"/>
      <c r="F17" s="612"/>
      <c r="G17" s="612"/>
      <c r="H17" s="612"/>
      <c r="I17" s="612"/>
      <c r="J17" s="612"/>
      <c r="K17" s="612"/>
      <c r="L17" s="578"/>
      <c r="M17" s="578"/>
      <c r="N17" s="578"/>
      <c r="O17" s="581"/>
      <c r="P17" s="581"/>
      <c r="Q17" s="578"/>
      <c r="R17" s="580"/>
      <c r="S17" s="578"/>
      <c r="T17" s="578"/>
      <c r="U17" s="578"/>
      <c r="V17" s="578"/>
      <c r="W17" s="578"/>
      <c r="X17" s="580"/>
      <c r="Y17" s="581"/>
    </row>
    <row r="18" spans="1:25" x14ac:dyDescent="0.25">
      <c r="A18" s="578"/>
      <c r="B18" s="578"/>
      <c r="C18" s="578"/>
      <c r="D18" s="578"/>
      <c r="E18" s="579"/>
      <c r="F18" s="578"/>
      <c r="G18" s="580"/>
      <c r="H18" s="580"/>
      <c r="I18" s="578"/>
      <c r="J18" s="578"/>
      <c r="K18" s="578"/>
      <c r="L18" s="578"/>
      <c r="M18" s="578"/>
      <c r="N18" s="578"/>
      <c r="O18" s="581"/>
      <c r="P18" s="581"/>
      <c r="Q18" s="578"/>
      <c r="R18" s="580"/>
      <c r="S18" s="578"/>
      <c r="T18" s="578"/>
      <c r="U18" s="578"/>
      <c r="V18" s="578"/>
      <c r="W18" s="578"/>
      <c r="X18" s="580"/>
      <c r="Y18" s="578"/>
    </row>
    <row r="19" spans="1:25" x14ac:dyDescent="0.25">
      <c r="A19" s="578"/>
      <c r="B19" s="578"/>
      <c r="C19" s="578"/>
      <c r="D19" s="578"/>
      <c r="E19" s="579"/>
      <c r="F19" s="578"/>
      <c r="G19" s="580"/>
      <c r="H19" s="580"/>
      <c r="I19" s="578"/>
      <c r="J19" s="578"/>
      <c r="K19" s="578"/>
      <c r="L19" s="578"/>
      <c r="M19" s="578"/>
      <c r="N19" s="578"/>
      <c r="O19" s="581"/>
      <c r="P19" s="581"/>
      <c r="Q19" s="578"/>
      <c r="R19" s="580"/>
      <c r="S19" s="578"/>
      <c r="T19" s="578"/>
      <c r="U19" s="578"/>
      <c r="V19" s="578"/>
      <c r="W19" s="578"/>
      <c r="X19" s="580"/>
      <c r="Y19" s="578"/>
    </row>
    <row r="20" spans="1:25" x14ac:dyDescent="0.25">
      <c r="A20" s="578"/>
      <c r="B20" s="578"/>
      <c r="C20" s="578"/>
      <c r="D20" s="578"/>
      <c r="E20" s="579"/>
      <c r="F20" s="578"/>
      <c r="G20" s="580"/>
      <c r="H20" s="580"/>
      <c r="I20" s="578"/>
      <c r="J20" s="578"/>
      <c r="K20" s="578"/>
      <c r="L20" s="578"/>
      <c r="M20" s="578"/>
      <c r="N20" s="578"/>
      <c r="O20" s="581"/>
      <c r="P20" s="581"/>
      <c r="Q20" s="578"/>
      <c r="R20" s="580"/>
      <c r="S20" s="578"/>
      <c r="T20" s="578"/>
      <c r="U20" s="578"/>
      <c r="V20" s="578"/>
      <c r="W20" s="578"/>
      <c r="X20" s="580"/>
      <c r="Y20" s="578"/>
    </row>
    <row r="21" spans="1:25" x14ac:dyDescent="0.25">
      <c r="A21" s="578"/>
      <c r="B21" s="578"/>
      <c r="C21" s="578"/>
      <c r="D21" s="578"/>
      <c r="E21" s="579"/>
      <c r="F21" s="578"/>
      <c r="G21" s="580"/>
      <c r="H21" s="580"/>
      <c r="I21" s="578"/>
      <c r="J21" s="578"/>
      <c r="K21" s="578"/>
      <c r="L21" s="578"/>
      <c r="M21" s="578"/>
      <c r="N21" s="578"/>
      <c r="O21" s="581"/>
      <c r="P21" s="581"/>
      <c r="Q21" s="578"/>
      <c r="R21" s="580"/>
      <c r="S21" s="578"/>
      <c r="T21" s="578"/>
      <c r="U21" s="578"/>
      <c r="V21" s="578"/>
      <c r="W21" s="578"/>
      <c r="X21" s="580"/>
      <c r="Y21" s="578"/>
    </row>
    <row r="22" spans="1:25" x14ac:dyDescent="0.25">
      <c r="A22" s="578"/>
      <c r="B22" s="578"/>
      <c r="C22" s="578"/>
      <c r="D22" s="578"/>
      <c r="E22" s="579"/>
      <c r="F22" s="578"/>
      <c r="G22" s="580"/>
      <c r="H22" s="580"/>
      <c r="I22" s="578"/>
      <c r="J22" s="578"/>
      <c r="K22" s="578"/>
      <c r="L22" s="578"/>
      <c r="M22" s="578"/>
      <c r="N22" s="578"/>
      <c r="O22" s="581"/>
      <c r="P22" s="581"/>
      <c r="Q22" s="578"/>
      <c r="R22" s="580"/>
      <c r="S22" s="578"/>
      <c r="T22" s="578"/>
      <c r="U22" s="578"/>
      <c r="V22" s="578"/>
      <c r="W22" s="578"/>
      <c r="X22" s="580"/>
      <c r="Y22" s="578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OS-OUT</vt:lpstr>
      <vt:lpstr>OS-IN</vt:lpstr>
      <vt:lpstr>DM-IN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2026-07-10T17:20:40Z</cp:lastPrinted>
  <dcterms:created xsi:type="dcterms:W3CDTF">2016-08-02T06:12:57Z</dcterms:created>
  <dcterms:modified xsi:type="dcterms:W3CDTF">2026-07-10T17:21:20Z</dcterms:modified>
</cp:coreProperties>
</file>