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2" name="Final Work" state="visible" r:id="rId4"/>
    <sheet sheetId="2" name="Time sheet" state="visible" r:id="rId5"/>
    <sheet sheetId="14" name="OS-IN" state="visible" r:id="rId6"/>
    <sheet sheetId="15" name="DM-IN" state="visible" r:id="rId7"/>
    <sheet sheetId="5" name="OS-OUT" state="visible" r:id="rId8"/>
    <sheet sheetId="11" name="DM-OUT " state="visible" r:id="rId9"/>
    <sheet sheetId="9" name="Act. Cntr-Seal No List" state="visible" r:id="rId10"/>
    <sheet sheetId="10" name="RF condition report" state="visible" r:id="rId11"/>
    <sheet sheetId="16" name="PERFORMANCE" state="visible" r:id="rId12"/>
  </sheets>
  <definedNames>
    <definedName name="_xlnm.Print_Area" localSheetId="1">'Time sheet'!$A1:$H42</definedName>
    <definedName name="_xlnm.Print_Area" localSheetId="5">'DM-OUT '!$A1:$R34</definedName>
  </definedNames>
  <calcPr calcId="171027"/>
</workbook>
</file>

<file path=xl/sharedStrings.xml><?xml version="1.0" encoding="utf-8"?>
<sst xmlns="http://schemas.openxmlformats.org/spreadsheetml/2006/main" count="377" uniqueCount="174">
  <si>
    <t xml:space="preserve">GREEN  MARINE  CO.,  LTD.  </t>
  </si>
  <si>
    <t>FINAL  WORKING  REPORT (VOUCHER)</t>
  </si>
  <si>
    <t xml:space="preserve">M/V   : </t>
  </si>
  <si>
    <t>STARSHIP DRACO</t>
  </si>
  <si>
    <t xml:space="preserve">VOY # : </t>
  </si>
  <si>
    <t>DATE :</t>
  </si>
  <si>
    <t xml:space="preserve">PIER  : </t>
  </si>
  <si>
    <t>BERTH :</t>
  </si>
  <si>
    <t>PORT :</t>
  </si>
  <si>
    <t xml:space="preserve"> PYEONGTAEK, KOREA</t>
  </si>
  <si>
    <t>OPERATOR</t>
  </si>
  <si>
    <t>PORT</t>
  </si>
  <si>
    <t xml:space="preserve"> FULL   (F)</t>
  </si>
  <si>
    <t xml:space="preserve"> EMPTY(E)</t>
  </si>
  <si>
    <t>20'</t>
  </si>
  <si>
    <t>40'</t>
  </si>
  <si>
    <r>
      <t>H</t>
    </r>
    <r>
      <rPr>
        <charset val="129"/>
        <color theme="1"/>
        <family val="3"/>
        <scheme val="minor"/>
        <sz val="10"/>
        <rFont val="맑은 고딕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</si>
  <si>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</si>
  <si>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</si>
  <si>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</si>
  <si>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</si>
  <si>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</si>
  <si>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</si>
  <si>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</si>
  <si>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</si>
  <si>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</si>
  <si>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</si>
  <si>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</si>
  <si>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M/V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</si>
  <si>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t>VOY # : 2606N &amp; 2607S</t>
  </si>
  <si>
    <t>DATE : 2026-07-05</t>
  </si>
  <si>
    <r>
      <t xml:space="preserve">PIER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</si>
  <si>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t>PNCT</t>
  </si>
  <si>
    <r>
      <t xml:space="preserve">BERTH </t>
    </r>
    <r>
      <rPr>
        <b/>
        <charset val="129"/>
        <family val="3"/>
        <scheme val="minor"/>
        <sz val="11"/>
        <rFont val="맑은 고딕"/>
      </rPr>
      <t>:</t>
    </r>
  </si>
  <si>
    <t>WEATHER :</t>
  </si>
  <si>
    <t>Rainy / Cloudy</t>
  </si>
  <si>
    <r>
      <t xml:space="preserve">PORT : </t>
    </r>
    <r>
      <rPr>
        <u/>
        <charset val="129"/>
        <family val="3"/>
        <scheme val="minor"/>
        <sz val="10"/>
        <rFont val="맑은 고딕"/>
      </rPr>
      <t>PYEONGTAEK, KOREA</t>
    </r>
  </si>
  <si>
    <r>
      <t>T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I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</si>
  <si>
    <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A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K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S</t>
    </r>
  </si>
  <si>
    <t xml:space="preserve"> </t>
  </si>
  <si>
    <t xml:space="preserve"> CARGO  OVERAGE &amp; SHORTAGE  REPORT  (DISCH)</t>
  </si>
  <si>
    <r>
      <t xml:space="preserve">M / V </t>
    </r>
    <r>
      <rPr>
        <b/>
        <charset val="129"/>
        <family val="3"/>
        <scheme val="minor"/>
        <sz val="12"/>
        <rFont val="맑은 고딕"/>
      </rPr>
      <t xml:space="preserve"> :</t>
    </r>
  </si>
  <si>
    <r>
      <t>VOY. NO.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</si>
  <si>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</si>
  <si>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</si>
  <si>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</si>
  <si>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</si>
  <si>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</si>
  <si>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</si>
  <si>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</si>
  <si>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</si>
  <si>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</si>
  <si>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</si>
  <si>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</si>
  <si>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</si>
  <si>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</si>
  <si>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</si>
  <si>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</si>
  <si>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</si>
  <si>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</si>
  <si>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r>
      <t xml:space="preserve">  </t>
    </r>
    <r>
      <rPr>
        <u/>
        <charset val="129"/>
        <family val="3"/>
        <scheme val="minor"/>
        <sz val="10"/>
        <rFont val="맑은 고딕"/>
      </rPr>
      <t>REMARKS</t>
    </r>
  </si>
  <si>
    <t>STEVEDORE  PNCT</t>
  </si>
  <si>
    <t xml:space="preserve"> CARGO DAMAGE REPORT </t>
  </si>
  <si>
    <r>
      <t xml:space="preserve">M / V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</si>
  <si>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  2606N</t>
    </r>
  </si>
  <si>
    <r>
      <t xml:space="preserve">DATE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</si>
  <si>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</si>
  <si>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 xml:space="preserve">PIER      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  PNCT</t>
    </r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</si>
  <si>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</si>
  <si>
    <t>MARKS</t>
  </si>
  <si>
    <t>CONTENTS</t>
  </si>
  <si>
    <t>NO. OF</t>
  </si>
  <si>
    <t>TYPE</t>
  </si>
  <si>
    <t>EXCEPTION  ( Found in stow )</t>
  </si>
  <si>
    <t xml:space="preserve"> CARGO  OVERAGE &amp; SHORTAGE  REPORT  (LOAD)</t>
  </si>
  <si>
    <r>
      <t xml:space="preserve">PORT </t>
    </r>
    <r>
      <rPr>
        <b/>
        <charset val="129"/>
        <family val="3"/>
        <scheme val="minor"/>
        <sz val="12"/>
        <rFont val="맑은 고딕"/>
      </rPr>
      <t xml:space="preserve"> : </t>
    </r>
    <r>
      <rPr>
        <b/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</si>
  <si>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t>LOADED</t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</si>
  <si>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 2607S</t>
    </r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</si>
  <si>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</si>
  <si>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EXCEPTION  ( Prior To Load )</t>
  </si>
  <si>
    <t>M / V     :  STARSHIP DRACO</t>
  </si>
  <si>
    <t>DATE  :</t>
  </si>
  <si>
    <r>
      <t xml:space="preserve">VOY.NO.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2606N</t>
    </r>
  </si>
  <si>
    <t>PORT  :</t>
  </si>
  <si>
    <t>ACTUAL CONTAINER &amp; SEAL NUMBER LIST</t>
  </si>
  <si>
    <t>DISCH.</t>
  </si>
  <si>
    <t>MANIFEST</t>
  </si>
  <si>
    <t>SIZE</t>
  </si>
  <si>
    <t>ACTUAL</t>
  </si>
  <si>
    <t>RESEAL NO.</t>
  </si>
  <si>
    <t>CONT'R NO.</t>
  </si>
  <si>
    <t>SEAL NO.</t>
  </si>
  <si>
    <t>20FT</t>
  </si>
  <si>
    <t>FULL</t>
  </si>
  <si>
    <t>EMPTY</t>
  </si>
  <si>
    <t>40FT</t>
  </si>
  <si>
    <t>TOTAL</t>
  </si>
  <si>
    <r>
      <t xml:space="preserve">VOY.NO.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2607S</t>
    </r>
  </si>
  <si>
    <t>LOAD.</t>
  </si>
  <si>
    <t>REEFER CONTAINER CONDITION REPORT</t>
  </si>
  <si>
    <t>Discharging  /  Loading</t>
  </si>
  <si>
    <t>( 1/1 )</t>
  </si>
  <si>
    <t>M/V : STARSHIP DRACO</t>
  </si>
  <si>
    <t>VOY # :</t>
  </si>
  <si>
    <t>PIER : PNCT</t>
  </si>
  <si>
    <r>
      <t xml:space="preserve"> </t>
    </r>
    <r>
      <rPr>
        <u/>
        <charset val="129"/>
        <family val="3"/>
        <scheme val="minor"/>
        <sz val="12"/>
        <rFont val="맑은 고딕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</si>
  <si>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</si>
  <si>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</si>
  <si>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</si>
  <si>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</si>
  <si>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</si>
  <si>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</si>
  <si>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</si>
  <si>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</si>
  <si>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>STEVEDORE PNCT</t>
  </si>
  <si>
    <t>-NIL-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</si>
  <si>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</si>
  <si>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</si>
  <si>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</si>
  <si>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</si>
  <si>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</si>
  <si>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</si>
  <si>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PORT PERFORMANCE REPORT</t>
  </si>
  <si>
    <t>M/V  :</t>
  </si>
  <si>
    <t>VOY :</t>
  </si>
  <si>
    <t>2606N/2607S</t>
  </si>
  <si>
    <t>PIER:</t>
  </si>
  <si>
    <t>ARRIVAL     :</t>
  </si>
  <si>
    <t>05. JUL. 2026  07:30</t>
  </si>
  <si>
    <t>ETD   :</t>
  </si>
  <si>
    <t>05. JUL. 2026  17:00</t>
  </si>
  <si>
    <t>COMM'D   DIS   :</t>
  </si>
  <si>
    <t>05. JUL. 2026  08:15</t>
  </si>
  <si>
    <t>COMP'D    DIS  :</t>
  </si>
  <si>
    <t>05. JUL. 2026  15:50</t>
  </si>
  <si>
    <t>COMM'D  LOAD :</t>
  </si>
  <si>
    <t>05. JUL. 2026  09:10</t>
  </si>
  <si>
    <t>COMP'D  LOAD :</t>
  </si>
  <si>
    <t>05. JUL. 2026  14:30</t>
  </si>
  <si>
    <t>STATUS</t>
  </si>
  <si>
    <t>TTL MVS</t>
  </si>
  <si>
    <t>구분</t>
  </si>
  <si>
    <t>40'HC</t>
  </si>
  <si>
    <t>IN</t>
  </si>
  <si>
    <t>NSL</t>
  </si>
  <si>
    <t>KMD</t>
  </si>
  <si>
    <t>TTL</t>
  </si>
  <si>
    <t>OUT</t>
  </si>
  <si>
    <t>SHIFT</t>
  </si>
  <si>
    <t>I TIME</t>
  </si>
  <si>
    <t>2TIME</t>
  </si>
  <si>
    <t>G/ TTL:</t>
  </si>
  <si>
    <t>MVS</t>
  </si>
  <si>
    <t xml:space="preserve">H/COVER: </t>
  </si>
  <si>
    <t>3 * 2=</t>
  </si>
  <si>
    <t>WORKING PERIOD</t>
  </si>
  <si>
    <t>G/C NO</t>
  </si>
  <si>
    <t>FROM</t>
  </si>
  <si>
    <t>TO</t>
  </si>
  <si>
    <t>G/HOUR</t>
  </si>
  <si>
    <t>N/HOUR</t>
  </si>
  <si>
    <t>TTL MOVES</t>
  </si>
  <si>
    <t>08:30</t>
  </si>
  <si>
    <t>15:50</t>
  </si>
  <si>
    <t>07:20</t>
  </si>
  <si>
    <t>05:50</t>
  </si>
  <si>
    <t>08:15</t>
  </si>
  <si>
    <t>11:30</t>
  </si>
  <si>
    <t>03:15</t>
  </si>
  <si>
    <t>LOSS TIME</t>
  </si>
  <si>
    <t>13:00</t>
  </si>
  <si>
    <t>01:30</t>
  </si>
  <si>
    <t>MEAL TIME</t>
  </si>
  <si>
    <t>CHIEF CHECKER : OH SEUNG-TAEK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</si>
</sst>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 * #,##0_ ;_ * -#,##0_ ;_ * &quot;-&quot;_ ;_ @_ "/>
    <numFmt numFmtId="165" formatCode="_-* #,##0_-;-* #,##0_-;_-* &quot;-&quot;_-;_-@_-"/>
    <numFmt numFmtId="166" formatCode="mm&quot;월&quot; dd&quot;일&quot;"/>
    <numFmt numFmtId="167" formatCode="0.0℃"/>
    <numFmt numFmtId="168" formatCode="hhmm&quot;HRS&quot;"/>
    <numFmt numFmtId="169" formatCode="0_ "/>
  </numFmts>
  <fonts count="28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22"/>
      <name val="맑은 고딕"/>
    </font>
    <font>
      <charset val="129"/>
      <family val="3"/>
      <scheme val="minor"/>
      <sz val="18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4"/>
      <name val="맑은 고딕"/>
    </font>
    <font>
      <charset val="129"/>
      <family val="3"/>
      <scheme val="minor"/>
      <sz val="10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  <font>
      <b/>
      <charset val="129"/>
      <family val="3"/>
      <scheme val="minor"/>
      <sz val="18"/>
      <name val="맑은 고딕"/>
    </font>
    <font>
      <b/>
      <charset val="129"/>
      <family val="3"/>
      <scheme val="minor"/>
      <sz val="14"/>
      <name val="맑은 고딕"/>
    </font>
    <font>
      <b/>
      <u/>
      <charset val="129"/>
      <family val="3"/>
      <scheme val="minor"/>
      <sz val="18"/>
      <name val="맑은 고딕"/>
    </font>
    <font>
      <b/>
      <charset val="129"/>
      <family val="3"/>
      <scheme val="minor"/>
      <sz val="11"/>
      <name val="맑은 고딕"/>
    </font>
    <font>
      <u/>
      <charset val="129"/>
      <family val="3"/>
      <scheme val="minor"/>
      <sz val="10"/>
      <name val="맑은 고딕"/>
    </font>
    <font>
      <b/>
      <charset val="129"/>
      <color indexed="8"/>
      <family val="3"/>
      <scheme val="minor"/>
      <sz val="16"/>
      <name val="맑은 고딕"/>
    </font>
    <font>
      <charset val="129"/>
      <color indexed="8"/>
      <family val="3"/>
      <scheme val="minor"/>
      <sz val="11"/>
      <name val="맑은 고딕"/>
    </font>
    <font>
      <charset val="129"/>
      <family val="3"/>
      <scheme val="minor"/>
      <sz val="22"/>
      <name val="맑은 고딕"/>
    </font>
    <font>
      <charset val="129"/>
      <color rgb="FF000000"/>
      <family val="3"/>
      <scheme val="minor"/>
      <sz val="10"/>
      <name val="맑은 고딕"/>
    </font>
    <font>
      <charset val="129"/>
      <color indexed="8"/>
      <family val="3"/>
      <scheme val="minor"/>
      <sz val="10"/>
      <name val="맑은 고딕"/>
    </font>
    <font>
      <charset val="129"/>
      <color rgb="FF000000"/>
      <family val="3"/>
      <scheme val="minor"/>
      <sz val="9"/>
      <name val="맑은 고딕"/>
    </font>
    <font>
      <charset val="129"/>
      <family val="3"/>
      <sz val="10"/>
      <name val="맑은 고딕"/>
    </font>
    <font>
      <charset val="129"/>
      <color theme="1"/>
      <family val="3"/>
      <scheme val="minor"/>
      <sz val="10"/>
      <name val="맑은 고딕"/>
    </font>
    <font>
      <charset val="129"/>
      <color indexed="8"/>
      <family val="3"/>
      <scheme val="minor"/>
      <sz val="9"/>
      <name val="맑은 고딕"/>
    </font>
    <font>
      <charset val="129"/>
      <color theme="1"/>
      <family val="3"/>
      <scheme val="minor"/>
      <sz val="9"/>
      <name val="맑은 고딕"/>
    </font>
    <font>
      <charset val="129"/>
      <family val="3"/>
      <scheme val="minor"/>
      <sz val="20"/>
      <name val="맑은 고딕"/>
    </font>
    <font>
      <b/>
      <charset val="129"/>
      <family val="3"/>
      <scheme val="minor"/>
      <sz val="13"/>
      <name val="맑은 고딕"/>
    </font>
    <font>
      <charset val="129"/>
      <color indexed="10"/>
      <family val="3"/>
      <scheme val="minor"/>
      <sz val="10"/>
      <name val="맑은 고딕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/>
      <right style="medium">
        <color indexed="64"/>
      </right>
      <top style="thin"/>
      <bottom style="thin"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60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164" fontId="1" fillId="0" borderId="0" xfId="0" applyNumberFormat="1" applyFont="1"/>
    <xf numFmtId="0" fontId="1" fillId="0" borderId="0" xfId="0" applyFont="1" applyAlignment="1">
      <alignment horizontal="left"/>
    </xf>
    <xf numFmtId="0" fontId="5" fillId="0" borderId="0" xfId="0" applyFont="1"/>
    <xf numFmtId="164" fontId="1" fillId="0" borderId="0" xfId="0" applyNumberFormat="1" applyFont="1" applyAlignment="1">
      <alignment horizontal="right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6" fillId="0" borderId="0" xfId="0" applyFont="1"/>
    <xf numFmtId="164" fontId="6" fillId="0" borderId="0" xfId="0" applyNumberFormat="1" applyFont="1"/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vertical="center" shrinkToFi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vertical="center" shrinkToFit="1"/>
    </xf>
    <xf numFmtId="16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21" xfId="0" applyFont="1" applyBorder="1" applyAlignment="1">
      <alignment horizontal="center" vertical="center" shrinkToFit="1"/>
    </xf>
    <xf numFmtId="0" fontId="8" fillId="0" borderId="22" xfId="0" applyFont="1" applyBorder="1" applyAlignment="1">
      <alignment horizontal="center" vertical="center" shrinkToFit="1"/>
    </xf>
    <xf numFmtId="164" fontId="8" fillId="0" borderId="23" xfId="0" applyNumberFormat="1" applyFont="1" applyBorder="1" applyAlignment="1">
      <alignment horizontal="center" vertical="center" shrinkToFit="1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164" fontId="8" fillId="0" borderId="29" xfId="0" applyNumberFormat="1" applyFont="1" applyBorder="1" applyAlignment="1">
      <alignment horizontal="center" vertical="center" shrinkToFit="1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 shrinkToFit="1"/>
    </xf>
    <xf numFmtId="164" fontId="8" fillId="0" borderId="1" xfId="0" applyNumberFormat="1" applyFont="1" applyBorder="1" applyAlignment="1">
      <alignment horizontal="center" vertical="center" shrinkToFit="1"/>
    </xf>
    <xf numFmtId="0" fontId="8" fillId="0" borderId="29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 shrinkToFit="1"/>
    </xf>
    <xf numFmtId="164" fontId="8" fillId="0" borderId="34" xfId="0" applyNumberFormat="1" applyFont="1" applyBorder="1" applyAlignment="1">
      <alignment horizontal="center" vertical="center" shrinkToFit="1"/>
    </xf>
    <xf numFmtId="0" fontId="8" fillId="0" borderId="35" xfId="0" applyFont="1" applyBorder="1" applyAlignment="1">
      <alignment horizontal="center" vertical="center" shrinkToFit="1"/>
    </xf>
    <xf numFmtId="164" fontId="8" fillId="0" borderId="36" xfId="0" applyNumberFormat="1" applyFont="1" applyBorder="1" applyAlignment="1">
      <alignment horizontal="center" vertical="center" shrinkToFit="1"/>
    </xf>
    <xf numFmtId="0" fontId="8" fillId="0" borderId="37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164" fontId="8" fillId="0" borderId="42" xfId="0" applyNumberFormat="1" applyFont="1" applyBorder="1" applyAlignment="1">
      <alignment horizontal="center" vertical="center" shrinkToFit="1"/>
    </xf>
    <xf numFmtId="0" fontId="8" fillId="0" borderId="4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 shrinkToFit="1"/>
    </xf>
    <xf numFmtId="164" fontId="8" fillId="0" borderId="12" xfId="0" applyNumberFormat="1" applyFont="1" applyBorder="1" applyAlignment="1">
      <alignment horizontal="center" vertical="center" shrinkToFit="1"/>
    </xf>
    <xf numFmtId="0" fontId="8" fillId="0" borderId="4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50" xfId="0" applyFont="1" applyBorder="1" applyAlignment="1">
      <alignment vertical="center" shrinkToFit="1"/>
    </xf>
    <xf numFmtId="164" fontId="8" fillId="0" borderId="51" xfId="0" applyNumberFormat="1" applyFont="1" applyBorder="1" applyAlignment="1">
      <alignment horizontal="center" vertical="center" shrinkToFit="1"/>
    </xf>
    <xf numFmtId="0" fontId="8" fillId="0" borderId="36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0" borderId="52" xfId="0" applyFont="1" applyBorder="1" applyAlignment="1">
      <alignment vertical="center" shrinkToFit="1"/>
    </xf>
    <xf numFmtId="0" fontId="8" fillId="0" borderId="53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shrinkToFit="1"/>
    </xf>
    <xf numFmtId="0" fontId="8" fillId="0" borderId="30" xfId="0" applyFont="1" applyBorder="1" applyAlignment="1">
      <alignment horizontal="center" vertical="center" shrinkToFit="1"/>
    </xf>
    <xf numFmtId="164" fontId="8" fillId="0" borderId="56" xfId="0" applyNumberFormat="1" applyFont="1" applyBorder="1" applyAlignment="1">
      <alignment horizontal="center" vertical="center" shrinkToFit="1"/>
    </xf>
    <xf numFmtId="0" fontId="8" fillId="0" borderId="42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 shrinkToFit="1"/>
    </xf>
    <xf numFmtId="165" fontId="8" fillId="0" borderId="49" xfId="0" applyNumberFormat="1" applyFont="1" applyBorder="1" applyAlignment="1">
      <alignment horizontal="center" vertical="center"/>
    </xf>
    <xf numFmtId="165" fontId="8" fillId="0" borderId="11" xfId="0" applyNumberFormat="1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/>
    </xf>
    <xf numFmtId="165" fontId="8" fillId="0" borderId="12" xfId="0" applyNumberFormat="1" applyFont="1" applyBorder="1" applyAlignment="1">
      <alignment horizontal="center" vertical="center"/>
    </xf>
    <xf numFmtId="165" fontId="8" fillId="0" borderId="10" xfId="0" applyNumberFormat="1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 shrinkToFit="1"/>
    </xf>
    <xf numFmtId="0" fontId="7" fillId="0" borderId="44" xfId="0" applyFont="1" applyBorder="1" applyAlignment="1">
      <alignment horizontal="center" vertical="center" shrinkToFit="1"/>
    </xf>
    <xf numFmtId="0" fontId="7" fillId="0" borderId="56" xfId="0" applyFont="1" applyBorder="1" applyAlignment="1">
      <alignment horizontal="center" vertical="center" shrinkToFit="1"/>
    </xf>
    <xf numFmtId="165" fontId="8" fillId="0" borderId="43" xfId="0" applyNumberFormat="1" applyFont="1" applyBorder="1" applyAlignment="1">
      <alignment horizontal="center" vertical="center"/>
    </xf>
    <xf numFmtId="165" fontId="8" fillId="0" borderId="44" xfId="0" applyNumberFormat="1" applyFont="1" applyBorder="1" applyAlignment="1">
      <alignment horizontal="center" vertical="center"/>
    </xf>
    <xf numFmtId="165" fontId="8" fillId="0" borderId="56" xfId="0" applyNumberFormat="1" applyFont="1" applyBorder="1" applyAlignment="1">
      <alignment horizontal="center" vertical="center"/>
    </xf>
    <xf numFmtId="165" fontId="8" fillId="0" borderId="42" xfId="0" applyNumberFormat="1" applyFont="1" applyBorder="1" applyAlignment="1">
      <alignment horizontal="center" vertical="center"/>
    </xf>
    <xf numFmtId="165" fontId="8" fillId="0" borderId="47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 shrinkToFit="1"/>
    </xf>
    <xf numFmtId="0" fontId="5" fillId="0" borderId="57" xfId="0" applyFont="1" applyBorder="1" applyAlignment="1">
      <alignment horizontal="left" vertical="center"/>
    </xf>
    <xf numFmtId="0" fontId="5" fillId="0" borderId="58" xfId="0" applyFont="1" applyBorder="1" applyAlignment="1">
      <alignment horizontal="left" vertical="center"/>
    </xf>
    <xf numFmtId="0" fontId="5" fillId="0" borderId="59" xfId="0" applyFont="1" applyBorder="1" applyAlignment="1">
      <alignment horizontal="left" vertical="center"/>
    </xf>
    <xf numFmtId="164" fontId="5" fillId="0" borderId="57" xfId="0" applyNumberFormat="1" applyFont="1" applyBorder="1" applyAlignment="1">
      <alignment horizontal="left" vertical="center" wrapText="1" shrinkToFit="1"/>
    </xf>
    <xf numFmtId="164" fontId="5" fillId="0" borderId="58" xfId="0" applyNumberFormat="1" applyFont="1" applyBorder="1" applyAlignment="1">
      <alignment horizontal="left" vertical="center" wrapText="1" shrinkToFit="1"/>
    </xf>
    <xf numFmtId="164" fontId="5" fillId="0" borderId="59" xfId="0" applyNumberFormat="1" applyFont="1" applyBorder="1" applyAlignment="1">
      <alignment horizontal="left" vertical="center" wrapText="1" shrinkToFit="1"/>
    </xf>
    <xf numFmtId="164" fontId="7" fillId="0" borderId="60" xfId="0" applyNumberFormat="1" applyFont="1" applyBorder="1" applyAlignment="1">
      <alignment horizontal="left" vertical="center" wrapText="1" shrinkToFit="1"/>
    </xf>
    <xf numFmtId="164" fontId="7" fillId="0" borderId="0" xfId="0" applyNumberFormat="1" applyFont="1" applyAlignment="1">
      <alignment horizontal="left" vertical="center" wrapText="1" shrinkToFit="1"/>
    </xf>
    <xf numFmtId="164" fontId="7" fillId="0" borderId="61" xfId="0" applyNumberFormat="1" applyFont="1" applyBorder="1" applyAlignment="1">
      <alignment horizontal="left" vertical="center" wrapText="1" shrinkToFit="1"/>
    </xf>
    <xf numFmtId="164" fontId="7" fillId="0" borderId="60" xfId="0" applyNumberFormat="1" applyFont="1" applyBorder="1" applyAlignment="1">
      <alignment vertical="center" wrapText="1" shrinkToFit="1"/>
    </xf>
    <xf numFmtId="164" fontId="7" fillId="0" borderId="0" xfId="0" applyNumberFormat="1" applyFont="1" applyAlignment="1">
      <alignment vertical="center" wrapText="1" shrinkToFit="1"/>
    </xf>
    <xf numFmtId="164" fontId="7" fillId="0" borderId="61" xfId="0" applyNumberFormat="1" applyFont="1" applyBorder="1" applyAlignment="1">
      <alignment vertical="center" wrapText="1" shrinkToFit="1"/>
    </xf>
    <xf numFmtId="164" fontId="7" fillId="0" borderId="60" xfId="0" applyNumberFormat="1" applyFont="1" applyBorder="1" applyAlignment="1">
      <alignment horizontal="left" vertical="center" shrinkToFit="1"/>
    </xf>
    <xf numFmtId="164" fontId="7" fillId="0" borderId="0" xfId="0" applyNumberFormat="1" applyFont="1" applyAlignment="1">
      <alignment horizontal="left" vertical="center" shrinkToFit="1"/>
    </xf>
    <xf numFmtId="164" fontId="7" fillId="0" borderId="61" xfId="0" applyNumberFormat="1" applyFont="1" applyBorder="1" applyAlignment="1">
      <alignment horizontal="left" vertical="center" shrinkToFit="1"/>
    </xf>
    <xf numFmtId="164" fontId="7" fillId="0" borderId="60" xfId="0" applyNumberFormat="1" applyFont="1" applyBorder="1" applyAlignment="1">
      <alignment horizontal="center" vertical="center" wrapText="1" shrinkToFit="1"/>
    </xf>
    <xf numFmtId="164" fontId="7" fillId="0" borderId="0" xfId="0" applyNumberFormat="1" applyFont="1" applyAlignment="1">
      <alignment horizontal="center" vertical="center" wrapText="1" shrinkToFit="1"/>
    </xf>
    <xf numFmtId="164" fontId="7" fillId="0" borderId="61" xfId="0" applyNumberFormat="1" applyFont="1" applyBorder="1" applyAlignment="1">
      <alignment horizontal="center" vertical="center" wrapText="1" shrinkToFit="1"/>
    </xf>
    <xf numFmtId="164" fontId="7" fillId="0" borderId="62" xfId="0" applyNumberFormat="1" applyFont="1" applyBorder="1" applyAlignment="1">
      <alignment horizontal="left" vertical="center" wrapText="1" shrinkToFit="1"/>
    </xf>
    <xf numFmtId="164" fontId="7" fillId="0" borderId="63" xfId="0" applyNumberFormat="1" applyFont="1" applyBorder="1" applyAlignment="1">
      <alignment horizontal="left" vertical="center" wrapText="1" shrinkToFit="1"/>
    </xf>
    <xf numFmtId="164" fontId="7" fillId="0" borderId="64" xfId="0" applyNumberFormat="1" applyFont="1" applyBorder="1" applyAlignment="1">
      <alignment horizontal="left" vertical="center" wrapText="1" shrinkToFit="1"/>
    </xf>
    <xf numFmtId="0" fontId="1" fillId="0" borderId="39" xfId="0" applyFont="1" applyBorder="1"/>
    <xf numFmtId="164" fontId="2" fillId="0" borderId="39" xfId="0" applyNumberFormat="1" applyFont="1" applyBorder="1"/>
    <xf numFmtId="0" fontId="5" fillId="0" borderId="65" xfId="0" applyFont="1" applyBorder="1" applyAlignment="1">
      <alignment horizontal="center"/>
    </xf>
    <xf numFmtId="0" fontId="7" fillId="0" borderId="0" xfId="0" applyFont="1"/>
    <xf numFmtId="164" fontId="1" fillId="0" borderId="0" xfId="0" applyNumberFormat="1" applyFont="1" applyAlignment="1">
      <alignment horizontal="center" vertical="center"/>
    </xf>
    <xf numFmtId="0" fontId="10" fillId="0" borderId="6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right" vertical="center"/>
    </xf>
    <xf numFmtId="0" fontId="5" fillId="0" borderId="1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49" fontId="7" fillId="0" borderId="67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indent="1"/>
    </xf>
    <xf numFmtId="0" fontId="7" fillId="0" borderId="66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7" fillId="0" borderId="68" xfId="0" applyFont="1" applyBorder="1" applyAlignment="1">
      <alignment horizontal="left" vertical="center" indent="1"/>
    </xf>
    <xf numFmtId="0" fontId="7" fillId="0" borderId="4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56" xfId="0" applyFont="1" applyBorder="1" applyAlignment="1">
      <alignment horizontal="left" vertical="center" indent="1"/>
    </xf>
    <xf numFmtId="0" fontId="7" fillId="0" borderId="45" xfId="0" applyFont="1" applyBorder="1" applyAlignment="1">
      <alignment horizontal="left" vertical="center" indent="1"/>
    </xf>
    <xf numFmtId="0" fontId="7" fillId="0" borderId="47" xfId="0" applyFont="1" applyBorder="1" applyAlignment="1">
      <alignment horizontal="left" vertical="center" indent="1"/>
    </xf>
    <xf numFmtId="166" fontId="7" fillId="0" borderId="6" xfId="0" applyNumberFormat="1" applyFont="1" applyBorder="1" applyAlignment="1">
      <alignment horizontal="center" vertical="center"/>
    </xf>
    <xf numFmtId="166" fontId="7" fillId="0" borderId="66" xfId="0" applyNumberFormat="1" applyFont="1" applyBorder="1" applyAlignment="1">
      <alignment horizontal="center" vertical="center"/>
    </xf>
    <xf numFmtId="0" fontId="7" fillId="0" borderId="51" xfId="0" applyFont="1" applyBorder="1" applyAlignment="1">
      <alignment horizontal="left" vertical="center" indent="1"/>
    </xf>
    <xf numFmtId="0" fontId="7" fillId="0" borderId="39" xfId="0" applyFont="1" applyBorder="1" applyAlignment="1">
      <alignment horizontal="left" vertical="center" indent="1"/>
    </xf>
    <xf numFmtId="0" fontId="7" fillId="0" borderId="41" xfId="0" applyFont="1" applyBorder="1" applyAlignment="1">
      <alignment horizontal="left" vertical="center" indent="1"/>
    </xf>
    <xf numFmtId="49" fontId="7" fillId="0" borderId="34" xfId="0" applyNumberFormat="1" applyFont="1" applyBorder="1" applyAlignment="1">
      <alignment horizontal="center" vertical="center"/>
    </xf>
    <xf numFmtId="166" fontId="7" fillId="0" borderId="56" xfId="0" applyNumberFormat="1" applyFont="1" applyBorder="1" applyAlignment="1">
      <alignment horizontal="center" vertical="center"/>
    </xf>
    <xf numFmtId="166" fontId="7" fillId="0" borderId="51" xfId="0" applyNumberFormat="1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20" fontId="7" fillId="0" borderId="41" xfId="0" applyNumberFormat="1" applyFont="1" applyBorder="1" applyAlignment="1">
      <alignment horizontal="center" vertical="center"/>
    </xf>
    <xf numFmtId="0" fontId="7" fillId="0" borderId="38" xfId="0" applyFont="1" applyBorder="1" applyAlignment="1">
      <alignment horizontal="left" vertical="center" indent="1"/>
    </xf>
    <xf numFmtId="0" fontId="1" fillId="0" borderId="69" xfId="0" applyFont="1" applyBorder="1" applyAlignment="1">
      <alignment vertical="center"/>
    </xf>
    <xf numFmtId="0" fontId="1" fillId="0" borderId="66" xfId="0" applyFont="1" applyBorder="1" applyAlignment="1">
      <alignment vertical="center"/>
    </xf>
    <xf numFmtId="0" fontId="7" fillId="0" borderId="31" xfId="0" applyFont="1" applyBorder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1" fillId="0" borderId="39" xfId="0" applyFont="1" applyBorder="1" applyAlignment="1">
      <alignment vertical="center"/>
    </xf>
    <xf numFmtId="0" fontId="1" fillId="0" borderId="65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" fillId="0" borderId="3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" fillId="0" borderId="51" xfId="0" applyFont="1" applyBorder="1" applyAlignment="1">
      <alignment horizontal="center" vertical="center"/>
    </xf>
    <xf numFmtId="0" fontId="5" fillId="0" borderId="51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38" xfId="0" applyFont="1" applyBorder="1" applyAlignment="1">
      <alignment horizontal="center" vertical="center"/>
    </xf>
    <xf numFmtId="164" fontId="5" fillId="0" borderId="51" xfId="0" applyNumberFormat="1" applyFont="1" applyBorder="1" applyAlignment="1">
      <alignment horizontal="center" vertical="center" wrapText="1" shrinkToFit="1"/>
    </xf>
    <xf numFmtId="164" fontId="5" fillId="0" borderId="38" xfId="0" applyNumberFormat="1" applyFont="1" applyBorder="1" applyAlignment="1">
      <alignment horizontal="center" vertical="center" wrapText="1" shrinkToFit="1"/>
    </xf>
    <xf numFmtId="0" fontId="8" fillId="0" borderId="38" xfId="0" applyFont="1" applyBorder="1" applyAlignment="1">
      <alignment horizontal="left" vertical="center" shrinkToFit="1"/>
    </xf>
    <xf numFmtId="0" fontId="5" fillId="0" borderId="3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5" fillId="0" borderId="31" xfId="0" applyNumberFormat="1" applyFont="1" applyBorder="1" applyAlignment="1">
      <alignment horizontal="center" vertical="center" wrapText="1" shrinkToFit="1"/>
    </xf>
    <xf numFmtId="0" fontId="8" fillId="0" borderId="31" xfId="0" applyFont="1" applyBorder="1" applyAlignment="1">
      <alignment vertical="center"/>
    </xf>
    <xf numFmtId="0" fontId="5" fillId="0" borderId="39" xfId="0" applyFont="1" applyBorder="1" applyAlignment="1">
      <alignment horizontal="left" vertical="center"/>
    </xf>
    <xf numFmtId="0" fontId="7" fillId="0" borderId="38" xfId="0" applyFont="1" applyBorder="1" applyAlignment="1">
      <alignment horizontal="left" vertical="center" shrinkToFi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 wrapText="1" shrinkToFit="1"/>
    </xf>
    <xf numFmtId="0" fontId="7" fillId="0" borderId="31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164" fontId="13" fillId="0" borderId="11" xfId="0" applyNumberFormat="1" applyFont="1" applyBorder="1" applyAlignment="1">
      <alignment horizontal="center" vertical="center" wrapText="1" shrinkToFit="1"/>
    </xf>
    <xf numFmtId="0" fontId="13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33" xfId="0" applyFont="1" applyBorder="1" applyAlignment="1">
      <alignment vertical="center"/>
    </xf>
    <xf numFmtId="0" fontId="7" fillId="0" borderId="35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164" fontId="7" fillId="0" borderId="35" xfId="0" applyNumberFormat="1" applyFont="1" applyBorder="1" applyAlignment="1">
      <alignment horizontal="center" vertical="center" wrapText="1" shrinkToFit="1"/>
    </xf>
    <xf numFmtId="0" fontId="7" fillId="0" borderId="33" xfId="0" applyFont="1" applyBorder="1" applyAlignment="1">
      <alignment horizontal="center" vertical="center"/>
    </xf>
    <xf numFmtId="164" fontId="7" fillId="0" borderId="33" xfId="0" applyNumberFormat="1" applyFont="1" applyBorder="1" applyAlignment="1">
      <alignment horizontal="center" vertical="center" wrapText="1" shrinkToFit="1"/>
    </xf>
    <xf numFmtId="0" fontId="7" fillId="0" borderId="34" xfId="0" applyFont="1" applyBorder="1" applyAlignment="1">
      <alignment horizontal="left" vertical="center"/>
    </xf>
    <xf numFmtId="0" fontId="14" fillId="0" borderId="65" xfId="0" applyFont="1" applyBorder="1" applyAlignment="1">
      <alignment horizontal="left" vertical="center"/>
    </xf>
    <xf numFmtId="0" fontId="14" fillId="0" borderId="55" xfId="0" applyFont="1" applyBorder="1" applyAlignment="1">
      <alignment horizontal="left" vertical="center"/>
    </xf>
    <xf numFmtId="0" fontId="7" fillId="0" borderId="70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71" xfId="0" applyFont="1" applyBorder="1" applyAlignment="1">
      <alignment horizontal="left" vertical="center"/>
    </xf>
    <xf numFmtId="0" fontId="7" fillId="0" borderId="70" xfId="0" applyFont="1" applyBorder="1" applyAlignment="1">
      <alignment horizontal="center" vertical="center" shrinkToFit="1"/>
    </xf>
    <xf numFmtId="0" fontId="7" fillId="0" borderId="51" xfId="0" applyFont="1" applyBorder="1" applyAlignment="1">
      <alignment horizontal="center" vertical="center" shrinkToFit="1"/>
    </xf>
    <xf numFmtId="0" fontId="7" fillId="0" borderId="39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1" fillId="0" borderId="34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67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51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1" fillId="0" borderId="68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13" fillId="0" borderId="75" xfId="0" applyFont="1" applyBorder="1" applyAlignment="1">
      <alignment horizontal="center" vertical="center"/>
    </xf>
    <xf numFmtId="0" fontId="13" fillId="0" borderId="76" xfId="0" applyFont="1" applyBorder="1" applyAlignment="1">
      <alignment horizontal="center" vertical="center"/>
    </xf>
    <xf numFmtId="0" fontId="13" fillId="0" borderId="77" xfId="0" applyFont="1" applyBorder="1" applyAlignment="1">
      <alignment horizontal="center" vertical="center"/>
    </xf>
    <xf numFmtId="164" fontId="13" fillId="0" borderId="5" xfId="0" applyNumberFormat="1" applyFont="1" applyBorder="1" applyAlignment="1">
      <alignment horizontal="center" vertical="center" wrapText="1" shrinkToFi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164" fontId="13" fillId="0" borderId="31" xfId="0" applyNumberFormat="1" applyFont="1" applyBorder="1" applyAlignment="1">
      <alignment horizontal="center" vertical="center" wrapText="1" shrinkToFit="1"/>
    </xf>
    <xf numFmtId="0" fontId="7" fillId="0" borderId="65" xfId="0" applyFont="1" applyBorder="1" applyAlignment="1">
      <alignment horizontal="center" vertical="center" shrinkToFit="1"/>
    </xf>
    <xf numFmtId="0" fontId="7" fillId="0" borderId="65" xfId="0" applyFont="1" applyBorder="1" applyAlignment="1">
      <alignment horizontal="left" vertical="center"/>
    </xf>
    <xf numFmtId="0" fontId="7" fillId="0" borderId="67" xfId="0" applyFont="1" applyBorder="1" applyAlignment="1">
      <alignment horizontal="left" vertical="center" shrinkToFit="1" indent="1"/>
    </xf>
    <xf numFmtId="0" fontId="7" fillId="0" borderId="26" xfId="0" applyFont="1" applyBorder="1" applyAlignment="1">
      <alignment horizontal="left" vertical="center" shrinkToFit="1" indent="1"/>
    </xf>
    <xf numFmtId="0" fontId="7" fillId="0" borderId="28" xfId="0" applyFont="1" applyBorder="1" applyAlignment="1">
      <alignment horizontal="left" vertical="center" shrinkToFit="1" indent="1"/>
    </xf>
    <xf numFmtId="0" fontId="7" fillId="0" borderId="2" xfId="0" applyFont="1" applyBorder="1" applyAlignment="1">
      <alignment horizontal="center" vertical="center"/>
    </xf>
    <xf numFmtId="164" fontId="1" fillId="0" borderId="73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 shrinkToFit="1"/>
    </xf>
    <xf numFmtId="0" fontId="15" fillId="0" borderId="66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 shrinkToFit="1"/>
    </xf>
    <xf numFmtId="0" fontId="15" fillId="0" borderId="3" xfId="0" applyFont="1" applyBorder="1" applyAlignment="1">
      <alignment horizontal="center" vertical="center" shrinkToFit="1"/>
    </xf>
    <xf numFmtId="49" fontId="1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0" borderId="78" xfId="0" applyFont="1" applyBorder="1" applyAlignment="1">
      <alignment horizontal="center" vertical="center" shrinkToFit="1"/>
    </xf>
    <xf numFmtId="0" fontId="5" fillId="0" borderId="79" xfId="0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shrinkToFit="1"/>
    </xf>
    <xf numFmtId="0" fontId="5" fillId="0" borderId="14" xfId="0" applyFont="1" applyBorder="1" applyAlignment="1">
      <alignment vertical="center" shrinkToFit="1"/>
    </xf>
    <xf numFmtId="0" fontId="1" fillId="0" borderId="14" xfId="0" applyFont="1" applyBorder="1" applyAlignment="1">
      <alignment horizontal="center" vertical="center" shrinkToFit="1"/>
    </xf>
    <xf numFmtId="0" fontId="1" fillId="0" borderId="80" xfId="0" applyFont="1" applyBorder="1" applyAlignment="1">
      <alignment horizontal="center" vertical="center" shrinkToFit="1"/>
    </xf>
    <xf numFmtId="0" fontId="16" fillId="0" borderId="24" xfId="0" applyFont="1" applyBorder="1" applyAlignment="1">
      <alignment horizontal="center" vertical="center" shrinkToFit="1"/>
    </xf>
    <xf numFmtId="0" fontId="5" fillId="0" borderId="25" xfId="0" applyFont="1" applyBorder="1" applyAlignment="1">
      <alignment horizontal="center" vertical="center" shrinkToFit="1"/>
    </xf>
    <xf numFmtId="49" fontId="16" fillId="0" borderId="25" xfId="0" applyNumberFormat="1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0" fontId="16" fillId="0" borderId="30" xfId="0" applyFont="1" applyBorder="1" applyAlignment="1">
      <alignment horizontal="center" vertical="center" shrinkToFit="1"/>
    </xf>
    <xf numFmtId="49" fontId="5" fillId="0" borderId="68" xfId="0" applyNumberFormat="1" applyFont="1" applyBorder="1" applyAlignment="1">
      <alignment horizontal="center" vertical="center" shrinkToFit="1"/>
    </xf>
    <xf numFmtId="0" fontId="5" fillId="0" borderId="68" xfId="0" applyFont="1" applyBorder="1" applyAlignment="1">
      <alignment horizontal="center" vertical="center" shrinkToFit="1"/>
    </xf>
    <xf numFmtId="49" fontId="16" fillId="0" borderId="68" xfId="0" applyNumberFormat="1" applyFont="1" applyBorder="1" applyAlignment="1">
      <alignment horizontal="center" vertical="center" shrinkToFit="1"/>
    </xf>
    <xf numFmtId="0" fontId="7" fillId="0" borderId="81" xfId="0" applyFont="1" applyBorder="1" applyAlignment="1">
      <alignment horizontal="center" vertical="center" shrinkToFit="1"/>
    </xf>
    <xf numFmtId="0" fontId="16" fillId="0" borderId="82" xfId="0" applyFont="1" applyBorder="1" applyAlignment="1">
      <alignment horizontal="center" vertical="center" shrinkToFit="1"/>
    </xf>
    <xf numFmtId="49" fontId="16" fillId="2" borderId="82" xfId="0" applyNumberFormat="1" applyFont="1" applyFill="1" applyBorder="1" applyAlignment="1">
      <alignment horizontal="center" vertical="center" shrinkToFit="1"/>
    </xf>
    <xf numFmtId="49" fontId="16" fillId="2" borderId="68" xfId="0" applyNumberFormat="1" applyFont="1" applyFill="1" applyBorder="1" applyAlignment="1">
      <alignment horizontal="center" vertical="center" shrinkToFit="1"/>
    </xf>
    <xf numFmtId="49" fontId="16" fillId="2" borderId="53" xfId="0" applyNumberFormat="1" applyFont="1" applyFill="1" applyBorder="1" applyAlignment="1">
      <alignment horizontal="center" vertical="center" shrinkToFit="1"/>
    </xf>
    <xf numFmtId="49" fontId="16" fillId="2" borderId="33" xfId="0" applyNumberFormat="1" applyFont="1" applyFill="1" applyBorder="1" applyAlignment="1">
      <alignment horizontal="center" vertical="center" shrinkToFit="1"/>
    </xf>
    <xf numFmtId="0" fontId="5" fillId="0" borderId="33" xfId="0" applyFont="1" applyBorder="1" applyAlignment="1">
      <alignment horizontal="center" vertical="center" shrinkToFit="1"/>
    </xf>
    <xf numFmtId="49" fontId="16" fillId="0" borderId="33" xfId="0" applyNumberFormat="1" applyFont="1" applyBorder="1" applyAlignment="1">
      <alignment horizontal="center" vertical="center" shrinkToFit="1"/>
    </xf>
    <xf numFmtId="0" fontId="7" fillId="0" borderId="54" xfId="0" applyFont="1" applyBorder="1" applyAlignment="1">
      <alignment horizontal="center" vertical="center" shrinkToFit="1"/>
    </xf>
    <xf numFmtId="49" fontId="16" fillId="2" borderId="49" xfId="0" applyNumberFormat="1" applyFont="1" applyFill="1" applyBorder="1" applyAlignment="1">
      <alignment horizontal="center" vertical="center" shrinkToFit="1"/>
    </xf>
    <xf numFmtId="49" fontId="16" fillId="2" borderId="11" xfId="0" applyNumberFormat="1" applyFont="1" applyFill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49" fontId="16" fillId="0" borderId="11" xfId="0" applyNumberFormat="1" applyFont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 shrinkToFit="1"/>
    </xf>
    <xf numFmtId="49" fontId="16" fillId="2" borderId="30" xfId="0" applyNumberFormat="1" applyFont="1" applyFill="1" applyBorder="1" applyAlignment="1">
      <alignment horizontal="center" vertical="center" shrinkToFit="1"/>
    </xf>
    <xf numFmtId="0" fontId="5" fillId="0" borderId="30" xfId="0" applyFont="1" applyBorder="1" applyAlignment="1">
      <alignment horizontal="center" vertical="center" shrinkToFit="1"/>
    </xf>
    <xf numFmtId="0" fontId="5" fillId="0" borderId="43" xfId="0" applyFont="1" applyBorder="1" applyAlignment="1">
      <alignment horizontal="center" vertical="center" shrinkToFit="1"/>
    </xf>
    <xf numFmtId="49" fontId="5" fillId="0" borderId="44" xfId="0" applyNumberFormat="1" applyFont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shrinkToFit="1"/>
    </xf>
    <xf numFmtId="0" fontId="7" fillId="0" borderId="42" xfId="0" applyFont="1" applyBorder="1" applyAlignment="1">
      <alignment horizontal="center" vertical="center" shrinkToFit="1"/>
    </xf>
    <xf numFmtId="0" fontId="5" fillId="0" borderId="37" xfId="0" applyFont="1" applyBorder="1" applyAlignment="1">
      <alignment horizontal="center" vertical="center" shrinkToFit="1"/>
    </xf>
    <xf numFmtId="49" fontId="16" fillId="2" borderId="38" xfId="0" applyNumberFormat="1" applyFont="1" applyFill="1" applyBorder="1" applyAlignment="1">
      <alignment horizontal="center" vertical="center" shrinkToFit="1"/>
    </xf>
    <xf numFmtId="0" fontId="5" fillId="0" borderId="38" xfId="0" applyFont="1" applyBorder="1" applyAlignment="1">
      <alignment horizontal="center" vertical="center" shrinkToFit="1"/>
    </xf>
    <xf numFmtId="49" fontId="5" fillId="0" borderId="38" xfId="0" applyNumberFormat="1" applyFont="1" applyBorder="1" applyAlignment="1">
      <alignment horizontal="center" vertical="center" shrinkToFit="1"/>
    </xf>
    <xf numFmtId="0" fontId="7" fillId="0" borderId="36" xfId="0" applyFont="1" applyBorder="1" applyAlignment="1">
      <alignment horizontal="center" vertical="center" shrinkToFit="1"/>
    </xf>
    <xf numFmtId="0" fontId="5" fillId="0" borderId="49" xfId="0" applyFont="1" applyBorder="1" applyAlignment="1">
      <alignment horizontal="center" vertical="center" shrinkToFit="1"/>
    </xf>
    <xf numFmtId="49" fontId="5" fillId="0" borderId="11" xfId="0" applyNumberFormat="1" applyFont="1" applyBorder="1" applyAlignment="1">
      <alignment horizontal="center" vertical="center" shrinkToFit="1"/>
    </xf>
    <xf numFmtId="0" fontId="1" fillId="0" borderId="38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 shrinkToFit="1"/>
    </xf>
    <xf numFmtId="0" fontId="5" fillId="0" borderId="23" xfId="0" applyFont="1" applyBorder="1" applyAlignment="1">
      <alignment horizontal="center" vertical="center" shrinkToFit="1"/>
    </xf>
    <xf numFmtId="0" fontId="16" fillId="0" borderId="68" xfId="0" applyFont="1" applyBorder="1" applyAlignment="1">
      <alignment horizontal="center" vertical="center" shrinkToFit="1"/>
    </xf>
    <xf numFmtId="0" fontId="5" fillId="0" borderId="81" xfId="0" applyFont="1" applyBorder="1" applyAlignment="1">
      <alignment horizontal="center" vertical="center" shrinkToFit="1"/>
    </xf>
    <xf numFmtId="0" fontId="16" fillId="0" borderId="3" xfId="0" applyFont="1" applyBorder="1" applyAlignment="1">
      <alignment horizontal="center" vertical="center" shrinkToFit="1"/>
    </xf>
    <xf numFmtId="49" fontId="16" fillId="2" borderId="3" xfId="0" applyNumberFormat="1" applyFont="1" applyFill="1" applyBorder="1" applyAlignment="1">
      <alignment horizontal="center" vertical="center" shrinkToFit="1"/>
    </xf>
    <xf numFmtId="0" fontId="5" fillId="0" borderId="54" xfId="0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5" fillId="0" borderId="42" xfId="0" applyFont="1" applyBorder="1" applyAlignment="1">
      <alignment horizontal="center" vertical="center" shrinkToFit="1"/>
    </xf>
    <xf numFmtId="0" fontId="5" fillId="0" borderId="36" xfId="0" applyFont="1" applyBorder="1" applyAlignment="1">
      <alignment horizontal="center" vertical="center" shrinkToFit="1"/>
    </xf>
    <xf numFmtId="0" fontId="1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49" fontId="18" fillId="0" borderId="38" xfId="0" applyNumberFormat="1" applyFont="1" applyBorder="1" applyAlignment="1">
      <alignment horizontal="center" vertical="center" shrinkToFit="1"/>
    </xf>
    <xf numFmtId="0" fontId="19" fillId="0" borderId="38" xfId="0" applyFont="1" applyBorder="1" applyAlignment="1">
      <alignment horizontal="center" vertical="center" wrapText="1"/>
    </xf>
    <xf numFmtId="167" fontId="18" fillId="0" borderId="38" xfId="0" applyNumberFormat="1" applyFont="1" applyBorder="1" applyAlignment="1">
      <alignment horizontal="center" vertical="center" shrinkToFit="1"/>
    </xf>
    <xf numFmtId="168" fontId="7" fillId="0" borderId="38" xfId="0" applyNumberFormat="1" applyFont="1" applyBorder="1" applyAlignment="1">
      <alignment horizontal="center" vertical="center"/>
    </xf>
    <xf numFmtId="49" fontId="20" fillId="0" borderId="38" xfId="0" applyNumberFormat="1" applyFont="1" applyBorder="1" applyAlignment="1">
      <alignment horizontal="center" vertical="center" shrinkToFit="1"/>
    </xf>
    <xf numFmtId="49" fontId="18" fillId="0" borderId="31" xfId="0" applyNumberFormat="1" applyFont="1" applyBorder="1" applyAlignment="1">
      <alignment horizontal="center" vertical="center" shrinkToFit="1"/>
    </xf>
    <xf numFmtId="0" fontId="19" fillId="0" borderId="31" xfId="0" applyFont="1" applyBorder="1" applyAlignment="1">
      <alignment horizontal="center" vertical="center" wrapText="1"/>
    </xf>
    <xf numFmtId="167" fontId="18" fillId="0" borderId="31" xfId="0" applyNumberFormat="1" applyFont="1" applyBorder="1" applyAlignment="1">
      <alignment horizontal="center" vertical="center" shrinkToFit="1"/>
    </xf>
    <xf numFmtId="20" fontId="21" fillId="0" borderId="31" xfId="0" applyNumberFormat="1" applyFont="1" applyBorder="1" applyAlignment="1">
      <alignment horizontal="center" vertical="center"/>
    </xf>
    <xf numFmtId="49" fontId="20" fillId="0" borderId="31" xfId="0" applyNumberFormat="1" applyFont="1" applyBorder="1" applyAlignment="1">
      <alignment horizontal="center" vertical="center" shrinkToFit="1"/>
    </xf>
    <xf numFmtId="20" fontId="7" fillId="0" borderId="31" xfId="0" applyNumberFormat="1" applyFont="1" applyBorder="1" applyAlignment="1">
      <alignment horizontal="center" vertical="center"/>
    </xf>
    <xf numFmtId="49" fontId="18" fillId="0" borderId="44" xfId="0" applyNumberFormat="1" applyFont="1" applyBorder="1" applyAlignment="1">
      <alignment horizontal="center" vertical="center" shrinkToFit="1"/>
    </xf>
    <xf numFmtId="0" fontId="19" fillId="0" borderId="44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/>
    </xf>
    <xf numFmtId="167" fontId="18" fillId="0" borderId="44" xfId="0" applyNumberFormat="1" applyFont="1" applyBorder="1" applyAlignment="1">
      <alignment horizontal="center" vertical="center" shrinkToFit="1"/>
    </xf>
    <xf numFmtId="20" fontId="7" fillId="0" borderId="44" xfId="0" applyNumberFormat="1" applyFont="1" applyBorder="1" applyAlignment="1">
      <alignment horizontal="center" vertical="center"/>
    </xf>
    <xf numFmtId="49" fontId="20" fillId="0" borderId="44" xfId="0" applyNumberFormat="1" applyFont="1" applyBorder="1" applyAlignment="1">
      <alignment horizontal="center" vertical="center" shrinkToFit="1"/>
    </xf>
    <xf numFmtId="20" fontId="7" fillId="0" borderId="38" xfId="0" applyNumberFormat="1" applyFont="1" applyBorder="1" applyAlignment="1">
      <alignment horizontal="center" vertical="center"/>
    </xf>
    <xf numFmtId="49" fontId="18" fillId="3" borderId="31" xfId="0" applyNumberFormat="1" applyFont="1" applyFill="1" applyBorder="1" applyAlignment="1">
      <alignment horizontal="center" vertical="center"/>
    </xf>
    <xf numFmtId="0" fontId="7" fillId="4" borderId="68" xfId="0" applyFont="1" applyFill="1" applyBorder="1" applyAlignment="1">
      <alignment horizontal="center" vertical="center" wrapText="1"/>
    </xf>
    <xf numFmtId="167" fontId="18" fillId="3" borderId="31" xfId="0" applyNumberFormat="1" applyFont="1" applyFill="1" applyBorder="1" applyAlignment="1">
      <alignment horizontal="center" vertical="center"/>
    </xf>
    <xf numFmtId="167" fontId="22" fillId="0" borderId="68" xfId="0" applyNumberFormat="1" applyFont="1" applyBorder="1" applyAlignment="1">
      <alignment horizontal="center" vertical="center"/>
    </xf>
    <xf numFmtId="20" fontId="7" fillId="0" borderId="68" xfId="0" applyNumberFormat="1" applyFont="1" applyBorder="1" applyAlignment="1">
      <alignment horizontal="center" vertical="center"/>
    </xf>
    <xf numFmtId="0" fontId="23" fillId="0" borderId="68" xfId="0" applyFont="1" applyBorder="1" applyAlignment="1">
      <alignment horizontal="center" vertical="center" wrapText="1"/>
    </xf>
    <xf numFmtId="0" fontId="8" fillId="4" borderId="68" xfId="0" applyFont="1" applyFill="1" applyBorder="1" applyAlignment="1">
      <alignment horizontal="center" vertical="center" wrapText="1"/>
    </xf>
    <xf numFmtId="0" fontId="7" fillId="4" borderId="44" xfId="0" applyFont="1" applyFill="1" applyBorder="1" applyAlignment="1">
      <alignment horizontal="center" vertical="center" wrapText="1"/>
    </xf>
    <xf numFmtId="167" fontId="22" fillId="0" borderId="44" xfId="0" applyNumberFormat="1" applyFont="1" applyBorder="1" applyAlignment="1">
      <alignment horizontal="center" vertical="center"/>
    </xf>
    <xf numFmtId="0" fontId="8" fillId="4" borderId="44" xfId="0" applyFont="1" applyFill="1" applyBorder="1" applyAlignment="1">
      <alignment horizontal="center" vertical="center" wrapText="1"/>
    </xf>
    <xf numFmtId="0" fontId="7" fillId="4" borderId="38" xfId="0" applyFont="1" applyFill="1" applyBorder="1" applyAlignment="1">
      <alignment horizontal="center" vertical="center" wrapText="1"/>
    </xf>
    <xf numFmtId="167" fontId="22" fillId="0" borderId="38" xfId="0" applyNumberFormat="1" applyFont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 wrapText="1"/>
    </xf>
    <xf numFmtId="0" fontId="7" fillId="4" borderId="33" xfId="0" applyFont="1" applyFill="1" applyBorder="1" applyAlignment="1">
      <alignment horizontal="center" vertical="center" wrapText="1"/>
    </xf>
    <xf numFmtId="167" fontId="22" fillId="0" borderId="33" xfId="0" applyNumberFormat="1" applyFont="1" applyBorder="1" applyAlignment="1">
      <alignment horizontal="center" vertical="center"/>
    </xf>
    <xf numFmtId="0" fontId="8" fillId="4" borderId="33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167" fontId="22" fillId="0" borderId="11" xfId="0" applyNumberFormat="1" applyFont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 wrapText="1"/>
    </xf>
    <xf numFmtId="0" fontId="19" fillId="0" borderId="68" xfId="0" applyFont="1" applyBorder="1" applyAlignment="1">
      <alignment horizontal="center" vertical="center"/>
    </xf>
    <xf numFmtId="167" fontId="19" fillId="0" borderId="68" xfId="0" applyNumberFormat="1" applyFont="1" applyBorder="1" applyAlignment="1">
      <alignment horizontal="center" vertical="center"/>
    </xf>
    <xf numFmtId="167" fontId="7" fillId="0" borderId="68" xfId="0" applyNumberFormat="1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19" fillId="0" borderId="44" xfId="0" applyFont="1" applyBorder="1" applyAlignment="1">
      <alignment horizontal="center" vertical="center"/>
    </xf>
    <xf numFmtId="167" fontId="19" fillId="0" borderId="44" xfId="0" applyNumberFormat="1" applyFont="1" applyBorder="1" applyAlignment="1">
      <alignment horizontal="center" vertical="center"/>
    </xf>
    <xf numFmtId="167" fontId="7" fillId="0" borderId="44" xfId="0" applyNumberFormat="1" applyFont="1" applyBorder="1" applyAlignment="1">
      <alignment horizontal="center" vertical="center"/>
    </xf>
    <xf numFmtId="0" fontId="19" fillId="0" borderId="68" xfId="0" applyFont="1" applyBorder="1" applyAlignment="1">
      <alignment horizontal="center" vertical="center" wrapText="1"/>
    </xf>
    <xf numFmtId="0" fontId="22" fillId="0" borderId="68" xfId="0" applyFont="1" applyBorder="1" applyAlignment="1">
      <alignment horizontal="center" vertical="center"/>
    </xf>
    <xf numFmtId="0" fontId="24" fillId="0" borderId="68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3" fillId="0" borderId="68" xfId="0" applyFont="1" applyBorder="1" applyAlignment="1">
      <alignment horizontal="center" vertical="center"/>
    </xf>
    <xf numFmtId="0" fontId="23" fillId="0" borderId="44" xfId="0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shrinkToFit="1"/>
    </xf>
    <xf numFmtId="0" fontId="7" fillId="0" borderId="31" xfId="0" applyFont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 wrapText="1"/>
    </xf>
    <xf numFmtId="0" fontId="7" fillId="0" borderId="31" xfId="0" applyFont="1" applyBorder="1" applyAlignment="1">
      <alignment vertical="center" shrinkToFit="1"/>
    </xf>
    <xf numFmtId="0" fontId="7" fillId="0" borderId="29" xfId="0" applyFont="1" applyBorder="1" applyAlignment="1">
      <alignment horizontal="center" vertical="center" shrinkToFit="1"/>
    </xf>
    <xf numFmtId="0" fontId="7" fillId="0" borderId="3" xfId="0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 wrapText="1" textRotation="255"/>
    </xf>
    <xf numFmtId="0" fontId="7" fillId="0" borderId="38" xfId="0" applyFont="1" applyBorder="1" applyAlignment="1">
      <alignment horizontal="center" vertical="center" shrinkToFit="1"/>
    </xf>
    <xf numFmtId="0" fontId="7" fillId="0" borderId="41" xfId="0" applyFont="1" applyBorder="1" applyAlignment="1">
      <alignment horizontal="right" vertical="center" shrinkToFit="1"/>
    </xf>
    <xf numFmtId="0" fontId="7" fillId="0" borderId="38" xfId="0" applyFont="1" applyBorder="1" applyAlignment="1">
      <alignment horizontal="right" vertical="center" shrinkToFit="1"/>
    </xf>
    <xf numFmtId="0" fontId="27" fillId="0" borderId="31" xfId="0" applyFont="1" applyBorder="1" applyAlignment="1">
      <alignment horizontal="center" vertical="center"/>
    </xf>
    <xf numFmtId="0" fontId="7" fillId="0" borderId="31" xfId="0" applyFont="1" applyBorder="1" applyAlignment="1">
      <alignment horizontal="right" vertical="center" shrinkToFit="1"/>
    </xf>
    <xf numFmtId="0" fontId="7" fillId="0" borderId="3" xfId="0" applyFont="1" applyBorder="1" applyAlignment="1">
      <alignment horizontal="right" vertical="center" shrinkToFit="1"/>
    </xf>
    <xf numFmtId="0" fontId="7" fillId="0" borderId="33" xfId="0" applyFont="1" applyBorder="1" applyAlignment="1">
      <alignment horizontal="center" vertical="center" shrinkToFit="1"/>
    </xf>
    <xf numFmtId="0" fontId="7" fillId="0" borderId="55" xfId="0" applyFont="1" applyBorder="1" applyAlignment="1">
      <alignment horizontal="right" vertical="center" shrinkToFit="1"/>
    </xf>
    <xf numFmtId="0" fontId="7" fillId="0" borderId="33" xfId="0" applyFont="1" applyBorder="1" applyAlignment="1">
      <alignment horizontal="right" vertical="center" shrinkToFit="1"/>
    </xf>
    <xf numFmtId="0" fontId="7" fillId="0" borderId="17" xfId="0" applyFont="1" applyBorder="1" applyAlignment="1">
      <alignment horizontal="center" vertical="center" wrapText="1" textRotation="255"/>
    </xf>
    <xf numFmtId="0" fontId="7" fillId="0" borderId="17" xfId="0" applyFont="1" applyBorder="1" applyAlignment="1">
      <alignment horizontal="center" vertical="center" shrinkToFit="1"/>
    </xf>
    <xf numFmtId="0" fontId="7" fillId="0" borderId="83" xfId="0" applyFont="1" applyBorder="1" applyAlignment="1">
      <alignment horizontal="center" vertical="center" shrinkToFit="1"/>
    </xf>
    <xf numFmtId="0" fontId="7" fillId="0" borderId="20" xfId="0" applyFont="1" applyBorder="1" applyAlignment="1">
      <alignment horizontal="right" vertical="center" shrinkToFit="1"/>
    </xf>
    <xf numFmtId="0" fontId="7" fillId="0" borderId="17" xfId="0" applyFont="1" applyBorder="1" applyAlignment="1">
      <alignment horizontal="right" vertical="center" shrinkToFit="1"/>
    </xf>
    <xf numFmtId="0" fontId="7" fillId="0" borderId="15" xfId="0" applyFont="1" applyBorder="1" applyAlignment="1">
      <alignment horizontal="right" vertical="center" shrinkToFit="1"/>
    </xf>
    <xf numFmtId="0" fontId="7" fillId="0" borderId="38" xfId="0" applyFont="1" applyBorder="1" applyAlignment="1">
      <alignment horizontal="center" vertical="center" wrapText="1" textRotation="255"/>
    </xf>
    <xf numFmtId="0" fontId="7" fillId="0" borderId="41" xfId="0" applyFont="1" applyBorder="1" applyAlignment="1">
      <alignment horizontal="center" vertical="center" shrinkToFit="1"/>
    </xf>
    <xf numFmtId="0" fontId="27" fillId="0" borderId="31" xfId="0" applyFont="1" applyBorder="1" applyAlignment="1">
      <alignment horizontal="center" vertical="center" shrinkToFit="1"/>
    </xf>
    <xf numFmtId="0" fontId="7" fillId="0" borderId="14" xfId="0" applyFont="1" applyBorder="1" applyAlignment="1">
      <alignment horizontal="center" vertical="center" shrinkToFit="1"/>
    </xf>
    <xf numFmtId="0" fontId="7" fillId="0" borderId="80" xfId="0" applyFont="1" applyBorder="1" applyAlignment="1">
      <alignment horizontal="center" vertical="center" shrinkToFit="1"/>
    </xf>
    <xf numFmtId="0" fontId="7" fillId="0" borderId="74" xfId="0" applyFont="1" applyBorder="1" applyAlignment="1">
      <alignment horizontal="center" vertical="center" shrinkToFit="1"/>
    </xf>
    <xf numFmtId="20" fontId="7" fillId="0" borderId="0" xfId="0" applyNumberFormat="1" applyFont="1" applyAlignment="1">
      <alignment vertical="center"/>
    </xf>
    <xf numFmtId="0" fontId="7" fillId="0" borderId="36" xfId="0" applyFont="1" applyBorder="1" applyAlignment="1">
      <alignment horizontal="right" vertical="center" shrinkToFit="1"/>
    </xf>
    <xf numFmtId="0" fontId="7" fillId="0" borderId="29" xfId="0" applyFont="1" applyBorder="1" applyAlignment="1">
      <alignment horizontal="right" vertical="center" shrinkToFit="1"/>
    </xf>
    <xf numFmtId="0" fontId="7" fillId="0" borderId="0" xfId="0" applyFont="1" applyAlignment="1">
      <alignment horizontal="right" vertical="center" shrinkToFit="1"/>
    </xf>
    <xf numFmtId="0" fontId="7" fillId="0" borderId="71" xfId="0" applyFont="1" applyBorder="1" applyAlignment="1">
      <alignment horizontal="center" vertical="center" shrinkToFit="1"/>
    </xf>
    <xf numFmtId="0" fontId="7" fillId="0" borderId="70" xfId="0" applyFont="1" applyBorder="1" applyAlignment="1">
      <alignment vertical="center"/>
    </xf>
    <xf numFmtId="0" fontId="7" fillId="0" borderId="71" xfId="0" applyFont="1" applyBorder="1" applyAlignment="1">
      <alignment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31" xfId="0" applyNumberFormat="1" applyFont="1" applyBorder="1" applyAlignment="1">
      <alignment horizontal="center" vertical="center"/>
    </xf>
    <xf numFmtId="169" fontId="7" fillId="0" borderId="31" xfId="0" applyNumberFormat="1" applyFont="1" applyBorder="1" applyAlignment="1">
      <alignment horizontal="center" vertical="center"/>
    </xf>
    <xf numFmtId="49" fontId="7" fillId="0" borderId="38" xfId="0" applyNumberFormat="1" applyFont="1" applyBorder="1" applyAlignment="1">
      <alignment horizontal="center" vertical="center"/>
    </xf>
    <xf numFmtId="0" fontId="7" fillId="0" borderId="70" xfId="0" applyFont="1" applyBorder="1" applyAlignment="1">
      <alignment horizontal="left" vertical="center"/>
    </xf>
    <xf numFmtId="0" fontId="7" fillId="0" borderId="71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1"/>
  <sheetViews>
    <sheetView workbookViewId="0" zoomScale="90" zoomScaleNormal="90">
      <selection activeCell="C3" sqref="C3"/>
    </sheetView>
  </sheetViews>
  <sheetFormatPr defaultRowHeight="19.2" outlineLevelRow="0" outlineLevelCol="0" x14ac:dyDescent="0" customHeight="1"/>
  <cols>
    <col min="1" max="1" width="6.09765625" style="3" customWidth="1"/>
    <col min="2" max="2" width="18.59765625" style="3" customWidth="1"/>
    <col min="3" max="3" width="9.59765625" style="3" customWidth="1"/>
    <col min="4" max="4" width="10.59765625" style="3" customWidth="1"/>
    <col min="5" max="5" width="10.69921875" style="3" customWidth="1"/>
    <col min="6" max="6" width="5.8984375" style="3" customWidth="1"/>
    <col min="7" max="7" width="9.09765625" style="3" customWidth="1"/>
    <col min="8" max="8" width="13.3984375" style="3" customWidth="1"/>
    <col min="9" max="255" width="9" style="3" customWidth="1"/>
    <col min="256" max="256" width="6.5" style="3" customWidth="1"/>
    <col min="257" max="257" width="19.09765625" style="3" customWidth="1"/>
    <col min="258" max="260" width="10.69921875" style="3" customWidth="1"/>
    <col min="261" max="261" width="5.8984375" style="3" customWidth="1"/>
    <col min="262" max="262" width="8.5" style="3" customWidth="1"/>
    <col min="263" max="263" width="14" style="3" customWidth="1"/>
    <col min="264" max="264" width="2" style="3" customWidth="1"/>
    <col min="265" max="511" width="9" style="3" customWidth="1"/>
    <col min="512" max="512" width="6.5" style="3" customWidth="1"/>
    <col min="513" max="513" width="19.09765625" style="3" customWidth="1"/>
    <col min="514" max="516" width="10.69921875" style="3" customWidth="1"/>
    <col min="517" max="517" width="5.8984375" style="3" customWidth="1"/>
    <col min="518" max="518" width="8.5" style="3" customWidth="1"/>
    <col min="519" max="519" width="14" style="3" customWidth="1"/>
    <col min="520" max="520" width="2" style="3" customWidth="1"/>
    <col min="521" max="767" width="9" style="3" customWidth="1"/>
    <col min="768" max="768" width="6.5" style="3" customWidth="1"/>
    <col min="769" max="769" width="19.09765625" style="3" customWidth="1"/>
    <col min="770" max="772" width="10.69921875" style="3" customWidth="1"/>
    <col min="773" max="773" width="5.8984375" style="3" customWidth="1"/>
    <col min="774" max="774" width="8.5" style="3" customWidth="1"/>
    <col min="775" max="775" width="14" style="3" customWidth="1"/>
    <col min="776" max="776" width="2" style="3" customWidth="1"/>
    <col min="777" max="1023" width="9" style="3" customWidth="1"/>
    <col min="1024" max="1024" width="6.5" style="3" customWidth="1"/>
    <col min="1025" max="1025" width="19.09765625" style="3" customWidth="1"/>
    <col min="1026" max="1028" width="10.69921875" style="3" customWidth="1"/>
    <col min="1029" max="1029" width="5.8984375" style="3" customWidth="1"/>
    <col min="1030" max="1030" width="8.5" style="3" customWidth="1"/>
    <col min="1031" max="1031" width="14" style="3" customWidth="1"/>
    <col min="1032" max="1032" width="2" style="3" customWidth="1"/>
    <col min="1033" max="1279" width="9" style="3" customWidth="1"/>
    <col min="1280" max="1280" width="6.5" style="3" customWidth="1"/>
    <col min="1281" max="1281" width="19.09765625" style="3" customWidth="1"/>
    <col min="1282" max="1284" width="10.69921875" style="3" customWidth="1"/>
    <col min="1285" max="1285" width="5.8984375" style="3" customWidth="1"/>
    <col min="1286" max="1286" width="8.5" style="3" customWidth="1"/>
    <col min="1287" max="1287" width="14" style="3" customWidth="1"/>
    <col min="1288" max="1288" width="2" style="3" customWidth="1"/>
    <col min="1289" max="1535" width="9" style="3" customWidth="1"/>
    <col min="1536" max="1536" width="6.5" style="3" customWidth="1"/>
    <col min="1537" max="1537" width="19.09765625" style="3" customWidth="1"/>
    <col min="1538" max="1540" width="10.69921875" style="3" customWidth="1"/>
    <col min="1541" max="1541" width="5.8984375" style="3" customWidth="1"/>
    <col min="1542" max="1542" width="8.5" style="3" customWidth="1"/>
    <col min="1543" max="1543" width="14" style="3" customWidth="1"/>
    <col min="1544" max="1544" width="2" style="3" customWidth="1"/>
    <col min="1545" max="1791" width="9" style="3" customWidth="1"/>
    <col min="1792" max="1792" width="6.5" style="3" customWidth="1"/>
    <col min="1793" max="1793" width="19.09765625" style="3" customWidth="1"/>
    <col min="1794" max="1796" width="10.69921875" style="3" customWidth="1"/>
    <col min="1797" max="1797" width="5.8984375" style="3" customWidth="1"/>
    <col min="1798" max="1798" width="8.5" style="3" customWidth="1"/>
    <col min="1799" max="1799" width="14" style="3" customWidth="1"/>
    <col min="1800" max="1800" width="2" style="3" customWidth="1"/>
    <col min="1801" max="2047" width="9" style="3" customWidth="1"/>
    <col min="2048" max="2048" width="6.5" style="3" customWidth="1"/>
    <col min="2049" max="2049" width="19.09765625" style="3" customWidth="1"/>
    <col min="2050" max="2052" width="10.69921875" style="3" customWidth="1"/>
    <col min="2053" max="2053" width="5.8984375" style="3" customWidth="1"/>
    <col min="2054" max="2054" width="8.5" style="3" customWidth="1"/>
    <col min="2055" max="2055" width="14" style="3" customWidth="1"/>
    <col min="2056" max="2056" width="2" style="3" customWidth="1"/>
    <col min="2057" max="2303" width="9" style="3" customWidth="1"/>
    <col min="2304" max="2304" width="6.5" style="3" customWidth="1"/>
    <col min="2305" max="2305" width="19.09765625" style="3" customWidth="1"/>
    <col min="2306" max="2308" width="10.69921875" style="3" customWidth="1"/>
    <col min="2309" max="2309" width="5.8984375" style="3" customWidth="1"/>
    <col min="2310" max="2310" width="8.5" style="3" customWidth="1"/>
    <col min="2311" max="2311" width="14" style="3" customWidth="1"/>
    <col min="2312" max="2312" width="2" style="3" customWidth="1"/>
    <col min="2313" max="2559" width="9" style="3" customWidth="1"/>
    <col min="2560" max="2560" width="6.5" style="3" customWidth="1"/>
    <col min="2561" max="2561" width="19.09765625" style="3" customWidth="1"/>
    <col min="2562" max="2564" width="10.69921875" style="3" customWidth="1"/>
    <col min="2565" max="2565" width="5.8984375" style="3" customWidth="1"/>
    <col min="2566" max="2566" width="8.5" style="3" customWidth="1"/>
    <col min="2567" max="2567" width="14" style="3" customWidth="1"/>
    <col min="2568" max="2568" width="2" style="3" customWidth="1"/>
    <col min="2569" max="2815" width="9" style="3" customWidth="1"/>
    <col min="2816" max="2816" width="6.5" style="3" customWidth="1"/>
    <col min="2817" max="2817" width="19.09765625" style="3" customWidth="1"/>
    <col min="2818" max="2820" width="10.69921875" style="3" customWidth="1"/>
    <col min="2821" max="2821" width="5.8984375" style="3" customWidth="1"/>
    <col min="2822" max="2822" width="8.5" style="3" customWidth="1"/>
    <col min="2823" max="2823" width="14" style="3" customWidth="1"/>
    <col min="2824" max="2824" width="2" style="3" customWidth="1"/>
    <col min="2825" max="3071" width="9" style="3" customWidth="1"/>
    <col min="3072" max="3072" width="6.5" style="3" customWidth="1"/>
    <col min="3073" max="3073" width="19.09765625" style="3" customWidth="1"/>
    <col min="3074" max="3076" width="10.69921875" style="3" customWidth="1"/>
    <col min="3077" max="3077" width="5.8984375" style="3" customWidth="1"/>
    <col min="3078" max="3078" width="8.5" style="3" customWidth="1"/>
    <col min="3079" max="3079" width="14" style="3" customWidth="1"/>
    <col min="3080" max="3080" width="2" style="3" customWidth="1"/>
    <col min="3081" max="3327" width="9" style="3" customWidth="1"/>
    <col min="3328" max="3328" width="6.5" style="3" customWidth="1"/>
    <col min="3329" max="3329" width="19.09765625" style="3" customWidth="1"/>
    <col min="3330" max="3332" width="10.69921875" style="3" customWidth="1"/>
    <col min="3333" max="3333" width="5.8984375" style="3" customWidth="1"/>
    <col min="3334" max="3334" width="8.5" style="3" customWidth="1"/>
    <col min="3335" max="3335" width="14" style="3" customWidth="1"/>
    <col min="3336" max="3336" width="2" style="3" customWidth="1"/>
    <col min="3337" max="3583" width="9" style="3" customWidth="1"/>
    <col min="3584" max="3584" width="6.5" style="3" customWidth="1"/>
    <col min="3585" max="3585" width="19.09765625" style="3" customWidth="1"/>
    <col min="3586" max="3588" width="10.69921875" style="3" customWidth="1"/>
    <col min="3589" max="3589" width="5.8984375" style="3" customWidth="1"/>
    <col min="3590" max="3590" width="8.5" style="3" customWidth="1"/>
    <col min="3591" max="3591" width="14" style="3" customWidth="1"/>
    <col min="3592" max="3592" width="2" style="3" customWidth="1"/>
    <col min="3593" max="3839" width="9" style="3" customWidth="1"/>
    <col min="3840" max="3840" width="6.5" style="3" customWidth="1"/>
    <col min="3841" max="3841" width="19.09765625" style="3" customWidth="1"/>
    <col min="3842" max="3844" width="10.69921875" style="3" customWidth="1"/>
    <col min="3845" max="3845" width="5.8984375" style="3" customWidth="1"/>
    <col min="3846" max="3846" width="8.5" style="3" customWidth="1"/>
    <col min="3847" max="3847" width="14" style="3" customWidth="1"/>
    <col min="3848" max="3848" width="2" style="3" customWidth="1"/>
    <col min="3849" max="4095" width="9" style="3" customWidth="1"/>
    <col min="4096" max="4096" width="6.5" style="3" customWidth="1"/>
    <col min="4097" max="4097" width="19.09765625" style="3" customWidth="1"/>
    <col min="4098" max="4100" width="10.69921875" style="3" customWidth="1"/>
    <col min="4101" max="4101" width="5.8984375" style="3" customWidth="1"/>
    <col min="4102" max="4102" width="8.5" style="3" customWidth="1"/>
    <col min="4103" max="4103" width="14" style="3" customWidth="1"/>
    <col min="4104" max="4104" width="2" style="3" customWidth="1"/>
    <col min="4105" max="4351" width="9" style="3" customWidth="1"/>
    <col min="4352" max="4352" width="6.5" style="3" customWidth="1"/>
    <col min="4353" max="4353" width="19.09765625" style="3" customWidth="1"/>
    <col min="4354" max="4356" width="10.69921875" style="3" customWidth="1"/>
    <col min="4357" max="4357" width="5.8984375" style="3" customWidth="1"/>
    <col min="4358" max="4358" width="8.5" style="3" customWidth="1"/>
    <col min="4359" max="4359" width="14" style="3" customWidth="1"/>
    <col min="4360" max="4360" width="2" style="3" customWidth="1"/>
    <col min="4361" max="4607" width="9" style="3" customWidth="1"/>
    <col min="4608" max="4608" width="6.5" style="3" customWidth="1"/>
    <col min="4609" max="4609" width="19.09765625" style="3" customWidth="1"/>
    <col min="4610" max="4612" width="10.69921875" style="3" customWidth="1"/>
    <col min="4613" max="4613" width="5.8984375" style="3" customWidth="1"/>
    <col min="4614" max="4614" width="8.5" style="3" customWidth="1"/>
    <col min="4615" max="4615" width="14" style="3" customWidth="1"/>
    <col min="4616" max="4616" width="2" style="3" customWidth="1"/>
    <col min="4617" max="4863" width="9" style="3" customWidth="1"/>
    <col min="4864" max="4864" width="6.5" style="3" customWidth="1"/>
    <col min="4865" max="4865" width="19.09765625" style="3" customWidth="1"/>
    <col min="4866" max="4868" width="10.69921875" style="3" customWidth="1"/>
    <col min="4869" max="4869" width="5.8984375" style="3" customWidth="1"/>
    <col min="4870" max="4870" width="8.5" style="3" customWidth="1"/>
    <col min="4871" max="4871" width="14" style="3" customWidth="1"/>
    <col min="4872" max="4872" width="2" style="3" customWidth="1"/>
    <col min="4873" max="5119" width="9" style="3" customWidth="1"/>
    <col min="5120" max="5120" width="6.5" style="3" customWidth="1"/>
    <col min="5121" max="5121" width="19.09765625" style="3" customWidth="1"/>
    <col min="5122" max="5124" width="10.69921875" style="3" customWidth="1"/>
    <col min="5125" max="5125" width="5.8984375" style="3" customWidth="1"/>
    <col min="5126" max="5126" width="8.5" style="3" customWidth="1"/>
    <col min="5127" max="5127" width="14" style="3" customWidth="1"/>
    <col min="5128" max="5128" width="2" style="3" customWidth="1"/>
    <col min="5129" max="5375" width="9" style="3" customWidth="1"/>
    <col min="5376" max="5376" width="6.5" style="3" customWidth="1"/>
    <col min="5377" max="5377" width="19.09765625" style="3" customWidth="1"/>
    <col min="5378" max="5380" width="10.69921875" style="3" customWidth="1"/>
    <col min="5381" max="5381" width="5.8984375" style="3" customWidth="1"/>
    <col min="5382" max="5382" width="8.5" style="3" customWidth="1"/>
    <col min="5383" max="5383" width="14" style="3" customWidth="1"/>
    <col min="5384" max="5384" width="2" style="3" customWidth="1"/>
    <col min="5385" max="5631" width="9" style="3" customWidth="1"/>
    <col min="5632" max="5632" width="6.5" style="3" customWidth="1"/>
    <col min="5633" max="5633" width="19.09765625" style="3" customWidth="1"/>
    <col min="5634" max="5636" width="10.69921875" style="3" customWidth="1"/>
    <col min="5637" max="5637" width="5.8984375" style="3" customWidth="1"/>
    <col min="5638" max="5638" width="8.5" style="3" customWidth="1"/>
    <col min="5639" max="5639" width="14" style="3" customWidth="1"/>
    <col min="5640" max="5640" width="2" style="3" customWidth="1"/>
    <col min="5641" max="5887" width="9" style="3" customWidth="1"/>
    <col min="5888" max="5888" width="6.5" style="3" customWidth="1"/>
    <col min="5889" max="5889" width="19.09765625" style="3" customWidth="1"/>
    <col min="5890" max="5892" width="10.69921875" style="3" customWidth="1"/>
    <col min="5893" max="5893" width="5.8984375" style="3" customWidth="1"/>
    <col min="5894" max="5894" width="8.5" style="3" customWidth="1"/>
    <col min="5895" max="5895" width="14" style="3" customWidth="1"/>
    <col min="5896" max="5896" width="2" style="3" customWidth="1"/>
    <col min="5897" max="6143" width="9" style="3" customWidth="1"/>
    <col min="6144" max="6144" width="6.5" style="3" customWidth="1"/>
    <col min="6145" max="6145" width="19.09765625" style="3" customWidth="1"/>
    <col min="6146" max="6148" width="10.69921875" style="3" customWidth="1"/>
    <col min="6149" max="6149" width="5.8984375" style="3" customWidth="1"/>
    <col min="6150" max="6150" width="8.5" style="3" customWidth="1"/>
    <col min="6151" max="6151" width="14" style="3" customWidth="1"/>
    <col min="6152" max="6152" width="2" style="3" customWidth="1"/>
    <col min="6153" max="6399" width="9" style="3" customWidth="1"/>
    <col min="6400" max="6400" width="6.5" style="3" customWidth="1"/>
    <col min="6401" max="6401" width="19.09765625" style="3" customWidth="1"/>
    <col min="6402" max="6404" width="10.69921875" style="3" customWidth="1"/>
    <col min="6405" max="6405" width="5.8984375" style="3" customWidth="1"/>
    <col min="6406" max="6406" width="8.5" style="3" customWidth="1"/>
    <col min="6407" max="6407" width="14" style="3" customWidth="1"/>
    <col min="6408" max="6408" width="2" style="3" customWidth="1"/>
    <col min="6409" max="6655" width="9" style="3" customWidth="1"/>
    <col min="6656" max="6656" width="6.5" style="3" customWidth="1"/>
    <col min="6657" max="6657" width="19.09765625" style="3" customWidth="1"/>
    <col min="6658" max="6660" width="10.69921875" style="3" customWidth="1"/>
    <col min="6661" max="6661" width="5.8984375" style="3" customWidth="1"/>
    <col min="6662" max="6662" width="8.5" style="3" customWidth="1"/>
    <col min="6663" max="6663" width="14" style="3" customWidth="1"/>
    <col min="6664" max="6664" width="2" style="3" customWidth="1"/>
    <col min="6665" max="6911" width="9" style="3" customWidth="1"/>
    <col min="6912" max="6912" width="6.5" style="3" customWidth="1"/>
    <col min="6913" max="6913" width="19.09765625" style="3" customWidth="1"/>
    <col min="6914" max="6916" width="10.69921875" style="3" customWidth="1"/>
    <col min="6917" max="6917" width="5.8984375" style="3" customWidth="1"/>
    <col min="6918" max="6918" width="8.5" style="3" customWidth="1"/>
    <col min="6919" max="6919" width="14" style="3" customWidth="1"/>
    <col min="6920" max="6920" width="2" style="3" customWidth="1"/>
    <col min="6921" max="7167" width="9" style="3" customWidth="1"/>
    <col min="7168" max="7168" width="6.5" style="3" customWidth="1"/>
    <col min="7169" max="7169" width="19.09765625" style="3" customWidth="1"/>
    <col min="7170" max="7172" width="10.69921875" style="3" customWidth="1"/>
    <col min="7173" max="7173" width="5.8984375" style="3" customWidth="1"/>
    <col min="7174" max="7174" width="8.5" style="3" customWidth="1"/>
    <col min="7175" max="7175" width="14" style="3" customWidth="1"/>
    <col min="7176" max="7176" width="2" style="3" customWidth="1"/>
    <col min="7177" max="7423" width="9" style="3" customWidth="1"/>
    <col min="7424" max="7424" width="6.5" style="3" customWidth="1"/>
    <col min="7425" max="7425" width="19.09765625" style="3" customWidth="1"/>
    <col min="7426" max="7428" width="10.69921875" style="3" customWidth="1"/>
    <col min="7429" max="7429" width="5.8984375" style="3" customWidth="1"/>
    <col min="7430" max="7430" width="8.5" style="3" customWidth="1"/>
    <col min="7431" max="7431" width="14" style="3" customWidth="1"/>
    <col min="7432" max="7432" width="2" style="3" customWidth="1"/>
    <col min="7433" max="7679" width="9" style="3" customWidth="1"/>
    <col min="7680" max="7680" width="6.5" style="3" customWidth="1"/>
    <col min="7681" max="7681" width="19.09765625" style="3" customWidth="1"/>
    <col min="7682" max="7684" width="10.69921875" style="3" customWidth="1"/>
    <col min="7685" max="7685" width="5.8984375" style="3" customWidth="1"/>
    <col min="7686" max="7686" width="8.5" style="3" customWidth="1"/>
    <col min="7687" max="7687" width="14" style="3" customWidth="1"/>
    <col min="7688" max="7688" width="2" style="3" customWidth="1"/>
    <col min="7689" max="7935" width="9" style="3" customWidth="1"/>
    <col min="7936" max="7936" width="6.5" style="3" customWidth="1"/>
    <col min="7937" max="7937" width="19.09765625" style="3" customWidth="1"/>
    <col min="7938" max="7940" width="10.69921875" style="3" customWidth="1"/>
    <col min="7941" max="7941" width="5.8984375" style="3" customWidth="1"/>
    <col min="7942" max="7942" width="8.5" style="3" customWidth="1"/>
    <col min="7943" max="7943" width="14" style="3" customWidth="1"/>
    <col min="7944" max="7944" width="2" style="3" customWidth="1"/>
    <col min="7945" max="8191" width="9" style="3" customWidth="1"/>
    <col min="8192" max="8192" width="6.5" style="3" customWidth="1"/>
    <col min="8193" max="8193" width="19.09765625" style="3" customWidth="1"/>
    <col min="8194" max="8196" width="10.69921875" style="3" customWidth="1"/>
    <col min="8197" max="8197" width="5.8984375" style="3" customWidth="1"/>
    <col min="8198" max="8198" width="8.5" style="3" customWidth="1"/>
    <col min="8199" max="8199" width="14" style="3" customWidth="1"/>
    <col min="8200" max="8200" width="2" style="3" customWidth="1"/>
    <col min="8201" max="8447" width="9" style="3" customWidth="1"/>
    <col min="8448" max="8448" width="6.5" style="3" customWidth="1"/>
    <col min="8449" max="8449" width="19.09765625" style="3" customWidth="1"/>
    <col min="8450" max="8452" width="10.69921875" style="3" customWidth="1"/>
    <col min="8453" max="8453" width="5.8984375" style="3" customWidth="1"/>
    <col min="8454" max="8454" width="8.5" style="3" customWidth="1"/>
    <col min="8455" max="8455" width="14" style="3" customWidth="1"/>
    <col min="8456" max="8456" width="2" style="3" customWidth="1"/>
    <col min="8457" max="8703" width="9" style="3" customWidth="1"/>
    <col min="8704" max="8704" width="6.5" style="3" customWidth="1"/>
    <col min="8705" max="8705" width="19.09765625" style="3" customWidth="1"/>
    <col min="8706" max="8708" width="10.69921875" style="3" customWidth="1"/>
    <col min="8709" max="8709" width="5.8984375" style="3" customWidth="1"/>
    <col min="8710" max="8710" width="8.5" style="3" customWidth="1"/>
    <col min="8711" max="8711" width="14" style="3" customWidth="1"/>
    <col min="8712" max="8712" width="2" style="3" customWidth="1"/>
    <col min="8713" max="8959" width="9" style="3" customWidth="1"/>
    <col min="8960" max="8960" width="6.5" style="3" customWidth="1"/>
    <col min="8961" max="8961" width="19.09765625" style="3" customWidth="1"/>
    <col min="8962" max="8964" width="10.69921875" style="3" customWidth="1"/>
    <col min="8965" max="8965" width="5.8984375" style="3" customWidth="1"/>
    <col min="8966" max="8966" width="8.5" style="3" customWidth="1"/>
    <col min="8967" max="8967" width="14" style="3" customWidth="1"/>
    <col min="8968" max="8968" width="2" style="3" customWidth="1"/>
    <col min="8969" max="9215" width="9" style="3" customWidth="1"/>
    <col min="9216" max="9216" width="6.5" style="3" customWidth="1"/>
    <col min="9217" max="9217" width="19.09765625" style="3" customWidth="1"/>
    <col min="9218" max="9220" width="10.69921875" style="3" customWidth="1"/>
    <col min="9221" max="9221" width="5.8984375" style="3" customWidth="1"/>
    <col min="9222" max="9222" width="8.5" style="3" customWidth="1"/>
    <col min="9223" max="9223" width="14" style="3" customWidth="1"/>
    <col min="9224" max="9224" width="2" style="3" customWidth="1"/>
    <col min="9225" max="9471" width="9" style="3" customWidth="1"/>
    <col min="9472" max="9472" width="6.5" style="3" customWidth="1"/>
    <col min="9473" max="9473" width="19.09765625" style="3" customWidth="1"/>
    <col min="9474" max="9476" width="10.69921875" style="3" customWidth="1"/>
    <col min="9477" max="9477" width="5.8984375" style="3" customWidth="1"/>
    <col min="9478" max="9478" width="8.5" style="3" customWidth="1"/>
    <col min="9479" max="9479" width="14" style="3" customWidth="1"/>
    <col min="9480" max="9480" width="2" style="3" customWidth="1"/>
    <col min="9481" max="9727" width="9" style="3" customWidth="1"/>
    <col min="9728" max="9728" width="6.5" style="3" customWidth="1"/>
    <col min="9729" max="9729" width="19.09765625" style="3" customWidth="1"/>
    <col min="9730" max="9732" width="10.69921875" style="3" customWidth="1"/>
    <col min="9733" max="9733" width="5.8984375" style="3" customWidth="1"/>
    <col min="9734" max="9734" width="8.5" style="3" customWidth="1"/>
    <col min="9735" max="9735" width="14" style="3" customWidth="1"/>
    <col min="9736" max="9736" width="2" style="3" customWidth="1"/>
    <col min="9737" max="9983" width="9" style="3" customWidth="1"/>
    <col min="9984" max="9984" width="6.5" style="3" customWidth="1"/>
    <col min="9985" max="9985" width="19.09765625" style="3" customWidth="1"/>
    <col min="9986" max="9988" width="10.69921875" style="3" customWidth="1"/>
    <col min="9989" max="9989" width="5.8984375" style="3" customWidth="1"/>
    <col min="9990" max="9990" width="8.5" style="3" customWidth="1"/>
    <col min="9991" max="9991" width="14" style="3" customWidth="1"/>
    <col min="9992" max="9992" width="2" style="3" customWidth="1"/>
    <col min="9993" max="10239" width="9" style="3" customWidth="1"/>
    <col min="10240" max="10240" width="6.5" style="3" customWidth="1"/>
    <col min="10241" max="10241" width="19.09765625" style="3" customWidth="1"/>
    <col min="10242" max="10244" width="10.69921875" style="3" customWidth="1"/>
    <col min="10245" max="10245" width="5.8984375" style="3" customWidth="1"/>
    <col min="10246" max="10246" width="8.5" style="3" customWidth="1"/>
    <col min="10247" max="10247" width="14" style="3" customWidth="1"/>
    <col min="10248" max="10248" width="2" style="3" customWidth="1"/>
    <col min="10249" max="10495" width="9" style="3" customWidth="1"/>
    <col min="10496" max="10496" width="6.5" style="3" customWidth="1"/>
    <col min="10497" max="10497" width="19.09765625" style="3" customWidth="1"/>
    <col min="10498" max="10500" width="10.69921875" style="3" customWidth="1"/>
    <col min="10501" max="10501" width="5.8984375" style="3" customWidth="1"/>
    <col min="10502" max="10502" width="8.5" style="3" customWidth="1"/>
    <col min="10503" max="10503" width="14" style="3" customWidth="1"/>
    <col min="10504" max="10504" width="2" style="3" customWidth="1"/>
    <col min="10505" max="10751" width="9" style="3" customWidth="1"/>
    <col min="10752" max="10752" width="6.5" style="3" customWidth="1"/>
    <col min="10753" max="10753" width="19.09765625" style="3" customWidth="1"/>
    <col min="10754" max="10756" width="10.69921875" style="3" customWidth="1"/>
    <col min="10757" max="10757" width="5.8984375" style="3" customWidth="1"/>
    <col min="10758" max="10758" width="8.5" style="3" customWidth="1"/>
    <col min="10759" max="10759" width="14" style="3" customWidth="1"/>
    <col min="10760" max="10760" width="2" style="3" customWidth="1"/>
    <col min="10761" max="11007" width="9" style="3" customWidth="1"/>
    <col min="11008" max="11008" width="6.5" style="3" customWidth="1"/>
    <col min="11009" max="11009" width="19.09765625" style="3" customWidth="1"/>
    <col min="11010" max="11012" width="10.69921875" style="3" customWidth="1"/>
    <col min="11013" max="11013" width="5.8984375" style="3" customWidth="1"/>
    <col min="11014" max="11014" width="8.5" style="3" customWidth="1"/>
    <col min="11015" max="11015" width="14" style="3" customWidth="1"/>
    <col min="11016" max="11016" width="2" style="3" customWidth="1"/>
    <col min="11017" max="11263" width="9" style="3" customWidth="1"/>
    <col min="11264" max="11264" width="6.5" style="3" customWidth="1"/>
    <col min="11265" max="11265" width="19.09765625" style="3" customWidth="1"/>
    <col min="11266" max="11268" width="10.69921875" style="3" customWidth="1"/>
    <col min="11269" max="11269" width="5.8984375" style="3" customWidth="1"/>
    <col min="11270" max="11270" width="8.5" style="3" customWidth="1"/>
    <col min="11271" max="11271" width="14" style="3" customWidth="1"/>
    <col min="11272" max="11272" width="2" style="3" customWidth="1"/>
    <col min="11273" max="11519" width="9" style="3" customWidth="1"/>
    <col min="11520" max="11520" width="6.5" style="3" customWidth="1"/>
    <col min="11521" max="11521" width="19.09765625" style="3" customWidth="1"/>
    <col min="11522" max="11524" width="10.69921875" style="3" customWidth="1"/>
    <col min="11525" max="11525" width="5.8984375" style="3" customWidth="1"/>
    <col min="11526" max="11526" width="8.5" style="3" customWidth="1"/>
    <col min="11527" max="11527" width="14" style="3" customWidth="1"/>
    <col min="11528" max="11528" width="2" style="3" customWidth="1"/>
    <col min="11529" max="11775" width="9" style="3" customWidth="1"/>
    <col min="11776" max="11776" width="6.5" style="3" customWidth="1"/>
    <col min="11777" max="11777" width="19.09765625" style="3" customWidth="1"/>
    <col min="11778" max="11780" width="10.69921875" style="3" customWidth="1"/>
    <col min="11781" max="11781" width="5.8984375" style="3" customWidth="1"/>
    <col min="11782" max="11782" width="8.5" style="3" customWidth="1"/>
    <col min="11783" max="11783" width="14" style="3" customWidth="1"/>
    <col min="11784" max="11784" width="2" style="3" customWidth="1"/>
    <col min="11785" max="12031" width="9" style="3" customWidth="1"/>
    <col min="12032" max="12032" width="6.5" style="3" customWidth="1"/>
    <col min="12033" max="12033" width="19.09765625" style="3" customWidth="1"/>
    <col min="12034" max="12036" width="10.69921875" style="3" customWidth="1"/>
    <col min="12037" max="12037" width="5.8984375" style="3" customWidth="1"/>
    <col min="12038" max="12038" width="8.5" style="3" customWidth="1"/>
    <col min="12039" max="12039" width="14" style="3" customWidth="1"/>
    <col min="12040" max="12040" width="2" style="3" customWidth="1"/>
    <col min="12041" max="12287" width="9" style="3" customWidth="1"/>
    <col min="12288" max="12288" width="6.5" style="3" customWidth="1"/>
    <col min="12289" max="12289" width="19.09765625" style="3" customWidth="1"/>
    <col min="12290" max="12292" width="10.69921875" style="3" customWidth="1"/>
    <col min="12293" max="12293" width="5.8984375" style="3" customWidth="1"/>
    <col min="12294" max="12294" width="8.5" style="3" customWidth="1"/>
    <col min="12295" max="12295" width="14" style="3" customWidth="1"/>
    <col min="12296" max="12296" width="2" style="3" customWidth="1"/>
    <col min="12297" max="12543" width="9" style="3" customWidth="1"/>
    <col min="12544" max="12544" width="6.5" style="3" customWidth="1"/>
    <col min="12545" max="12545" width="19.09765625" style="3" customWidth="1"/>
    <col min="12546" max="12548" width="10.69921875" style="3" customWidth="1"/>
    <col min="12549" max="12549" width="5.8984375" style="3" customWidth="1"/>
    <col min="12550" max="12550" width="8.5" style="3" customWidth="1"/>
    <col min="12551" max="12551" width="14" style="3" customWidth="1"/>
    <col min="12552" max="12552" width="2" style="3" customWidth="1"/>
    <col min="12553" max="12799" width="9" style="3" customWidth="1"/>
    <col min="12800" max="12800" width="6.5" style="3" customWidth="1"/>
    <col min="12801" max="12801" width="19.09765625" style="3" customWidth="1"/>
    <col min="12802" max="12804" width="10.69921875" style="3" customWidth="1"/>
    <col min="12805" max="12805" width="5.8984375" style="3" customWidth="1"/>
    <col min="12806" max="12806" width="8.5" style="3" customWidth="1"/>
    <col min="12807" max="12807" width="14" style="3" customWidth="1"/>
    <col min="12808" max="12808" width="2" style="3" customWidth="1"/>
    <col min="12809" max="13055" width="9" style="3" customWidth="1"/>
    <col min="13056" max="13056" width="6.5" style="3" customWidth="1"/>
    <col min="13057" max="13057" width="19.09765625" style="3" customWidth="1"/>
    <col min="13058" max="13060" width="10.69921875" style="3" customWidth="1"/>
    <col min="13061" max="13061" width="5.8984375" style="3" customWidth="1"/>
    <col min="13062" max="13062" width="8.5" style="3" customWidth="1"/>
    <col min="13063" max="13063" width="14" style="3" customWidth="1"/>
    <col min="13064" max="13064" width="2" style="3" customWidth="1"/>
    <col min="13065" max="13311" width="9" style="3" customWidth="1"/>
    <col min="13312" max="13312" width="6.5" style="3" customWidth="1"/>
    <col min="13313" max="13313" width="19.09765625" style="3" customWidth="1"/>
    <col min="13314" max="13316" width="10.69921875" style="3" customWidth="1"/>
    <col min="13317" max="13317" width="5.8984375" style="3" customWidth="1"/>
    <col min="13318" max="13318" width="8.5" style="3" customWidth="1"/>
    <col min="13319" max="13319" width="14" style="3" customWidth="1"/>
    <col min="13320" max="13320" width="2" style="3" customWidth="1"/>
    <col min="13321" max="13567" width="9" style="3" customWidth="1"/>
    <col min="13568" max="13568" width="6.5" style="3" customWidth="1"/>
    <col min="13569" max="13569" width="19.09765625" style="3" customWidth="1"/>
    <col min="13570" max="13572" width="10.69921875" style="3" customWidth="1"/>
    <col min="13573" max="13573" width="5.8984375" style="3" customWidth="1"/>
    <col min="13574" max="13574" width="8.5" style="3" customWidth="1"/>
    <col min="13575" max="13575" width="14" style="3" customWidth="1"/>
    <col min="13576" max="13576" width="2" style="3" customWidth="1"/>
    <col min="13577" max="13823" width="9" style="3" customWidth="1"/>
    <col min="13824" max="13824" width="6.5" style="3" customWidth="1"/>
    <col min="13825" max="13825" width="19.09765625" style="3" customWidth="1"/>
    <col min="13826" max="13828" width="10.69921875" style="3" customWidth="1"/>
    <col min="13829" max="13829" width="5.8984375" style="3" customWidth="1"/>
    <col min="13830" max="13830" width="8.5" style="3" customWidth="1"/>
    <col min="13831" max="13831" width="14" style="3" customWidth="1"/>
    <col min="13832" max="13832" width="2" style="3" customWidth="1"/>
    <col min="13833" max="14079" width="9" style="3" customWidth="1"/>
    <col min="14080" max="14080" width="6.5" style="3" customWidth="1"/>
    <col min="14081" max="14081" width="19.09765625" style="3" customWidth="1"/>
    <col min="14082" max="14084" width="10.69921875" style="3" customWidth="1"/>
    <col min="14085" max="14085" width="5.8984375" style="3" customWidth="1"/>
    <col min="14086" max="14086" width="8.5" style="3" customWidth="1"/>
    <col min="14087" max="14087" width="14" style="3" customWidth="1"/>
    <col min="14088" max="14088" width="2" style="3" customWidth="1"/>
    <col min="14089" max="14335" width="9" style="3" customWidth="1"/>
    <col min="14336" max="14336" width="6.5" style="3" customWidth="1"/>
    <col min="14337" max="14337" width="19.09765625" style="3" customWidth="1"/>
    <col min="14338" max="14340" width="10.69921875" style="3" customWidth="1"/>
    <col min="14341" max="14341" width="5.8984375" style="3" customWidth="1"/>
    <col min="14342" max="14342" width="8.5" style="3" customWidth="1"/>
    <col min="14343" max="14343" width="14" style="3" customWidth="1"/>
    <col min="14344" max="14344" width="2" style="3" customWidth="1"/>
    <col min="14345" max="14591" width="9" style="3" customWidth="1"/>
    <col min="14592" max="14592" width="6.5" style="3" customWidth="1"/>
    <col min="14593" max="14593" width="19.09765625" style="3" customWidth="1"/>
    <col min="14594" max="14596" width="10.69921875" style="3" customWidth="1"/>
    <col min="14597" max="14597" width="5.8984375" style="3" customWidth="1"/>
    <col min="14598" max="14598" width="8.5" style="3" customWidth="1"/>
    <col min="14599" max="14599" width="14" style="3" customWidth="1"/>
    <col min="14600" max="14600" width="2" style="3" customWidth="1"/>
    <col min="14601" max="14847" width="9" style="3" customWidth="1"/>
    <col min="14848" max="14848" width="6.5" style="3" customWidth="1"/>
    <col min="14849" max="14849" width="19.09765625" style="3" customWidth="1"/>
    <col min="14850" max="14852" width="10.69921875" style="3" customWidth="1"/>
    <col min="14853" max="14853" width="5.8984375" style="3" customWidth="1"/>
    <col min="14854" max="14854" width="8.5" style="3" customWidth="1"/>
    <col min="14855" max="14855" width="14" style="3" customWidth="1"/>
    <col min="14856" max="14856" width="2" style="3" customWidth="1"/>
    <col min="14857" max="15103" width="9" style="3" customWidth="1"/>
    <col min="15104" max="15104" width="6.5" style="3" customWidth="1"/>
    <col min="15105" max="15105" width="19.09765625" style="3" customWidth="1"/>
    <col min="15106" max="15108" width="10.69921875" style="3" customWidth="1"/>
    <col min="15109" max="15109" width="5.8984375" style="3" customWidth="1"/>
    <col min="15110" max="15110" width="8.5" style="3" customWidth="1"/>
    <col min="15111" max="15111" width="14" style="3" customWidth="1"/>
    <col min="15112" max="15112" width="2" style="3" customWidth="1"/>
    <col min="15113" max="15359" width="9" style="3" customWidth="1"/>
    <col min="15360" max="15360" width="6.5" style="3" customWidth="1"/>
    <col min="15361" max="15361" width="19.09765625" style="3" customWidth="1"/>
    <col min="15362" max="15364" width="10.69921875" style="3" customWidth="1"/>
    <col min="15365" max="15365" width="5.8984375" style="3" customWidth="1"/>
    <col min="15366" max="15366" width="8.5" style="3" customWidth="1"/>
    <col min="15367" max="15367" width="14" style="3" customWidth="1"/>
    <col min="15368" max="15368" width="2" style="3" customWidth="1"/>
    <col min="15369" max="15615" width="9" style="3" customWidth="1"/>
    <col min="15616" max="15616" width="6.5" style="3" customWidth="1"/>
    <col min="15617" max="15617" width="19.09765625" style="3" customWidth="1"/>
    <col min="15618" max="15620" width="10.69921875" style="3" customWidth="1"/>
    <col min="15621" max="15621" width="5.8984375" style="3" customWidth="1"/>
    <col min="15622" max="15622" width="8.5" style="3" customWidth="1"/>
    <col min="15623" max="15623" width="14" style="3" customWidth="1"/>
    <col min="15624" max="15624" width="2" style="3" customWidth="1"/>
    <col min="15625" max="15871" width="9" style="3" customWidth="1"/>
    <col min="15872" max="15872" width="6.5" style="3" customWidth="1"/>
    <col min="15873" max="15873" width="19.09765625" style="3" customWidth="1"/>
    <col min="15874" max="15876" width="10.69921875" style="3" customWidth="1"/>
    <col min="15877" max="15877" width="5.8984375" style="3" customWidth="1"/>
    <col min="15878" max="15878" width="8.5" style="3" customWidth="1"/>
    <col min="15879" max="15879" width="14" style="3" customWidth="1"/>
    <col min="15880" max="15880" width="2" style="3" customWidth="1"/>
    <col min="15881" max="16127" width="9" style="3" customWidth="1"/>
    <col min="16128" max="16128" width="6.5" style="3" customWidth="1"/>
    <col min="16129" max="16129" width="19.09765625" style="3" customWidth="1"/>
    <col min="16130" max="16132" width="10.69921875" style="3" customWidth="1"/>
    <col min="16133" max="16133" width="5.8984375" style="3" customWidth="1"/>
    <col min="16134" max="16134" width="8.5" style="3" customWidth="1"/>
    <col min="16135" max="16135" width="14" style="3" customWidth="1"/>
    <col min="16136" max="16136" width="2" style="3" customWidth="1"/>
    <col min="16137" max="16384" width="9" style="3" customWidth="1"/>
  </cols>
  <sheetData>
    <row r="1" ht="33" customHeight="1" spans="1:8" x14ac:dyDescent="0.25">
      <c r="A1" s="4" t="s">
        <v>25</v>
      </c>
      <c r="B1" s="4"/>
      <c r="C1" s="4"/>
      <c r="D1" s="4"/>
      <c r="E1" s="4"/>
      <c r="F1" s="4"/>
      <c r="G1" s="4"/>
      <c r="H1" s="4"/>
    </row>
    <row r="2" spans="1:8" x14ac:dyDescent="0.25">
      <c r="A2" s="141" t="s">
        <v>26</v>
      </c>
      <c r="B2" s="141"/>
      <c r="C2" s="141"/>
      <c r="D2" s="141"/>
      <c r="E2" s="141"/>
      <c r="F2" s="141"/>
      <c r="G2" s="141"/>
      <c r="H2" s="141"/>
    </row>
    <row r="3" ht="24.75" customHeight="1" spans="3:6" x14ac:dyDescent="0.25">
      <c r="C3" s="142" t="s">
        <v>27</v>
      </c>
      <c r="D3" s="143"/>
      <c r="E3" s="143"/>
      <c r="F3" s="144"/>
    </row>
    <row r="4" ht="11.25" customHeight="1" spans="1:8" x14ac:dyDescent="0.25">
      <c r="A4" s="145"/>
      <c r="B4" s="145"/>
      <c r="C4" s="145"/>
      <c r="D4" s="145"/>
      <c r="E4" s="145"/>
      <c r="F4" s="145"/>
      <c r="G4" s="145"/>
      <c r="H4" s="145"/>
    </row>
    <row r="5" ht="24" customHeight="1" spans="1:8" s="9" customFormat="1" x14ac:dyDescent="0.25">
      <c r="A5" s="9" t="s">
        <v>28</v>
      </c>
      <c r="B5" s="146" t="str">
        <f>'Final Work'!B4</f>
        <v>STARSHIP DRACO</v>
      </c>
      <c r="C5" s="114" t="s">
        <v>29</v>
      </c>
      <c r="D5" s="114"/>
      <c r="E5" s="114"/>
      <c r="F5" s="114"/>
      <c r="G5" s="9" t="s">
        <v>30</v>
      </c>
      <c r="H5" s="18"/>
    </row>
    <row r="6" ht="11.25" customHeight="1" spans="2:12" s="9" customFormat="1" x14ac:dyDescent="0.25"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ht="24" customHeight="1" spans="1:8" s="9" customFormat="1" x14ac:dyDescent="0.25">
      <c r="A7" s="9" t="s">
        <v>31</v>
      </c>
      <c r="B7" s="146" t="s">
        <v>32</v>
      </c>
      <c r="C7" s="147"/>
      <c r="D7" s="114" t="s">
        <v>33</v>
      </c>
      <c r="E7" s="114">
        <v>15</v>
      </c>
      <c r="F7" s="146"/>
      <c r="G7" s="148" t="s">
        <v>34</v>
      </c>
      <c r="H7" s="149" t="s">
        <v>35</v>
      </c>
    </row>
    <row r="8" ht="11.25" customHeight="1" spans="2:12" s="9" customFormat="1" x14ac:dyDescent="0.25"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ht="15" customHeight="1" spans="2:8" s="9" customFormat="1" x14ac:dyDescent="0.25">
      <c r="B9" s="9"/>
      <c r="H9" s="150" t="s">
        <v>36</v>
      </c>
    </row>
    <row r="10" ht="11.25" customHeight="1" spans="2:2" s="9" customFormat="1" x14ac:dyDescent="0.25">
      <c r="B10" s="9"/>
    </row>
    <row r="11" ht="24.75" customHeight="1" spans="1:8" s="9" customFormat="1" x14ac:dyDescent="0.25">
      <c r="A11" s="151" t="s">
        <v>37</v>
      </c>
      <c r="B11" s="152"/>
      <c r="C11" s="153" t="s">
        <v>38</v>
      </c>
      <c r="D11" s="153"/>
      <c r="E11" s="153"/>
      <c r="F11" s="153"/>
      <c r="G11" s="153"/>
      <c r="H11" s="152"/>
    </row>
    <row r="12" ht="19.95" customHeight="1" spans="1:8" s="9" customFormat="1" x14ac:dyDescent="0.25">
      <c r="A12" s="154"/>
      <c r="B12" s="155"/>
      <c r="C12" s="156"/>
      <c r="D12" s="156"/>
      <c r="E12" s="156"/>
      <c r="F12" s="156"/>
      <c r="G12" s="156"/>
      <c r="H12" s="156"/>
    </row>
    <row r="13" ht="19.95" customHeight="1" spans="1:8" x14ac:dyDescent="0.25">
      <c r="A13" s="157"/>
      <c r="B13" s="158"/>
      <c r="C13" s="159"/>
      <c r="D13" s="159"/>
      <c r="E13" s="159"/>
      <c r="F13" s="159"/>
      <c r="G13" s="159"/>
      <c r="H13" s="159"/>
    </row>
    <row r="14" ht="19.95" customHeight="1" spans="1:10" x14ac:dyDescent="0.25">
      <c r="A14" s="157"/>
      <c r="B14" s="160"/>
      <c r="C14" s="161"/>
      <c r="D14" s="162"/>
      <c r="E14" s="162"/>
      <c r="F14" s="162"/>
      <c r="G14" s="162"/>
      <c r="H14" s="163"/>
      <c r="J14" s="3" t="s">
        <v>39</v>
      </c>
    </row>
    <row r="15" ht="19.95" customHeight="1" spans="1:8" x14ac:dyDescent="0.25">
      <c r="A15" s="157"/>
      <c r="B15" s="164"/>
      <c r="C15" s="161"/>
      <c r="D15" s="162"/>
      <c r="E15" s="162"/>
      <c r="F15" s="162"/>
      <c r="G15" s="162"/>
      <c r="H15" s="163"/>
    </row>
    <row r="16" ht="19.95" customHeight="1" spans="1:8" x14ac:dyDescent="0.25">
      <c r="A16" s="165"/>
      <c r="B16" s="166"/>
      <c r="C16" s="167"/>
      <c r="D16" s="168"/>
      <c r="E16" s="168"/>
      <c r="F16" s="168"/>
      <c r="G16" s="168"/>
      <c r="H16" s="169"/>
    </row>
    <row r="17" ht="19.95" customHeight="1" spans="1:8" x14ac:dyDescent="0.25">
      <c r="A17" s="170"/>
      <c r="B17" s="160"/>
      <c r="C17" s="161"/>
      <c r="D17" s="162"/>
      <c r="E17" s="162"/>
      <c r="F17" s="162"/>
      <c r="G17" s="162"/>
      <c r="H17" s="163"/>
    </row>
    <row r="18" ht="19.95" customHeight="1" spans="1:8" x14ac:dyDescent="0.25">
      <c r="A18" s="171"/>
      <c r="B18" s="164"/>
      <c r="C18" s="161"/>
      <c r="D18" s="162"/>
      <c r="E18" s="162"/>
      <c r="F18" s="162"/>
      <c r="G18" s="162"/>
      <c r="H18" s="163"/>
    </row>
    <row r="19" ht="19.95" customHeight="1" spans="1:8" x14ac:dyDescent="0.25">
      <c r="A19" s="157"/>
      <c r="B19" s="160"/>
      <c r="C19" s="172"/>
      <c r="D19" s="173"/>
      <c r="E19" s="173"/>
      <c r="F19" s="173"/>
      <c r="G19" s="173"/>
      <c r="H19" s="174"/>
    </row>
    <row r="20" ht="19.95" customHeight="1" spans="1:8" x14ac:dyDescent="0.25">
      <c r="A20" s="175"/>
      <c r="B20" s="164"/>
      <c r="C20" s="161"/>
      <c r="D20" s="162"/>
      <c r="E20" s="162"/>
      <c r="F20" s="162"/>
      <c r="G20" s="162"/>
      <c r="H20" s="163"/>
    </row>
    <row r="21" ht="19.95" customHeight="1" spans="1:10" x14ac:dyDescent="0.25">
      <c r="A21" s="176"/>
      <c r="B21" s="166"/>
      <c r="C21" s="167"/>
      <c r="D21" s="168"/>
      <c r="E21" s="168"/>
      <c r="F21" s="168"/>
      <c r="G21" s="168"/>
      <c r="H21" s="169"/>
      <c r="J21" s="40"/>
    </row>
    <row r="22" ht="19.95" customHeight="1" spans="1:10" x14ac:dyDescent="0.25">
      <c r="A22" s="177"/>
      <c r="B22" s="164"/>
      <c r="C22" s="172"/>
      <c r="D22" s="173"/>
      <c r="E22" s="173"/>
      <c r="F22" s="173"/>
      <c r="G22" s="173"/>
      <c r="H22" s="174"/>
      <c r="J22" s="40"/>
    </row>
    <row r="23" ht="19.95" customHeight="1" spans="1:13" x14ac:dyDescent="0.25">
      <c r="A23" s="178"/>
      <c r="B23" s="164"/>
      <c r="C23" s="161"/>
      <c r="D23" s="162"/>
      <c r="E23" s="162"/>
      <c r="F23" s="162"/>
      <c r="G23" s="162"/>
      <c r="H23" s="163"/>
      <c r="J23" s="40"/>
      <c r="M23" s="179"/>
    </row>
    <row r="24" ht="19.95" customHeight="1" spans="1:13" x14ac:dyDescent="0.25">
      <c r="A24" s="157"/>
      <c r="B24" s="164"/>
      <c r="C24" s="161"/>
      <c r="D24" s="162"/>
      <c r="E24" s="162"/>
      <c r="F24" s="162"/>
      <c r="G24" s="162"/>
      <c r="H24" s="163"/>
      <c r="M24" s="179"/>
    </row>
    <row r="25" ht="19.95" customHeight="1" spans="1:8" x14ac:dyDescent="0.25">
      <c r="A25" s="180"/>
      <c r="B25" s="181"/>
      <c r="C25" s="161"/>
      <c r="D25" s="162"/>
      <c r="E25" s="162"/>
      <c r="F25" s="162"/>
      <c r="G25" s="162"/>
      <c r="H25" s="163"/>
    </row>
    <row r="26" ht="19.95" customHeight="1" spans="1:8" x14ac:dyDescent="0.25">
      <c r="A26" s="165"/>
      <c r="B26" s="181"/>
      <c r="C26" s="167"/>
      <c r="D26" s="168"/>
      <c r="E26" s="168"/>
      <c r="F26" s="168"/>
      <c r="G26" s="168"/>
      <c r="H26" s="169"/>
    </row>
    <row r="27" ht="19.95" customHeight="1" spans="1:8" x14ac:dyDescent="0.25">
      <c r="A27" s="29"/>
      <c r="B27" s="27"/>
      <c r="C27" s="172"/>
      <c r="D27" s="173"/>
      <c r="E27" s="173"/>
      <c r="F27" s="173"/>
      <c r="G27" s="173"/>
      <c r="H27" s="174"/>
    </row>
    <row r="28" ht="19.95" customHeight="1" spans="1:8" x14ac:dyDescent="0.25">
      <c r="A28" s="157"/>
      <c r="B28" s="181"/>
      <c r="C28" s="182"/>
      <c r="D28" s="182"/>
      <c r="E28" s="182"/>
      <c r="F28" s="182"/>
      <c r="G28" s="182"/>
      <c r="H28" s="182"/>
    </row>
    <row r="29" ht="19.95" customHeight="1" spans="1:8" x14ac:dyDescent="0.25">
      <c r="A29" s="157"/>
      <c r="B29" s="160"/>
      <c r="C29" s="182"/>
      <c r="D29" s="182"/>
      <c r="E29" s="182"/>
      <c r="F29" s="182"/>
      <c r="G29" s="182"/>
      <c r="H29" s="182"/>
    </row>
    <row r="30" ht="19.95" customHeight="1" spans="1:8" x14ac:dyDescent="0.25">
      <c r="A30" s="183"/>
      <c r="B30" s="164"/>
      <c r="C30" s="161"/>
      <c r="D30" s="162"/>
      <c r="E30" s="162"/>
      <c r="F30" s="162"/>
      <c r="G30" s="162"/>
      <c r="H30" s="163"/>
    </row>
    <row r="31" ht="19.95" customHeight="1" spans="1:8" x14ac:dyDescent="0.25">
      <c r="A31" s="184"/>
      <c r="B31" s="166"/>
      <c r="C31" s="167"/>
      <c r="D31" s="168"/>
      <c r="E31" s="168"/>
      <c r="F31" s="168"/>
      <c r="G31" s="168"/>
      <c r="H31" s="169"/>
    </row>
    <row r="32" ht="19.95" customHeight="1" spans="1:8" x14ac:dyDescent="0.25">
      <c r="A32" s="29"/>
      <c r="B32" s="160"/>
      <c r="C32" s="172"/>
      <c r="D32" s="173"/>
      <c r="E32" s="173"/>
      <c r="F32" s="173"/>
      <c r="G32" s="173"/>
      <c r="H32" s="174"/>
    </row>
    <row r="33" ht="19.95" customHeight="1" spans="1:8" x14ac:dyDescent="0.25">
      <c r="A33" s="157"/>
      <c r="B33" s="181"/>
      <c r="C33" s="182"/>
      <c r="D33" s="182"/>
      <c r="E33" s="182"/>
      <c r="F33" s="182"/>
      <c r="G33" s="182"/>
      <c r="H33" s="182"/>
    </row>
    <row r="34" ht="19.95" customHeight="1" spans="1:8" x14ac:dyDescent="0.25">
      <c r="A34" s="183"/>
      <c r="B34" s="158"/>
      <c r="C34" s="185"/>
      <c r="D34" s="185"/>
      <c r="E34" s="185"/>
      <c r="F34" s="185"/>
      <c r="G34" s="185"/>
      <c r="H34" s="185"/>
    </row>
    <row r="35" ht="19.95" customHeight="1" spans="1:8" x14ac:dyDescent="0.25">
      <c r="A35" s="183"/>
      <c r="B35" s="160"/>
      <c r="C35" s="182"/>
      <c r="D35" s="182"/>
      <c r="E35" s="182"/>
      <c r="F35" s="182"/>
      <c r="G35" s="182"/>
      <c r="H35" s="182"/>
    </row>
    <row r="36" ht="19.95" customHeight="1" spans="1:8" x14ac:dyDescent="0.25">
      <c r="A36" s="184"/>
      <c r="B36" s="160"/>
      <c r="C36" s="182"/>
      <c r="D36" s="182"/>
      <c r="E36" s="182"/>
      <c r="F36" s="182"/>
      <c r="G36" s="182"/>
      <c r="H36" s="182"/>
    </row>
    <row r="37" ht="20.1" customHeight="1" spans="1:8" x14ac:dyDescent="0.25">
      <c r="A37" s="3"/>
      <c r="B37" s="186"/>
      <c r="C37" s="40"/>
      <c r="D37" s="40"/>
      <c r="E37" s="40"/>
      <c r="F37" s="40"/>
      <c r="G37" s="40"/>
      <c r="H37" s="40"/>
    </row>
    <row r="38" ht="20.1" customHeight="1" spans="1:8" x14ac:dyDescent="0.25">
      <c r="A38" s="3"/>
      <c r="B38" s="186"/>
      <c r="C38" s="40"/>
      <c r="D38" s="40"/>
      <c r="E38" s="40"/>
      <c r="F38" s="40"/>
      <c r="G38" s="40"/>
      <c r="H38" s="40"/>
    </row>
    <row r="39" ht="19.95" customHeight="1" spans="1:8" x14ac:dyDescent="0.25">
      <c r="A39" s="3"/>
      <c r="B39" s="3"/>
      <c r="C39" s="3"/>
      <c r="D39" s="3"/>
      <c r="E39" s="3"/>
      <c r="F39" s="3"/>
      <c r="G39" s="3"/>
      <c r="H39" s="3"/>
    </row>
    <row r="40" ht="14.25" customHeight="1" spans="1:2" x14ac:dyDescent="0.25">
      <c r="A40" s="187"/>
      <c r="B40" s="187"/>
    </row>
    <row r="41" spans="1:8" x14ac:dyDescent="0.25">
      <c r="A41" s="188" t="s">
        <v>23</v>
      </c>
      <c r="B41" s="189"/>
      <c r="C41" s="9"/>
      <c r="D41" s="9"/>
      <c r="E41" s="9"/>
      <c r="G41" s="179"/>
      <c r="H41" s="114"/>
    </row>
  </sheetData>
  <mergeCells count="33">
    <mergeCell ref="A1:H1"/>
    <mergeCell ref="A2:H2"/>
    <mergeCell ref="C3:F3"/>
    <mergeCell ref="C5:F5"/>
    <mergeCell ref="A11:B11"/>
    <mergeCell ref="C11:H11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A41:B41"/>
    <mergeCell ref="G41:H41"/>
  </mergeCells>
  <printOptions horizontalCentered="1"/>
  <pageMargins left="0.5511811023622047" right="0.3937007874015748" top="0.5511811023622047" bottom="0.31496062992125984" header="0.5118110236220472" footer="0.35433070866141736"/>
  <pageSetup paperSize="9" orientation="portrait" horizontalDpi="4294967295" verticalDpi="4294967295" scale="99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</sheetPr>
  <dimension ref="A1:N33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9.09765625" style="3" customWidth="1"/>
    <col min="2" max="3" width="6.59765625" style="3" customWidth="1"/>
    <col min="4" max="6" width="9.09765625" style="3" customWidth="1"/>
    <col min="7" max="7" width="10.09765625" style="3" customWidth="1"/>
    <col min="8" max="9" width="7.59765625" style="3" customWidth="1"/>
    <col min="10" max="10" width="14.59765625" style="3" customWidth="1"/>
    <col min="11" max="12" width="9.59765625" style="3" customWidth="1"/>
    <col min="13" max="13" width="20.69921875" style="3" customWidth="1"/>
    <col min="14" max="256" width="9" style="3" customWidth="1"/>
    <col min="257" max="257" width="9.19921875" style="3" customWidth="1"/>
    <col min="258" max="258" width="7" style="3" customWidth="1"/>
    <col min="259" max="259" width="7.59765625" style="3" customWidth="1"/>
    <col min="260" max="262" width="9.09765625" style="3" customWidth="1"/>
    <col min="263" max="263" width="10.09765625" style="3" customWidth="1"/>
    <col min="264" max="265" width="7.8984375" style="3" customWidth="1"/>
    <col min="266" max="266" width="15" style="3" customWidth="1"/>
    <col min="267" max="268" width="9.8984375" style="3" customWidth="1"/>
    <col min="269" max="269" width="18.69921875" style="3" customWidth="1"/>
    <col min="270" max="512" width="9" style="3" customWidth="1"/>
    <col min="513" max="513" width="9.19921875" style="3" customWidth="1"/>
    <col min="514" max="514" width="7" style="3" customWidth="1"/>
    <col min="515" max="515" width="7.59765625" style="3" customWidth="1"/>
    <col min="516" max="518" width="9.09765625" style="3" customWidth="1"/>
    <col min="519" max="519" width="10.09765625" style="3" customWidth="1"/>
    <col min="520" max="521" width="7.8984375" style="3" customWidth="1"/>
    <col min="522" max="522" width="15" style="3" customWidth="1"/>
    <col min="523" max="524" width="9.8984375" style="3" customWidth="1"/>
    <col min="525" max="525" width="18.69921875" style="3" customWidth="1"/>
    <col min="526" max="768" width="9" style="3" customWidth="1"/>
    <col min="769" max="769" width="9.19921875" style="3" customWidth="1"/>
    <col min="770" max="770" width="7" style="3" customWidth="1"/>
    <col min="771" max="771" width="7.59765625" style="3" customWidth="1"/>
    <col min="772" max="774" width="9.09765625" style="3" customWidth="1"/>
    <col min="775" max="775" width="10.09765625" style="3" customWidth="1"/>
    <col min="776" max="777" width="7.8984375" style="3" customWidth="1"/>
    <col min="778" max="778" width="15" style="3" customWidth="1"/>
    <col min="779" max="780" width="9.8984375" style="3" customWidth="1"/>
    <col min="781" max="781" width="18.69921875" style="3" customWidth="1"/>
    <col min="782" max="1024" width="9" style="3" customWidth="1"/>
    <col min="1025" max="1025" width="9.19921875" style="3" customWidth="1"/>
    <col min="1026" max="1026" width="7" style="3" customWidth="1"/>
    <col min="1027" max="1027" width="7.59765625" style="3" customWidth="1"/>
    <col min="1028" max="1030" width="9.09765625" style="3" customWidth="1"/>
    <col min="1031" max="1031" width="10.09765625" style="3" customWidth="1"/>
    <col min="1032" max="1033" width="7.8984375" style="3" customWidth="1"/>
    <col min="1034" max="1034" width="15" style="3" customWidth="1"/>
    <col min="1035" max="1036" width="9.8984375" style="3" customWidth="1"/>
    <col min="1037" max="1037" width="18.69921875" style="3" customWidth="1"/>
    <col min="1038" max="1280" width="9" style="3" customWidth="1"/>
    <col min="1281" max="1281" width="9.19921875" style="3" customWidth="1"/>
    <col min="1282" max="1282" width="7" style="3" customWidth="1"/>
    <col min="1283" max="1283" width="7.59765625" style="3" customWidth="1"/>
    <col min="1284" max="1286" width="9.09765625" style="3" customWidth="1"/>
    <col min="1287" max="1287" width="10.09765625" style="3" customWidth="1"/>
    <col min="1288" max="1289" width="7.8984375" style="3" customWidth="1"/>
    <col min="1290" max="1290" width="15" style="3" customWidth="1"/>
    <col min="1291" max="1292" width="9.8984375" style="3" customWidth="1"/>
    <col min="1293" max="1293" width="18.69921875" style="3" customWidth="1"/>
    <col min="1294" max="1536" width="9" style="3" customWidth="1"/>
    <col min="1537" max="1537" width="9.19921875" style="3" customWidth="1"/>
    <col min="1538" max="1538" width="7" style="3" customWidth="1"/>
    <col min="1539" max="1539" width="7.59765625" style="3" customWidth="1"/>
    <col min="1540" max="1542" width="9.09765625" style="3" customWidth="1"/>
    <col min="1543" max="1543" width="10.09765625" style="3" customWidth="1"/>
    <col min="1544" max="1545" width="7.8984375" style="3" customWidth="1"/>
    <col min="1546" max="1546" width="15" style="3" customWidth="1"/>
    <col min="1547" max="1548" width="9.8984375" style="3" customWidth="1"/>
    <col min="1549" max="1549" width="18.69921875" style="3" customWidth="1"/>
    <col min="1550" max="1792" width="9" style="3" customWidth="1"/>
    <col min="1793" max="1793" width="9.19921875" style="3" customWidth="1"/>
    <col min="1794" max="1794" width="7" style="3" customWidth="1"/>
    <col min="1795" max="1795" width="7.59765625" style="3" customWidth="1"/>
    <col min="1796" max="1798" width="9.09765625" style="3" customWidth="1"/>
    <col min="1799" max="1799" width="10.09765625" style="3" customWidth="1"/>
    <col min="1800" max="1801" width="7.8984375" style="3" customWidth="1"/>
    <col min="1802" max="1802" width="15" style="3" customWidth="1"/>
    <col min="1803" max="1804" width="9.8984375" style="3" customWidth="1"/>
    <col min="1805" max="1805" width="18.69921875" style="3" customWidth="1"/>
    <col min="1806" max="2048" width="9" style="3" customWidth="1"/>
    <col min="2049" max="2049" width="9.19921875" style="3" customWidth="1"/>
    <col min="2050" max="2050" width="7" style="3" customWidth="1"/>
    <col min="2051" max="2051" width="7.59765625" style="3" customWidth="1"/>
    <col min="2052" max="2054" width="9.09765625" style="3" customWidth="1"/>
    <col min="2055" max="2055" width="10.09765625" style="3" customWidth="1"/>
    <col min="2056" max="2057" width="7.8984375" style="3" customWidth="1"/>
    <col min="2058" max="2058" width="15" style="3" customWidth="1"/>
    <col min="2059" max="2060" width="9.8984375" style="3" customWidth="1"/>
    <col min="2061" max="2061" width="18.69921875" style="3" customWidth="1"/>
    <col min="2062" max="2304" width="9" style="3" customWidth="1"/>
    <col min="2305" max="2305" width="9.19921875" style="3" customWidth="1"/>
    <col min="2306" max="2306" width="7" style="3" customWidth="1"/>
    <col min="2307" max="2307" width="7.59765625" style="3" customWidth="1"/>
    <col min="2308" max="2310" width="9.09765625" style="3" customWidth="1"/>
    <col min="2311" max="2311" width="10.09765625" style="3" customWidth="1"/>
    <col min="2312" max="2313" width="7.8984375" style="3" customWidth="1"/>
    <col min="2314" max="2314" width="15" style="3" customWidth="1"/>
    <col min="2315" max="2316" width="9.8984375" style="3" customWidth="1"/>
    <col min="2317" max="2317" width="18.69921875" style="3" customWidth="1"/>
    <col min="2318" max="2560" width="9" style="3" customWidth="1"/>
    <col min="2561" max="2561" width="9.19921875" style="3" customWidth="1"/>
    <col min="2562" max="2562" width="7" style="3" customWidth="1"/>
    <col min="2563" max="2563" width="7.59765625" style="3" customWidth="1"/>
    <col min="2564" max="2566" width="9.09765625" style="3" customWidth="1"/>
    <col min="2567" max="2567" width="10.09765625" style="3" customWidth="1"/>
    <col min="2568" max="2569" width="7.8984375" style="3" customWidth="1"/>
    <col min="2570" max="2570" width="15" style="3" customWidth="1"/>
    <col min="2571" max="2572" width="9.8984375" style="3" customWidth="1"/>
    <col min="2573" max="2573" width="18.69921875" style="3" customWidth="1"/>
    <col min="2574" max="2816" width="9" style="3" customWidth="1"/>
    <col min="2817" max="2817" width="9.19921875" style="3" customWidth="1"/>
    <col min="2818" max="2818" width="7" style="3" customWidth="1"/>
    <col min="2819" max="2819" width="7.59765625" style="3" customWidth="1"/>
    <col min="2820" max="2822" width="9.09765625" style="3" customWidth="1"/>
    <col min="2823" max="2823" width="10.09765625" style="3" customWidth="1"/>
    <col min="2824" max="2825" width="7.8984375" style="3" customWidth="1"/>
    <col min="2826" max="2826" width="15" style="3" customWidth="1"/>
    <col min="2827" max="2828" width="9.8984375" style="3" customWidth="1"/>
    <col min="2829" max="2829" width="18.69921875" style="3" customWidth="1"/>
    <col min="2830" max="3072" width="9" style="3" customWidth="1"/>
    <col min="3073" max="3073" width="9.19921875" style="3" customWidth="1"/>
    <col min="3074" max="3074" width="7" style="3" customWidth="1"/>
    <col min="3075" max="3075" width="7.59765625" style="3" customWidth="1"/>
    <col min="3076" max="3078" width="9.09765625" style="3" customWidth="1"/>
    <col min="3079" max="3079" width="10.09765625" style="3" customWidth="1"/>
    <col min="3080" max="3081" width="7.8984375" style="3" customWidth="1"/>
    <col min="3082" max="3082" width="15" style="3" customWidth="1"/>
    <col min="3083" max="3084" width="9.8984375" style="3" customWidth="1"/>
    <col min="3085" max="3085" width="18.69921875" style="3" customWidth="1"/>
    <col min="3086" max="3328" width="9" style="3" customWidth="1"/>
    <col min="3329" max="3329" width="9.19921875" style="3" customWidth="1"/>
    <col min="3330" max="3330" width="7" style="3" customWidth="1"/>
    <col min="3331" max="3331" width="7.59765625" style="3" customWidth="1"/>
    <col min="3332" max="3334" width="9.09765625" style="3" customWidth="1"/>
    <col min="3335" max="3335" width="10.09765625" style="3" customWidth="1"/>
    <col min="3336" max="3337" width="7.8984375" style="3" customWidth="1"/>
    <col min="3338" max="3338" width="15" style="3" customWidth="1"/>
    <col min="3339" max="3340" width="9.8984375" style="3" customWidth="1"/>
    <col min="3341" max="3341" width="18.69921875" style="3" customWidth="1"/>
    <col min="3342" max="3584" width="9" style="3" customWidth="1"/>
    <col min="3585" max="3585" width="9.19921875" style="3" customWidth="1"/>
    <col min="3586" max="3586" width="7" style="3" customWidth="1"/>
    <col min="3587" max="3587" width="7.59765625" style="3" customWidth="1"/>
    <col min="3588" max="3590" width="9.09765625" style="3" customWidth="1"/>
    <col min="3591" max="3591" width="10.09765625" style="3" customWidth="1"/>
    <col min="3592" max="3593" width="7.8984375" style="3" customWidth="1"/>
    <col min="3594" max="3594" width="15" style="3" customWidth="1"/>
    <col min="3595" max="3596" width="9.8984375" style="3" customWidth="1"/>
    <col min="3597" max="3597" width="18.69921875" style="3" customWidth="1"/>
    <col min="3598" max="3840" width="9" style="3" customWidth="1"/>
    <col min="3841" max="3841" width="9.19921875" style="3" customWidth="1"/>
    <col min="3842" max="3842" width="7" style="3" customWidth="1"/>
    <col min="3843" max="3843" width="7.59765625" style="3" customWidth="1"/>
    <col min="3844" max="3846" width="9.09765625" style="3" customWidth="1"/>
    <col min="3847" max="3847" width="10.09765625" style="3" customWidth="1"/>
    <col min="3848" max="3849" width="7.8984375" style="3" customWidth="1"/>
    <col min="3850" max="3850" width="15" style="3" customWidth="1"/>
    <col min="3851" max="3852" width="9.8984375" style="3" customWidth="1"/>
    <col min="3853" max="3853" width="18.69921875" style="3" customWidth="1"/>
    <col min="3854" max="4096" width="9" style="3" customWidth="1"/>
    <col min="4097" max="4097" width="9.19921875" style="3" customWidth="1"/>
    <col min="4098" max="4098" width="7" style="3" customWidth="1"/>
    <col min="4099" max="4099" width="7.59765625" style="3" customWidth="1"/>
    <col min="4100" max="4102" width="9.09765625" style="3" customWidth="1"/>
    <col min="4103" max="4103" width="10.09765625" style="3" customWidth="1"/>
    <col min="4104" max="4105" width="7.8984375" style="3" customWidth="1"/>
    <col min="4106" max="4106" width="15" style="3" customWidth="1"/>
    <col min="4107" max="4108" width="9.8984375" style="3" customWidth="1"/>
    <col min="4109" max="4109" width="18.69921875" style="3" customWidth="1"/>
    <col min="4110" max="4352" width="9" style="3" customWidth="1"/>
    <col min="4353" max="4353" width="9.19921875" style="3" customWidth="1"/>
    <col min="4354" max="4354" width="7" style="3" customWidth="1"/>
    <col min="4355" max="4355" width="7.59765625" style="3" customWidth="1"/>
    <col min="4356" max="4358" width="9.09765625" style="3" customWidth="1"/>
    <col min="4359" max="4359" width="10.09765625" style="3" customWidth="1"/>
    <col min="4360" max="4361" width="7.8984375" style="3" customWidth="1"/>
    <col min="4362" max="4362" width="15" style="3" customWidth="1"/>
    <col min="4363" max="4364" width="9.8984375" style="3" customWidth="1"/>
    <col min="4365" max="4365" width="18.69921875" style="3" customWidth="1"/>
    <col min="4366" max="4608" width="9" style="3" customWidth="1"/>
    <col min="4609" max="4609" width="9.19921875" style="3" customWidth="1"/>
    <col min="4610" max="4610" width="7" style="3" customWidth="1"/>
    <col min="4611" max="4611" width="7.59765625" style="3" customWidth="1"/>
    <col min="4612" max="4614" width="9.09765625" style="3" customWidth="1"/>
    <col min="4615" max="4615" width="10.09765625" style="3" customWidth="1"/>
    <col min="4616" max="4617" width="7.8984375" style="3" customWidth="1"/>
    <col min="4618" max="4618" width="15" style="3" customWidth="1"/>
    <col min="4619" max="4620" width="9.8984375" style="3" customWidth="1"/>
    <col min="4621" max="4621" width="18.69921875" style="3" customWidth="1"/>
    <col min="4622" max="4864" width="9" style="3" customWidth="1"/>
    <col min="4865" max="4865" width="9.19921875" style="3" customWidth="1"/>
    <col min="4866" max="4866" width="7" style="3" customWidth="1"/>
    <col min="4867" max="4867" width="7.59765625" style="3" customWidth="1"/>
    <col min="4868" max="4870" width="9.09765625" style="3" customWidth="1"/>
    <col min="4871" max="4871" width="10.09765625" style="3" customWidth="1"/>
    <col min="4872" max="4873" width="7.8984375" style="3" customWidth="1"/>
    <col min="4874" max="4874" width="15" style="3" customWidth="1"/>
    <col min="4875" max="4876" width="9.8984375" style="3" customWidth="1"/>
    <col min="4877" max="4877" width="18.69921875" style="3" customWidth="1"/>
    <col min="4878" max="5120" width="9" style="3" customWidth="1"/>
    <col min="5121" max="5121" width="9.19921875" style="3" customWidth="1"/>
    <col min="5122" max="5122" width="7" style="3" customWidth="1"/>
    <col min="5123" max="5123" width="7.59765625" style="3" customWidth="1"/>
    <col min="5124" max="5126" width="9.09765625" style="3" customWidth="1"/>
    <col min="5127" max="5127" width="10.09765625" style="3" customWidth="1"/>
    <col min="5128" max="5129" width="7.8984375" style="3" customWidth="1"/>
    <col min="5130" max="5130" width="15" style="3" customWidth="1"/>
    <col min="5131" max="5132" width="9.8984375" style="3" customWidth="1"/>
    <col min="5133" max="5133" width="18.69921875" style="3" customWidth="1"/>
    <col min="5134" max="5376" width="9" style="3" customWidth="1"/>
    <col min="5377" max="5377" width="9.19921875" style="3" customWidth="1"/>
    <col min="5378" max="5378" width="7" style="3" customWidth="1"/>
    <col min="5379" max="5379" width="7.59765625" style="3" customWidth="1"/>
    <col min="5380" max="5382" width="9.09765625" style="3" customWidth="1"/>
    <col min="5383" max="5383" width="10.09765625" style="3" customWidth="1"/>
    <col min="5384" max="5385" width="7.8984375" style="3" customWidth="1"/>
    <col min="5386" max="5386" width="15" style="3" customWidth="1"/>
    <col min="5387" max="5388" width="9.8984375" style="3" customWidth="1"/>
    <col min="5389" max="5389" width="18.69921875" style="3" customWidth="1"/>
    <col min="5390" max="5632" width="9" style="3" customWidth="1"/>
    <col min="5633" max="5633" width="9.19921875" style="3" customWidth="1"/>
    <col min="5634" max="5634" width="7" style="3" customWidth="1"/>
    <col min="5635" max="5635" width="7.59765625" style="3" customWidth="1"/>
    <col min="5636" max="5638" width="9.09765625" style="3" customWidth="1"/>
    <col min="5639" max="5639" width="10.09765625" style="3" customWidth="1"/>
    <col min="5640" max="5641" width="7.8984375" style="3" customWidth="1"/>
    <col min="5642" max="5642" width="15" style="3" customWidth="1"/>
    <col min="5643" max="5644" width="9.8984375" style="3" customWidth="1"/>
    <col min="5645" max="5645" width="18.69921875" style="3" customWidth="1"/>
    <col min="5646" max="5888" width="9" style="3" customWidth="1"/>
    <col min="5889" max="5889" width="9.19921875" style="3" customWidth="1"/>
    <col min="5890" max="5890" width="7" style="3" customWidth="1"/>
    <col min="5891" max="5891" width="7.59765625" style="3" customWidth="1"/>
    <col min="5892" max="5894" width="9.09765625" style="3" customWidth="1"/>
    <col min="5895" max="5895" width="10.09765625" style="3" customWidth="1"/>
    <col min="5896" max="5897" width="7.8984375" style="3" customWidth="1"/>
    <col min="5898" max="5898" width="15" style="3" customWidth="1"/>
    <col min="5899" max="5900" width="9.8984375" style="3" customWidth="1"/>
    <col min="5901" max="5901" width="18.69921875" style="3" customWidth="1"/>
    <col min="5902" max="6144" width="9" style="3" customWidth="1"/>
    <col min="6145" max="6145" width="9.19921875" style="3" customWidth="1"/>
    <col min="6146" max="6146" width="7" style="3" customWidth="1"/>
    <col min="6147" max="6147" width="7.59765625" style="3" customWidth="1"/>
    <col min="6148" max="6150" width="9.09765625" style="3" customWidth="1"/>
    <col min="6151" max="6151" width="10.09765625" style="3" customWidth="1"/>
    <col min="6152" max="6153" width="7.8984375" style="3" customWidth="1"/>
    <col min="6154" max="6154" width="15" style="3" customWidth="1"/>
    <col min="6155" max="6156" width="9.8984375" style="3" customWidth="1"/>
    <col min="6157" max="6157" width="18.69921875" style="3" customWidth="1"/>
    <col min="6158" max="6400" width="9" style="3" customWidth="1"/>
    <col min="6401" max="6401" width="9.19921875" style="3" customWidth="1"/>
    <col min="6402" max="6402" width="7" style="3" customWidth="1"/>
    <col min="6403" max="6403" width="7.59765625" style="3" customWidth="1"/>
    <col min="6404" max="6406" width="9.09765625" style="3" customWidth="1"/>
    <col min="6407" max="6407" width="10.09765625" style="3" customWidth="1"/>
    <col min="6408" max="6409" width="7.8984375" style="3" customWidth="1"/>
    <col min="6410" max="6410" width="15" style="3" customWidth="1"/>
    <col min="6411" max="6412" width="9.8984375" style="3" customWidth="1"/>
    <col min="6413" max="6413" width="18.69921875" style="3" customWidth="1"/>
    <col min="6414" max="6656" width="9" style="3" customWidth="1"/>
    <col min="6657" max="6657" width="9.19921875" style="3" customWidth="1"/>
    <col min="6658" max="6658" width="7" style="3" customWidth="1"/>
    <col min="6659" max="6659" width="7.59765625" style="3" customWidth="1"/>
    <col min="6660" max="6662" width="9.09765625" style="3" customWidth="1"/>
    <col min="6663" max="6663" width="10.09765625" style="3" customWidth="1"/>
    <col min="6664" max="6665" width="7.8984375" style="3" customWidth="1"/>
    <col min="6666" max="6666" width="15" style="3" customWidth="1"/>
    <col min="6667" max="6668" width="9.8984375" style="3" customWidth="1"/>
    <col min="6669" max="6669" width="18.69921875" style="3" customWidth="1"/>
    <col min="6670" max="6912" width="9" style="3" customWidth="1"/>
    <col min="6913" max="6913" width="9.19921875" style="3" customWidth="1"/>
    <col min="6914" max="6914" width="7" style="3" customWidth="1"/>
    <col min="6915" max="6915" width="7.59765625" style="3" customWidth="1"/>
    <col min="6916" max="6918" width="9.09765625" style="3" customWidth="1"/>
    <col min="6919" max="6919" width="10.09765625" style="3" customWidth="1"/>
    <col min="6920" max="6921" width="7.8984375" style="3" customWidth="1"/>
    <col min="6922" max="6922" width="15" style="3" customWidth="1"/>
    <col min="6923" max="6924" width="9.8984375" style="3" customWidth="1"/>
    <col min="6925" max="6925" width="18.69921875" style="3" customWidth="1"/>
    <col min="6926" max="7168" width="9" style="3" customWidth="1"/>
    <col min="7169" max="7169" width="9.19921875" style="3" customWidth="1"/>
    <col min="7170" max="7170" width="7" style="3" customWidth="1"/>
    <col min="7171" max="7171" width="7.59765625" style="3" customWidth="1"/>
    <col min="7172" max="7174" width="9.09765625" style="3" customWidth="1"/>
    <col min="7175" max="7175" width="10.09765625" style="3" customWidth="1"/>
    <col min="7176" max="7177" width="7.8984375" style="3" customWidth="1"/>
    <col min="7178" max="7178" width="15" style="3" customWidth="1"/>
    <col min="7179" max="7180" width="9.8984375" style="3" customWidth="1"/>
    <col min="7181" max="7181" width="18.69921875" style="3" customWidth="1"/>
    <col min="7182" max="7424" width="9" style="3" customWidth="1"/>
    <col min="7425" max="7425" width="9.19921875" style="3" customWidth="1"/>
    <col min="7426" max="7426" width="7" style="3" customWidth="1"/>
    <col min="7427" max="7427" width="7.59765625" style="3" customWidth="1"/>
    <col min="7428" max="7430" width="9.09765625" style="3" customWidth="1"/>
    <col min="7431" max="7431" width="10.09765625" style="3" customWidth="1"/>
    <col min="7432" max="7433" width="7.8984375" style="3" customWidth="1"/>
    <col min="7434" max="7434" width="15" style="3" customWidth="1"/>
    <col min="7435" max="7436" width="9.8984375" style="3" customWidth="1"/>
    <col min="7437" max="7437" width="18.69921875" style="3" customWidth="1"/>
    <col min="7438" max="7680" width="9" style="3" customWidth="1"/>
    <col min="7681" max="7681" width="9.19921875" style="3" customWidth="1"/>
    <col min="7682" max="7682" width="7" style="3" customWidth="1"/>
    <col min="7683" max="7683" width="7.59765625" style="3" customWidth="1"/>
    <col min="7684" max="7686" width="9.09765625" style="3" customWidth="1"/>
    <col min="7687" max="7687" width="10.09765625" style="3" customWidth="1"/>
    <col min="7688" max="7689" width="7.8984375" style="3" customWidth="1"/>
    <col min="7690" max="7690" width="15" style="3" customWidth="1"/>
    <col min="7691" max="7692" width="9.8984375" style="3" customWidth="1"/>
    <col min="7693" max="7693" width="18.69921875" style="3" customWidth="1"/>
    <col min="7694" max="7936" width="9" style="3" customWidth="1"/>
    <col min="7937" max="7937" width="9.19921875" style="3" customWidth="1"/>
    <col min="7938" max="7938" width="7" style="3" customWidth="1"/>
    <col min="7939" max="7939" width="7.59765625" style="3" customWidth="1"/>
    <col min="7940" max="7942" width="9.09765625" style="3" customWidth="1"/>
    <col min="7943" max="7943" width="10.09765625" style="3" customWidth="1"/>
    <col min="7944" max="7945" width="7.8984375" style="3" customWidth="1"/>
    <col min="7946" max="7946" width="15" style="3" customWidth="1"/>
    <col min="7947" max="7948" width="9.8984375" style="3" customWidth="1"/>
    <col min="7949" max="7949" width="18.69921875" style="3" customWidth="1"/>
    <col min="7950" max="8192" width="9" style="3" customWidth="1"/>
    <col min="8193" max="8193" width="9.19921875" style="3" customWidth="1"/>
    <col min="8194" max="8194" width="7" style="3" customWidth="1"/>
    <col min="8195" max="8195" width="7.59765625" style="3" customWidth="1"/>
    <col min="8196" max="8198" width="9.09765625" style="3" customWidth="1"/>
    <col min="8199" max="8199" width="10.09765625" style="3" customWidth="1"/>
    <col min="8200" max="8201" width="7.8984375" style="3" customWidth="1"/>
    <col min="8202" max="8202" width="15" style="3" customWidth="1"/>
    <col min="8203" max="8204" width="9.8984375" style="3" customWidth="1"/>
    <col min="8205" max="8205" width="18.69921875" style="3" customWidth="1"/>
    <col min="8206" max="8448" width="9" style="3" customWidth="1"/>
    <col min="8449" max="8449" width="9.19921875" style="3" customWidth="1"/>
    <col min="8450" max="8450" width="7" style="3" customWidth="1"/>
    <col min="8451" max="8451" width="7.59765625" style="3" customWidth="1"/>
    <col min="8452" max="8454" width="9.09765625" style="3" customWidth="1"/>
    <col min="8455" max="8455" width="10.09765625" style="3" customWidth="1"/>
    <col min="8456" max="8457" width="7.8984375" style="3" customWidth="1"/>
    <col min="8458" max="8458" width="15" style="3" customWidth="1"/>
    <col min="8459" max="8460" width="9.8984375" style="3" customWidth="1"/>
    <col min="8461" max="8461" width="18.69921875" style="3" customWidth="1"/>
    <col min="8462" max="8704" width="9" style="3" customWidth="1"/>
    <col min="8705" max="8705" width="9.19921875" style="3" customWidth="1"/>
    <col min="8706" max="8706" width="7" style="3" customWidth="1"/>
    <col min="8707" max="8707" width="7.59765625" style="3" customWidth="1"/>
    <col min="8708" max="8710" width="9.09765625" style="3" customWidth="1"/>
    <col min="8711" max="8711" width="10.09765625" style="3" customWidth="1"/>
    <col min="8712" max="8713" width="7.8984375" style="3" customWidth="1"/>
    <col min="8714" max="8714" width="15" style="3" customWidth="1"/>
    <col min="8715" max="8716" width="9.8984375" style="3" customWidth="1"/>
    <col min="8717" max="8717" width="18.69921875" style="3" customWidth="1"/>
    <col min="8718" max="8960" width="9" style="3" customWidth="1"/>
    <col min="8961" max="8961" width="9.19921875" style="3" customWidth="1"/>
    <col min="8962" max="8962" width="7" style="3" customWidth="1"/>
    <col min="8963" max="8963" width="7.59765625" style="3" customWidth="1"/>
    <col min="8964" max="8966" width="9.09765625" style="3" customWidth="1"/>
    <col min="8967" max="8967" width="10.09765625" style="3" customWidth="1"/>
    <col min="8968" max="8969" width="7.8984375" style="3" customWidth="1"/>
    <col min="8970" max="8970" width="15" style="3" customWidth="1"/>
    <col min="8971" max="8972" width="9.8984375" style="3" customWidth="1"/>
    <col min="8973" max="8973" width="18.69921875" style="3" customWidth="1"/>
    <col min="8974" max="9216" width="9" style="3" customWidth="1"/>
    <col min="9217" max="9217" width="9.19921875" style="3" customWidth="1"/>
    <col min="9218" max="9218" width="7" style="3" customWidth="1"/>
    <col min="9219" max="9219" width="7.59765625" style="3" customWidth="1"/>
    <col min="9220" max="9222" width="9.09765625" style="3" customWidth="1"/>
    <col min="9223" max="9223" width="10.09765625" style="3" customWidth="1"/>
    <col min="9224" max="9225" width="7.8984375" style="3" customWidth="1"/>
    <col min="9226" max="9226" width="15" style="3" customWidth="1"/>
    <col min="9227" max="9228" width="9.8984375" style="3" customWidth="1"/>
    <col min="9229" max="9229" width="18.69921875" style="3" customWidth="1"/>
    <col min="9230" max="9472" width="9" style="3" customWidth="1"/>
    <col min="9473" max="9473" width="9.19921875" style="3" customWidth="1"/>
    <col min="9474" max="9474" width="7" style="3" customWidth="1"/>
    <col min="9475" max="9475" width="7.59765625" style="3" customWidth="1"/>
    <col min="9476" max="9478" width="9.09765625" style="3" customWidth="1"/>
    <col min="9479" max="9479" width="10.09765625" style="3" customWidth="1"/>
    <col min="9480" max="9481" width="7.8984375" style="3" customWidth="1"/>
    <col min="9482" max="9482" width="15" style="3" customWidth="1"/>
    <col min="9483" max="9484" width="9.8984375" style="3" customWidth="1"/>
    <col min="9485" max="9485" width="18.69921875" style="3" customWidth="1"/>
    <col min="9486" max="9728" width="9" style="3" customWidth="1"/>
    <col min="9729" max="9729" width="9.19921875" style="3" customWidth="1"/>
    <col min="9730" max="9730" width="7" style="3" customWidth="1"/>
    <col min="9731" max="9731" width="7.59765625" style="3" customWidth="1"/>
    <col min="9732" max="9734" width="9.09765625" style="3" customWidth="1"/>
    <col min="9735" max="9735" width="10.09765625" style="3" customWidth="1"/>
    <col min="9736" max="9737" width="7.8984375" style="3" customWidth="1"/>
    <col min="9738" max="9738" width="15" style="3" customWidth="1"/>
    <col min="9739" max="9740" width="9.8984375" style="3" customWidth="1"/>
    <col min="9741" max="9741" width="18.69921875" style="3" customWidth="1"/>
    <col min="9742" max="9984" width="9" style="3" customWidth="1"/>
    <col min="9985" max="9985" width="9.19921875" style="3" customWidth="1"/>
    <col min="9986" max="9986" width="7" style="3" customWidth="1"/>
    <col min="9987" max="9987" width="7.59765625" style="3" customWidth="1"/>
    <col min="9988" max="9990" width="9.09765625" style="3" customWidth="1"/>
    <col min="9991" max="9991" width="10.09765625" style="3" customWidth="1"/>
    <col min="9992" max="9993" width="7.8984375" style="3" customWidth="1"/>
    <col min="9994" max="9994" width="15" style="3" customWidth="1"/>
    <col min="9995" max="9996" width="9.8984375" style="3" customWidth="1"/>
    <col min="9997" max="9997" width="18.69921875" style="3" customWidth="1"/>
    <col min="9998" max="10240" width="9" style="3" customWidth="1"/>
    <col min="10241" max="10241" width="9.19921875" style="3" customWidth="1"/>
    <col min="10242" max="10242" width="7" style="3" customWidth="1"/>
    <col min="10243" max="10243" width="7.59765625" style="3" customWidth="1"/>
    <col min="10244" max="10246" width="9.09765625" style="3" customWidth="1"/>
    <col min="10247" max="10247" width="10.09765625" style="3" customWidth="1"/>
    <col min="10248" max="10249" width="7.8984375" style="3" customWidth="1"/>
    <col min="10250" max="10250" width="15" style="3" customWidth="1"/>
    <col min="10251" max="10252" width="9.8984375" style="3" customWidth="1"/>
    <col min="10253" max="10253" width="18.69921875" style="3" customWidth="1"/>
    <col min="10254" max="10496" width="9" style="3" customWidth="1"/>
    <col min="10497" max="10497" width="9.19921875" style="3" customWidth="1"/>
    <col min="10498" max="10498" width="7" style="3" customWidth="1"/>
    <col min="10499" max="10499" width="7.59765625" style="3" customWidth="1"/>
    <col min="10500" max="10502" width="9.09765625" style="3" customWidth="1"/>
    <col min="10503" max="10503" width="10.09765625" style="3" customWidth="1"/>
    <col min="10504" max="10505" width="7.8984375" style="3" customWidth="1"/>
    <col min="10506" max="10506" width="15" style="3" customWidth="1"/>
    <col min="10507" max="10508" width="9.8984375" style="3" customWidth="1"/>
    <col min="10509" max="10509" width="18.69921875" style="3" customWidth="1"/>
    <col min="10510" max="10752" width="9" style="3" customWidth="1"/>
    <col min="10753" max="10753" width="9.19921875" style="3" customWidth="1"/>
    <col min="10754" max="10754" width="7" style="3" customWidth="1"/>
    <col min="10755" max="10755" width="7.59765625" style="3" customWidth="1"/>
    <col min="10756" max="10758" width="9.09765625" style="3" customWidth="1"/>
    <col min="10759" max="10759" width="10.09765625" style="3" customWidth="1"/>
    <col min="10760" max="10761" width="7.8984375" style="3" customWidth="1"/>
    <col min="10762" max="10762" width="15" style="3" customWidth="1"/>
    <col min="10763" max="10764" width="9.8984375" style="3" customWidth="1"/>
    <col min="10765" max="10765" width="18.69921875" style="3" customWidth="1"/>
    <col min="10766" max="11008" width="9" style="3" customWidth="1"/>
    <col min="11009" max="11009" width="9.19921875" style="3" customWidth="1"/>
    <col min="11010" max="11010" width="7" style="3" customWidth="1"/>
    <col min="11011" max="11011" width="7.59765625" style="3" customWidth="1"/>
    <col min="11012" max="11014" width="9.09765625" style="3" customWidth="1"/>
    <col min="11015" max="11015" width="10.09765625" style="3" customWidth="1"/>
    <col min="11016" max="11017" width="7.8984375" style="3" customWidth="1"/>
    <col min="11018" max="11018" width="15" style="3" customWidth="1"/>
    <col min="11019" max="11020" width="9.8984375" style="3" customWidth="1"/>
    <col min="11021" max="11021" width="18.69921875" style="3" customWidth="1"/>
    <col min="11022" max="11264" width="9" style="3" customWidth="1"/>
    <col min="11265" max="11265" width="9.19921875" style="3" customWidth="1"/>
    <col min="11266" max="11266" width="7" style="3" customWidth="1"/>
    <col min="11267" max="11267" width="7.59765625" style="3" customWidth="1"/>
    <col min="11268" max="11270" width="9.09765625" style="3" customWidth="1"/>
    <col min="11271" max="11271" width="10.09765625" style="3" customWidth="1"/>
    <col min="11272" max="11273" width="7.8984375" style="3" customWidth="1"/>
    <col min="11274" max="11274" width="15" style="3" customWidth="1"/>
    <col min="11275" max="11276" width="9.8984375" style="3" customWidth="1"/>
    <col min="11277" max="11277" width="18.69921875" style="3" customWidth="1"/>
    <col min="11278" max="11520" width="9" style="3" customWidth="1"/>
    <col min="11521" max="11521" width="9.19921875" style="3" customWidth="1"/>
    <col min="11522" max="11522" width="7" style="3" customWidth="1"/>
    <col min="11523" max="11523" width="7.59765625" style="3" customWidth="1"/>
    <col min="11524" max="11526" width="9.09765625" style="3" customWidth="1"/>
    <col min="11527" max="11527" width="10.09765625" style="3" customWidth="1"/>
    <col min="11528" max="11529" width="7.8984375" style="3" customWidth="1"/>
    <col min="11530" max="11530" width="15" style="3" customWidth="1"/>
    <col min="11531" max="11532" width="9.8984375" style="3" customWidth="1"/>
    <col min="11533" max="11533" width="18.69921875" style="3" customWidth="1"/>
    <col min="11534" max="11776" width="9" style="3" customWidth="1"/>
    <col min="11777" max="11777" width="9.19921875" style="3" customWidth="1"/>
    <col min="11778" max="11778" width="7" style="3" customWidth="1"/>
    <col min="11779" max="11779" width="7.59765625" style="3" customWidth="1"/>
    <col min="11780" max="11782" width="9.09765625" style="3" customWidth="1"/>
    <col min="11783" max="11783" width="10.09765625" style="3" customWidth="1"/>
    <col min="11784" max="11785" width="7.8984375" style="3" customWidth="1"/>
    <col min="11786" max="11786" width="15" style="3" customWidth="1"/>
    <col min="11787" max="11788" width="9.8984375" style="3" customWidth="1"/>
    <col min="11789" max="11789" width="18.69921875" style="3" customWidth="1"/>
    <col min="11790" max="12032" width="9" style="3" customWidth="1"/>
    <col min="12033" max="12033" width="9.19921875" style="3" customWidth="1"/>
    <col min="12034" max="12034" width="7" style="3" customWidth="1"/>
    <col min="12035" max="12035" width="7.59765625" style="3" customWidth="1"/>
    <col min="12036" max="12038" width="9.09765625" style="3" customWidth="1"/>
    <col min="12039" max="12039" width="10.09765625" style="3" customWidth="1"/>
    <col min="12040" max="12041" width="7.8984375" style="3" customWidth="1"/>
    <col min="12042" max="12042" width="15" style="3" customWidth="1"/>
    <col min="12043" max="12044" width="9.8984375" style="3" customWidth="1"/>
    <col min="12045" max="12045" width="18.69921875" style="3" customWidth="1"/>
    <col min="12046" max="12288" width="9" style="3" customWidth="1"/>
    <col min="12289" max="12289" width="9.19921875" style="3" customWidth="1"/>
    <col min="12290" max="12290" width="7" style="3" customWidth="1"/>
    <col min="12291" max="12291" width="7.59765625" style="3" customWidth="1"/>
    <col min="12292" max="12294" width="9.09765625" style="3" customWidth="1"/>
    <col min="12295" max="12295" width="10.09765625" style="3" customWidth="1"/>
    <col min="12296" max="12297" width="7.8984375" style="3" customWidth="1"/>
    <col min="12298" max="12298" width="15" style="3" customWidth="1"/>
    <col min="12299" max="12300" width="9.8984375" style="3" customWidth="1"/>
    <col min="12301" max="12301" width="18.69921875" style="3" customWidth="1"/>
    <col min="12302" max="12544" width="9" style="3" customWidth="1"/>
    <col min="12545" max="12545" width="9.19921875" style="3" customWidth="1"/>
    <col min="12546" max="12546" width="7" style="3" customWidth="1"/>
    <col min="12547" max="12547" width="7.59765625" style="3" customWidth="1"/>
    <col min="12548" max="12550" width="9.09765625" style="3" customWidth="1"/>
    <col min="12551" max="12551" width="10.09765625" style="3" customWidth="1"/>
    <col min="12552" max="12553" width="7.8984375" style="3" customWidth="1"/>
    <col min="12554" max="12554" width="15" style="3" customWidth="1"/>
    <col min="12555" max="12556" width="9.8984375" style="3" customWidth="1"/>
    <col min="12557" max="12557" width="18.69921875" style="3" customWidth="1"/>
    <col min="12558" max="12800" width="9" style="3" customWidth="1"/>
    <col min="12801" max="12801" width="9.19921875" style="3" customWidth="1"/>
    <col min="12802" max="12802" width="7" style="3" customWidth="1"/>
    <col min="12803" max="12803" width="7.59765625" style="3" customWidth="1"/>
    <col min="12804" max="12806" width="9.09765625" style="3" customWidth="1"/>
    <col min="12807" max="12807" width="10.09765625" style="3" customWidth="1"/>
    <col min="12808" max="12809" width="7.8984375" style="3" customWidth="1"/>
    <col min="12810" max="12810" width="15" style="3" customWidth="1"/>
    <col min="12811" max="12812" width="9.8984375" style="3" customWidth="1"/>
    <col min="12813" max="12813" width="18.69921875" style="3" customWidth="1"/>
    <col min="12814" max="13056" width="9" style="3" customWidth="1"/>
    <col min="13057" max="13057" width="9.19921875" style="3" customWidth="1"/>
    <col min="13058" max="13058" width="7" style="3" customWidth="1"/>
    <col min="13059" max="13059" width="7.59765625" style="3" customWidth="1"/>
    <col min="13060" max="13062" width="9.09765625" style="3" customWidth="1"/>
    <col min="13063" max="13063" width="10.09765625" style="3" customWidth="1"/>
    <col min="13064" max="13065" width="7.8984375" style="3" customWidth="1"/>
    <col min="13066" max="13066" width="15" style="3" customWidth="1"/>
    <col min="13067" max="13068" width="9.8984375" style="3" customWidth="1"/>
    <col min="13069" max="13069" width="18.69921875" style="3" customWidth="1"/>
    <col min="13070" max="13312" width="9" style="3" customWidth="1"/>
    <col min="13313" max="13313" width="9.19921875" style="3" customWidth="1"/>
    <col min="13314" max="13314" width="7" style="3" customWidth="1"/>
    <col min="13315" max="13315" width="7.59765625" style="3" customWidth="1"/>
    <col min="13316" max="13318" width="9.09765625" style="3" customWidth="1"/>
    <col min="13319" max="13319" width="10.09765625" style="3" customWidth="1"/>
    <col min="13320" max="13321" width="7.8984375" style="3" customWidth="1"/>
    <col min="13322" max="13322" width="15" style="3" customWidth="1"/>
    <col min="13323" max="13324" width="9.8984375" style="3" customWidth="1"/>
    <col min="13325" max="13325" width="18.69921875" style="3" customWidth="1"/>
    <col min="13326" max="13568" width="9" style="3" customWidth="1"/>
    <col min="13569" max="13569" width="9.19921875" style="3" customWidth="1"/>
    <col min="13570" max="13570" width="7" style="3" customWidth="1"/>
    <col min="13571" max="13571" width="7.59765625" style="3" customWidth="1"/>
    <col min="13572" max="13574" width="9.09765625" style="3" customWidth="1"/>
    <col min="13575" max="13575" width="10.09765625" style="3" customWidth="1"/>
    <col min="13576" max="13577" width="7.8984375" style="3" customWidth="1"/>
    <col min="13578" max="13578" width="15" style="3" customWidth="1"/>
    <col min="13579" max="13580" width="9.8984375" style="3" customWidth="1"/>
    <col min="13581" max="13581" width="18.69921875" style="3" customWidth="1"/>
    <col min="13582" max="13824" width="9" style="3" customWidth="1"/>
    <col min="13825" max="13825" width="9.19921875" style="3" customWidth="1"/>
    <col min="13826" max="13826" width="7" style="3" customWidth="1"/>
    <col min="13827" max="13827" width="7.59765625" style="3" customWidth="1"/>
    <col min="13828" max="13830" width="9.09765625" style="3" customWidth="1"/>
    <col min="13831" max="13831" width="10.09765625" style="3" customWidth="1"/>
    <col min="13832" max="13833" width="7.8984375" style="3" customWidth="1"/>
    <col min="13834" max="13834" width="15" style="3" customWidth="1"/>
    <col min="13835" max="13836" width="9.8984375" style="3" customWidth="1"/>
    <col min="13837" max="13837" width="18.69921875" style="3" customWidth="1"/>
    <col min="13838" max="14080" width="9" style="3" customWidth="1"/>
    <col min="14081" max="14081" width="9.19921875" style="3" customWidth="1"/>
    <col min="14082" max="14082" width="7" style="3" customWidth="1"/>
    <col min="14083" max="14083" width="7.59765625" style="3" customWidth="1"/>
    <col min="14084" max="14086" width="9.09765625" style="3" customWidth="1"/>
    <col min="14087" max="14087" width="10.09765625" style="3" customWidth="1"/>
    <col min="14088" max="14089" width="7.8984375" style="3" customWidth="1"/>
    <col min="14090" max="14090" width="15" style="3" customWidth="1"/>
    <col min="14091" max="14092" width="9.8984375" style="3" customWidth="1"/>
    <col min="14093" max="14093" width="18.69921875" style="3" customWidth="1"/>
    <col min="14094" max="14336" width="9" style="3" customWidth="1"/>
    <col min="14337" max="14337" width="9.19921875" style="3" customWidth="1"/>
    <col min="14338" max="14338" width="7" style="3" customWidth="1"/>
    <col min="14339" max="14339" width="7.59765625" style="3" customWidth="1"/>
    <col min="14340" max="14342" width="9.09765625" style="3" customWidth="1"/>
    <col min="14343" max="14343" width="10.09765625" style="3" customWidth="1"/>
    <col min="14344" max="14345" width="7.8984375" style="3" customWidth="1"/>
    <col min="14346" max="14346" width="15" style="3" customWidth="1"/>
    <col min="14347" max="14348" width="9.8984375" style="3" customWidth="1"/>
    <col min="14349" max="14349" width="18.69921875" style="3" customWidth="1"/>
    <col min="14350" max="14592" width="9" style="3" customWidth="1"/>
    <col min="14593" max="14593" width="9.19921875" style="3" customWidth="1"/>
    <col min="14594" max="14594" width="7" style="3" customWidth="1"/>
    <col min="14595" max="14595" width="7.59765625" style="3" customWidth="1"/>
    <col min="14596" max="14598" width="9.09765625" style="3" customWidth="1"/>
    <col min="14599" max="14599" width="10.09765625" style="3" customWidth="1"/>
    <col min="14600" max="14601" width="7.8984375" style="3" customWidth="1"/>
    <col min="14602" max="14602" width="15" style="3" customWidth="1"/>
    <col min="14603" max="14604" width="9.8984375" style="3" customWidth="1"/>
    <col min="14605" max="14605" width="18.69921875" style="3" customWidth="1"/>
    <col min="14606" max="14848" width="9" style="3" customWidth="1"/>
    <col min="14849" max="14849" width="9.19921875" style="3" customWidth="1"/>
    <col min="14850" max="14850" width="7" style="3" customWidth="1"/>
    <col min="14851" max="14851" width="7.59765625" style="3" customWidth="1"/>
    <col min="14852" max="14854" width="9.09765625" style="3" customWidth="1"/>
    <col min="14855" max="14855" width="10.09765625" style="3" customWidth="1"/>
    <col min="14856" max="14857" width="7.8984375" style="3" customWidth="1"/>
    <col min="14858" max="14858" width="15" style="3" customWidth="1"/>
    <col min="14859" max="14860" width="9.8984375" style="3" customWidth="1"/>
    <col min="14861" max="14861" width="18.69921875" style="3" customWidth="1"/>
    <col min="14862" max="15104" width="9" style="3" customWidth="1"/>
    <col min="15105" max="15105" width="9.19921875" style="3" customWidth="1"/>
    <col min="15106" max="15106" width="7" style="3" customWidth="1"/>
    <col min="15107" max="15107" width="7.59765625" style="3" customWidth="1"/>
    <col min="15108" max="15110" width="9.09765625" style="3" customWidth="1"/>
    <col min="15111" max="15111" width="10.09765625" style="3" customWidth="1"/>
    <col min="15112" max="15113" width="7.8984375" style="3" customWidth="1"/>
    <col min="15114" max="15114" width="15" style="3" customWidth="1"/>
    <col min="15115" max="15116" width="9.8984375" style="3" customWidth="1"/>
    <col min="15117" max="15117" width="18.69921875" style="3" customWidth="1"/>
    <col min="15118" max="15360" width="9" style="3" customWidth="1"/>
    <col min="15361" max="15361" width="9.19921875" style="3" customWidth="1"/>
    <col min="15362" max="15362" width="7" style="3" customWidth="1"/>
    <col min="15363" max="15363" width="7.59765625" style="3" customWidth="1"/>
    <col min="15364" max="15366" width="9.09765625" style="3" customWidth="1"/>
    <col min="15367" max="15367" width="10.09765625" style="3" customWidth="1"/>
    <col min="15368" max="15369" width="7.8984375" style="3" customWidth="1"/>
    <col min="15370" max="15370" width="15" style="3" customWidth="1"/>
    <col min="15371" max="15372" width="9.8984375" style="3" customWidth="1"/>
    <col min="15373" max="15373" width="18.69921875" style="3" customWidth="1"/>
    <col min="15374" max="15616" width="9" style="3" customWidth="1"/>
    <col min="15617" max="15617" width="9.19921875" style="3" customWidth="1"/>
    <col min="15618" max="15618" width="7" style="3" customWidth="1"/>
    <col min="15619" max="15619" width="7.59765625" style="3" customWidth="1"/>
    <col min="15620" max="15622" width="9.09765625" style="3" customWidth="1"/>
    <col min="15623" max="15623" width="10.09765625" style="3" customWidth="1"/>
    <col min="15624" max="15625" width="7.8984375" style="3" customWidth="1"/>
    <col min="15626" max="15626" width="15" style="3" customWidth="1"/>
    <col min="15627" max="15628" width="9.8984375" style="3" customWidth="1"/>
    <col min="15629" max="15629" width="18.69921875" style="3" customWidth="1"/>
    <col min="15630" max="15872" width="9" style="3" customWidth="1"/>
    <col min="15873" max="15873" width="9.19921875" style="3" customWidth="1"/>
    <col min="15874" max="15874" width="7" style="3" customWidth="1"/>
    <col min="15875" max="15875" width="7.59765625" style="3" customWidth="1"/>
    <col min="15876" max="15878" width="9.09765625" style="3" customWidth="1"/>
    <col min="15879" max="15879" width="10.09765625" style="3" customWidth="1"/>
    <col min="15880" max="15881" width="7.8984375" style="3" customWidth="1"/>
    <col min="15882" max="15882" width="15" style="3" customWidth="1"/>
    <col min="15883" max="15884" width="9.8984375" style="3" customWidth="1"/>
    <col min="15885" max="15885" width="18.69921875" style="3" customWidth="1"/>
    <col min="15886" max="16128" width="9" style="3" customWidth="1"/>
    <col min="16129" max="16129" width="9.19921875" style="3" customWidth="1"/>
    <col min="16130" max="16130" width="7" style="3" customWidth="1"/>
    <col min="16131" max="16131" width="7.59765625" style="3" customWidth="1"/>
    <col min="16132" max="16134" width="9.09765625" style="3" customWidth="1"/>
    <col min="16135" max="16135" width="10.09765625" style="3" customWidth="1"/>
    <col min="16136" max="16137" width="7.8984375" style="3" customWidth="1"/>
    <col min="16138" max="16138" width="15" style="3" customWidth="1"/>
    <col min="16139" max="16140" width="9.8984375" style="3" customWidth="1"/>
    <col min="16141" max="16141" width="18.69921875" style="3" customWidth="1"/>
    <col min="16142" max="16384" width="9" style="3" customWidth="1"/>
  </cols>
  <sheetData>
    <row r="1" ht="27.9" customHeight="1" spans="1:13" x14ac:dyDescent="0.25">
      <c r="A1" s="190" t="s">
        <v>25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</row>
    <row r="2" ht="12" customHeight="1" spans="1:13" x14ac:dyDescent="0.25">
      <c r="A2" s="179" t="s">
        <v>26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</row>
    <row r="3" ht="9.75" customHeight="1" x14ac:dyDescent="0.25"/>
    <row r="4" ht="20.25" customHeight="1" spans="1:13" x14ac:dyDescent="0.25">
      <c r="A4" s="191" t="s">
        <v>74</v>
      </c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</row>
    <row r="5" ht="10.5" customHeight="1" x14ac:dyDescent="0.25"/>
    <row r="6" spans="1:14" x14ac:dyDescent="0.25">
      <c r="A6" s="3" t="s">
        <v>41</v>
      </c>
      <c r="B6" s="192" t="str">
        <f>'Final Work'!B4</f>
        <v>STARSHIP DRACO</v>
      </c>
      <c r="G6" s="3" t="s">
        <v>42</v>
      </c>
      <c r="H6" s="179"/>
      <c r="I6" s="179"/>
      <c r="K6" s="3" t="s">
        <v>43</v>
      </c>
      <c r="L6" s="193"/>
      <c r="M6" s="179"/>
      <c r="N6" s="1"/>
    </row>
    <row r="7" ht="5.25" customHeight="1" spans="8:9" x14ac:dyDescent="0.25">
      <c r="H7" s="194"/>
      <c r="I7" s="194"/>
    </row>
    <row r="8" spans="1:13" x14ac:dyDescent="0.25">
      <c r="A8" s="192" t="s">
        <v>75</v>
      </c>
      <c r="B8" s="3" t="s">
        <v>26</v>
      </c>
      <c r="C8" s="264"/>
      <c r="D8" s="264"/>
      <c r="G8" s="3" t="s">
        <v>45</v>
      </c>
      <c r="H8" s="179"/>
      <c r="I8" s="179"/>
      <c r="K8" s="192" t="s">
        <v>46</v>
      </c>
      <c r="L8" s="179"/>
      <c r="M8" s="179"/>
    </row>
    <row r="9" ht="8.25" customHeight="1" spans="10:10" x14ac:dyDescent="0.25">
      <c r="J9" s="187"/>
    </row>
    <row r="10" ht="14.4" customHeight="1" spans="1:13" x14ac:dyDescent="0.25">
      <c r="A10" s="265" t="s">
        <v>47</v>
      </c>
      <c r="B10" s="266" t="s">
        <v>48</v>
      </c>
      <c r="C10" s="266"/>
      <c r="D10" s="265" t="s">
        <v>49</v>
      </c>
      <c r="E10" s="265"/>
      <c r="F10" s="265"/>
      <c r="G10" s="197" t="s">
        <v>50</v>
      </c>
      <c r="H10" s="247" t="s">
        <v>51</v>
      </c>
      <c r="I10" s="248"/>
      <c r="J10" s="197" t="s">
        <v>76</v>
      </c>
      <c r="K10" s="265" t="s">
        <v>53</v>
      </c>
      <c r="L10" s="265" t="s">
        <v>54</v>
      </c>
      <c r="M10" s="265" t="s">
        <v>55</v>
      </c>
    </row>
    <row r="11" ht="14.4" customHeight="1" spans="1:13" x14ac:dyDescent="0.25">
      <c r="A11" s="198"/>
      <c r="B11" s="35"/>
      <c r="C11" s="35"/>
      <c r="D11" s="198"/>
      <c r="E11" s="198"/>
      <c r="F11" s="198"/>
      <c r="G11" s="200" t="s">
        <v>56</v>
      </c>
      <c r="H11" s="249"/>
      <c r="I11" s="251"/>
      <c r="J11" s="200"/>
      <c r="K11" s="198"/>
      <c r="L11" s="198"/>
      <c r="M11" s="198"/>
    </row>
    <row r="12" ht="19.95" customHeight="1" spans="1:13" x14ac:dyDescent="0.25">
      <c r="A12" s="210"/>
      <c r="B12" s="196"/>
      <c r="C12" s="3"/>
      <c r="D12" s="218"/>
      <c r="E12" s="219"/>
      <c r="F12" s="213"/>
      <c r="G12" s="196"/>
      <c r="H12" s="214"/>
      <c r="I12" s="3"/>
      <c r="J12" s="214"/>
      <c r="K12" s="196"/>
      <c r="L12" s="196"/>
      <c r="M12" s="267"/>
    </row>
    <row r="13" ht="19.95" customHeight="1" spans="1:13" x14ac:dyDescent="0.25">
      <c r="A13" s="210"/>
      <c r="B13" s="196"/>
      <c r="C13" s="3"/>
      <c r="D13" s="218"/>
      <c r="E13" s="219"/>
      <c r="F13" s="213"/>
      <c r="G13" s="196"/>
      <c r="H13" s="214"/>
      <c r="I13" s="3"/>
      <c r="J13" s="214"/>
      <c r="K13" s="196"/>
      <c r="L13" s="196"/>
      <c r="M13" s="267"/>
    </row>
    <row r="14" ht="19.95" customHeight="1" spans="1:13" x14ac:dyDescent="0.25">
      <c r="A14" s="210"/>
      <c r="B14" s="196"/>
      <c r="C14" s="3"/>
      <c r="D14" s="218"/>
      <c r="E14" s="219"/>
      <c r="F14" s="213"/>
      <c r="G14" s="196"/>
      <c r="H14" s="214"/>
      <c r="I14" s="3"/>
      <c r="J14" s="214"/>
      <c r="K14" s="196"/>
      <c r="L14" s="196"/>
      <c r="M14" s="267"/>
    </row>
    <row r="15" ht="19.95" customHeight="1" spans="1:13" x14ac:dyDescent="0.25">
      <c r="A15" s="210"/>
      <c r="B15" s="196"/>
      <c r="C15" s="3"/>
      <c r="D15" s="218"/>
      <c r="E15" s="219"/>
      <c r="F15" s="213"/>
      <c r="G15" s="196"/>
      <c r="H15" s="214"/>
      <c r="I15" s="3"/>
      <c r="J15" s="214"/>
      <c r="K15" s="196"/>
      <c r="L15" s="196"/>
      <c r="M15" s="267"/>
    </row>
    <row r="16" ht="19.95" customHeight="1" spans="1:13" x14ac:dyDescent="0.25">
      <c r="A16" s="210"/>
      <c r="B16" s="196"/>
      <c r="C16" s="3"/>
      <c r="D16" s="218"/>
      <c r="E16" s="219"/>
      <c r="F16" s="213"/>
      <c r="G16" s="196"/>
      <c r="H16" s="214"/>
      <c r="I16" s="3"/>
      <c r="J16" s="214"/>
      <c r="K16" s="196"/>
      <c r="L16" s="196"/>
      <c r="M16" s="267"/>
    </row>
    <row r="17" ht="19.95" customHeight="1" spans="1:13" x14ac:dyDescent="0.25">
      <c r="A17" s="210"/>
      <c r="B17" s="196"/>
      <c r="C17" s="3"/>
      <c r="D17" s="218"/>
      <c r="E17" s="219"/>
      <c r="F17" s="213"/>
      <c r="G17" s="196"/>
      <c r="H17" s="214"/>
      <c r="I17" s="3"/>
      <c r="J17" s="214"/>
      <c r="K17" s="196"/>
      <c r="L17" s="196"/>
      <c r="M17" s="267"/>
    </row>
    <row r="18" ht="19.95" customHeight="1" spans="1:13" x14ac:dyDescent="0.25">
      <c r="A18" s="210"/>
      <c r="B18" s="196"/>
      <c r="C18" s="3"/>
      <c r="D18" s="218"/>
      <c r="E18" s="219"/>
      <c r="F18" s="213"/>
      <c r="G18" s="196"/>
      <c r="H18" s="214"/>
      <c r="I18" s="3"/>
      <c r="J18" s="214"/>
      <c r="K18" s="196"/>
      <c r="L18" s="196"/>
      <c r="M18" s="267"/>
    </row>
    <row r="19" ht="19.95" customHeight="1" spans="1:13" x14ac:dyDescent="0.25">
      <c r="A19" s="222"/>
      <c r="B19" s="268"/>
      <c r="C19" s="268"/>
      <c r="D19" s="269" t="s">
        <v>57</v>
      </c>
      <c r="E19" s="270"/>
      <c r="F19" s="271"/>
      <c r="G19" s="229" t="s">
        <v>58</v>
      </c>
      <c r="H19" s="272">
        <f>SUM(H12:I18)</f>
        <v>85</v>
      </c>
      <c r="I19" s="272"/>
      <c r="J19" s="272">
        <f>SUM(J12:J18)</f>
        <v>85</v>
      </c>
      <c r="K19" s="229" t="s">
        <v>59</v>
      </c>
      <c r="L19" s="229" t="s">
        <v>59</v>
      </c>
      <c r="M19" s="230"/>
    </row>
    <row r="20" ht="19.95" customHeight="1" spans="1:13" x14ac:dyDescent="0.25">
      <c r="A20" s="210"/>
      <c r="B20" s="196"/>
      <c r="C20" s="196"/>
      <c r="D20" s="273"/>
      <c r="E20" s="274"/>
      <c r="F20" s="275"/>
      <c r="G20" s="276"/>
      <c r="H20" s="277"/>
      <c r="I20" s="277"/>
      <c r="J20" s="277"/>
      <c r="K20" s="276"/>
      <c r="L20" s="276"/>
      <c r="M20" s="267"/>
    </row>
    <row r="21" ht="19.95" customHeight="1" spans="1:13" x14ac:dyDescent="0.25">
      <c r="A21" s="210"/>
      <c r="B21" s="196"/>
      <c r="C21" s="196"/>
      <c r="D21" s="273"/>
      <c r="E21" s="274"/>
      <c r="F21" s="275"/>
      <c r="G21" s="276"/>
      <c r="H21" s="277"/>
      <c r="I21" s="277"/>
      <c r="J21" s="277"/>
      <c r="K21" s="276"/>
      <c r="L21" s="276"/>
      <c r="M21" s="267"/>
    </row>
    <row r="22" ht="19.95" customHeight="1" spans="1:13" x14ac:dyDescent="0.25">
      <c r="A22" s="210"/>
      <c r="B22" s="196"/>
      <c r="C22" s="196"/>
      <c r="D22" s="273"/>
      <c r="E22" s="274"/>
      <c r="F22" s="275"/>
      <c r="G22" s="276"/>
      <c r="H22" s="277"/>
      <c r="I22" s="277"/>
      <c r="J22" s="277"/>
      <c r="K22" s="276"/>
      <c r="L22" s="276"/>
      <c r="M22" s="267"/>
    </row>
    <row r="23" ht="15.75" customHeight="1" spans="1:13" x14ac:dyDescent="0.25">
      <c r="A23" s="237" t="s">
        <v>60</v>
      </c>
      <c r="B23" s="238"/>
      <c r="C23" s="238"/>
      <c r="D23" s="238"/>
      <c r="E23" s="238"/>
      <c r="F23" s="238"/>
      <c r="G23" s="238"/>
      <c r="H23" s="238"/>
      <c r="I23" s="238"/>
      <c r="J23" s="238"/>
      <c r="K23" s="238"/>
      <c r="L23" s="238"/>
      <c r="M23" s="239"/>
    </row>
    <row r="24" ht="15.9" customHeight="1" spans="1:13" x14ac:dyDescent="0.25">
      <c r="A24" s="240"/>
      <c r="B24" s="241"/>
      <c r="C24" s="241"/>
      <c r="D24" s="241"/>
      <c r="E24" s="241"/>
      <c r="F24" s="241"/>
      <c r="G24" s="241"/>
      <c r="H24" s="241"/>
      <c r="I24" s="241"/>
      <c r="J24" s="241"/>
      <c r="K24" s="241"/>
      <c r="L24" s="241"/>
      <c r="M24" s="242"/>
    </row>
    <row r="25" ht="15.9" customHeight="1" spans="1:13" x14ac:dyDescent="0.25">
      <c r="A25" s="243"/>
      <c r="B25" s="241"/>
      <c r="C25" s="241"/>
      <c r="D25" s="241"/>
      <c r="E25" s="241"/>
      <c r="F25" s="241"/>
      <c r="G25" s="241"/>
      <c r="H25" s="241"/>
      <c r="I25" s="241"/>
      <c r="J25" s="241"/>
      <c r="K25" s="241"/>
      <c r="L25" s="241"/>
      <c r="M25" s="242"/>
    </row>
    <row r="26" ht="15.9" customHeight="1" spans="1:13" x14ac:dyDescent="0.25">
      <c r="A26" s="243"/>
      <c r="B26" s="241"/>
      <c r="C26" s="241"/>
      <c r="D26" s="241"/>
      <c r="E26" s="241"/>
      <c r="F26" s="241"/>
      <c r="G26" s="241"/>
      <c r="H26" s="241"/>
      <c r="I26" s="241"/>
      <c r="J26" s="241"/>
      <c r="K26" s="241"/>
      <c r="L26" s="241"/>
      <c r="M26" s="242"/>
    </row>
    <row r="27" ht="15.9" customHeight="1" spans="1:13" x14ac:dyDescent="0.25">
      <c r="A27" s="243"/>
      <c r="B27" s="241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2"/>
    </row>
    <row r="28" ht="15.9" customHeight="1" spans="1:13" x14ac:dyDescent="0.25">
      <c r="A28" s="243"/>
      <c r="B28" s="241"/>
      <c r="C28" s="241"/>
      <c r="D28" s="241"/>
      <c r="E28" s="241"/>
      <c r="F28" s="241"/>
      <c r="G28" s="241"/>
      <c r="H28" s="241"/>
      <c r="I28" s="241"/>
      <c r="J28" s="241"/>
      <c r="K28" s="241"/>
      <c r="L28" s="241"/>
      <c r="M28" s="242"/>
    </row>
    <row r="29" ht="15.9" customHeight="1" spans="1:13" x14ac:dyDescent="0.25">
      <c r="A29" s="244"/>
      <c r="B29" s="245"/>
      <c r="C29" s="245"/>
      <c r="D29" s="245"/>
      <c r="E29" s="245"/>
      <c r="F29" s="245"/>
      <c r="G29" s="245"/>
      <c r="H29" s="245"/>
      <c r="I29" s="245"/>
      <c r="J29" s="245"/>
      <c r="K29" s="245"/>
      <c r="L29" s="245"/>
      <c r="M29" s="246"/>
    </row>
    <row r="30" ht="12" customHeight="1" spans="1:13" x14ac:dyDescent="0.25">
      <c r="A30" s="278"/>
      <c r="B30" s="279"/>
      <c r="C30" s="279"/>
      <c r="D30" s="279"/>
      <c r="E30" s="279"/>
      <c r="F30" s="279"/>
      <c r="G30" s="279"/>
      <c r="H30" s="279"/>
      <c r="I30" s="279"/>
      <c r="J30" s="279"/>
      <c r="K30" s="279"/>
      <c r="L30" s="279"/>
      <c r="M30" s="279"/>
    </row>
    <row r="31" ht="12" customHeight="1" spans="1:13" x14ac:dyDescent="0.25">
      <c r="A31" s="149"/>
      <c r="B31" s="241"/>
      <c r="C31" s="241"/>
      <c r="D31" s="241"/>
      <c r="E31" s="241"/>
      <c r="F31" s="241"/>
      <c r="G31" s="241"/>
      <c r="H31" s="241"/>
      <c r="I31" s="241"/>
      <c r="J31" s="241"/>
      <c r="K31" s="241"/>
      <c r="L31" s="241"/>
      <c r="M31" s="241"/>
    </row>
    <row r="32" ht="12" customHeight="1" spans="1:13" x14ac:dyDescent="0.25">
      <c r="A32" s="187"/>
      <c r="B32" s="187"/>
      <c r="C32" s="187"/>
      <c r="G32" s="187"/>
      <c r="H32" s="187"/>
      <c r="I32" s="187"/>
      <c r="L32" s="187"/>
      <c r="M32" s="187"/>
    </row>
    <row r="33" spans="1:13" x14ac:dyDescent="0.25">
      <c r="A33" s="188" t="s">
        <v>23</v>
      </c>
      <c r="B33" s="188"/>
      <c r="C33" s="188"/>
      <c r="G33" s="188" t="s">
        <v>61</v>
      </c>
      <c r="H33" s="188"/>
      <c r="I33" s="188"/>
      <c r="L33" s="188" t="s">
        <v>24</v>
      </c>
      <c r="M33" s="188"/>
    </row>
  </sheetData>
  <mergeCells count="37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9:C19"/>
    <mergeCell ref="D19:F19"/>
    <mergeCell ref="H19:I19"/>
    <mergeCell ref="B20:C20"/>
    <mergeCell ref="D20:F20"/>
    <mergeCell ref="H20:I20"/>
    <mergeCell ref="B21:C21"/>
    <mergeCell ref="D21:F21"/>
    <mergeCell ref="H21:I21"/>
    <mergeCell ref="B22:C22"/>
    <mergeCell ref="D22:F22"/>
    <mergeCell ref="H22:I22"/>
    <mergeCell ref="A23:M23"/>
    <mergeCell ref="B24:M24"/>
    <mergeCell ref="B25:M25"/>
    <mergeCell ref="B26:M26"/>
    <mergeCell ref="B27:M27"/>
    <mergeCell ref="B28:M28"/>
    <mergeCell ref="B29:M29"/>
    <mergeCell ref="A33:C33"/>
    <mergeCell ref="G33:I33"/>
    <mergeCell ref="L33:M33"/>
  </mergeCells>
  <printOptions horizontalCentered="1" verticalCentered="1"/>
  <pageMargins left="0.1968503937007874" right="0.1968503937007874" top="0.5511811023622047" bottom="0.15748031496062992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workbookViewId="0" zoomScale="90" zoomScaleNormal="90">
      <selection activeCell="C8" sqref="C8"/>
    </sheetView>
  </sheetViews>
  <sheetFormatPr defaultRowHeight="19.2" outlineLevelRow="0" outlineLevelCol="0" x14ac:dyDescent="0" customHeight="1"/>
  <cols>
    <col min="1" max="2" width="7.59765625" style="3" customWidth="1"/>
    <col min="3" max="3" width="12.09765625" style="3" customWidth="1"/>
    <col min="4" max="4" width="7" style="3" customWidth="1"/>
    <col min="5" max="5" width="14.59765625" style="3" customWidth="1"/>
    <col min="6" max="6" width="13" style="3" customWidth="1"/>
    <col min="7" max="7" width="12.09765625" style="3" customWidth="1"/>
    <col min="8" max="8" width="13.59765625" style="3" customWidth="1"/>
    <col min="9" max="220" width="9" style="3" customWidth="1"/>
    <col min="221" max="221" width="9.09765625" style="3" customWidth="1"/>
    <col min="222" max="222" width="7.59765625" style="3" customWidth="1"/>
    <col min="223" max="223" width="12.09765625" style="3" customWidth="1"/>
    <col min="224" max="224" width="7" style="3" customWidth="1"/>
    <col min="225" max="225" width="16" style="3" customWidth="1"/>
    <col min="226" max="226" width="13" style="3" customWidth="1"/>
    <col min="227" max="227" width="12.09765625" style="3" customWidth="1"/>
    <col min="228" max="228" width="13.59765625" style="3" customWidth="1"/>
    <col min="229" max="476" width="9" style="3" customWidth="1"/>
    <col min="477" max="477" width="9.09765625" style="3" customWidth="1"/>
    <col min="478" max="478" width="7.59765625" style="3" customWidth="1"/>
    <col min="479" max="479" width="12.09765625" style="3" customWidth="1"/>
    <col min="480" max="480" width="7" style="3" customWidth="1"/>
    <col min="481" max="481" width="16" style="3" customWidth="1"/>
    <col min="482" max="482" width="13" style="3" customWidth="1"/>
    <col min="483" max="483" width="12.09765625" style="3" customWidth="1"/>
    <col min="484" max="484" width="13.59765625" style="3" customWidth="1"/>
    <col min="485" max="732" width="9" style="3" customWidth="1"/>
    <col min="733" max="733" width="9.09765625" style="3" customWidth="1"/>
    <col min="734" max="734" width="7.59765625" style="3" customWidth="1"/>
    <col min="735" max="735" width="12.09765625" style="3" customWidth="1"/>
    <col min="736" max="736" width="7" style="3" customWidth="1"/>
    <col min="737" max="737" width="16" style="3" customWidth="1"/>
    <col min="738" max="738" width="13" style="3" customWidth="1"/>
    <col min="739" max="739" width="12.09765625" style="3" customWidth="1"/>
    <col min="740" max="740" width="13.59765625" style="3" customWidth="1"/>
    <col min="741" max="988" width="9" style="3" customWidth="1"/>
    <col min="989" max="989" width="9.09765625" style="3" customWidth="1"/>
    <col min="990" max="990" width="7.59765625" style="3" customWidth="1"/>
    <col min="991" max="991" width="12.09765625" style="3" customWidth="1"/>
    <col min="992" max="992" width="7" style="3" customWidth="1"/>
    <col min="993" max="993" width="16" style="3" customWidth="1"/>
    <col min="994" max="994" width="13" style="3" customWidth="1"/>
    <col min="995" max="995" width="12.09765625" style="3" customWidth="1"/>
    <col min="996" max="996" width="13.59765625" style="3" customWidth="1"/>
    <col min="997" max="1244" width="9" style="3" customWidth="1"/>
    <col min="1245" max="1245" width="9.09765625" style="3" customWidth="1"/>
    <col min="1246" max="1246" width="7.59765625" style="3" customWidth="1"/>
    <col min="1247" max="1247" width="12.09765625" style="3" customWidth="1"/>
    <col min="1248" max="1248" width="7" style="3" customWidth="1"/>
    <col min="1249" max="1249" width="16" style="3" customWidth="1"/>
    <col min="1250" max="1250" width="13" style="3" customWidth="1"/>
    <col min="1251" max="1251" width="12.09765625" style="3" customWidth="1"/>
    <col min="1252" max="1252" width="13.59765625" style="3" customWidth="1"/>
    <col min="1253" max="1500" width="9" style="3" customWidth="1"/>
    <col min="1501" max="1501" width="9.09765625" style="3" customWidth="1"/>
    <col min="1502" max="1502" width="7.59765625" style="3" customWidth="1"/>
    <col min="1503" max="1503" width="12.09765625" style="3" customWidth="1"/>
    <col min="1504" max="1504" width="7" style="3" customWidth="1"/>
    <col min="1505" max="1505" width="16" style="3" customWidth="1"/>
    <col min="1506" max="1506" width="13" style="3" customWidth="1"/>
    <col min="1507" max="1507" width="12.09765625" style="3" customWidth="1"/>
    <col min="1508" max="1508" width="13.59765625" style="3" customWidth="1"/>
    <col min="1509" max="1756" width="9" style="3" customWidth="1"/>
    <col min="1757" max="1757" width="9.09765625" style="3" customWidth="1"/>
    <col min="1758" max="1758" width="7.59765625" style="3" customWidth="1"/>
    <col min="1759" max="1759" width="12.09765625" style="3" customWidth="1"/>
    <col min="1760" max="1760" width="7" style="3" customWidth="1"/>
    <col min="1761" max="1761" width="16" style="3" customWidth="1"/>
    <col min="1762" max="1762" width="13" style="3" customWidth="1"/>
    <col min="1763" max="1763" width="12.09765625" style="3" customWidth="1"/>
    <col min="1764" max="1764" width="13.59765625" style="3" customWidth="1"/>
    <col min="1765" max="2012" width="9" style="3" customWidth="1"/>
    <col min="2013" max="2013" width="9.09765625" style="3" customWidth="1"/>
    <col min="2014" max="2014" width="7.59765625" style="3" customWidth="1"/>
    <col min="2015" max="2015" width="12.09765625" style="3" customWidth="1"/>
    <col min="2016" max="2016" width="7" style="3" customWidth="1"/>
    <col min="2017" max="2017" width="16" style="3" customWidth="1"/>
    <col min="2018" max="2018" width="13" style="3" customWidth="1"/>
    <col min="2019" max="2019" width="12.09765625" style="3" customWidth="1"/>
    <col min="2020" max="2020" width="13.59765625" style="3" customWidth="1"/>
    <col min="2021" max="2268" width="9" style="3" customWidth="1"/>
    <col min="2269" max="2269" width="9.09765625" style="3" customWidth="1"/>
    <col min="2270" max="2270" width="7.59765625" style="3" customWidth="1"/>
    <col min="2271" max="2271" width="12.09765625" style="3" customWidth="1"/>
    <col min="2272" max="2272" width="7" style="3" customWidth="1"/>
    <col min="2273" max="2273" width="16" style="3" customWidth="1"/>
    <col min="2274" max="2274" width="13" style="3" customWidth="1"/>
    <col min="2275" max="2275" width="12.09765625" style="3" customWidth="1"/>
    <col min="2276" max="2276" width="13.59765625" style="3" customWidth="1"/>
    <col min="2277" max="2524" width="9" style="3" customWidth="1"/>
    <col min="2525" max="2525" width="9.09765625" style="3" customWidth="1"/>
    <col min="2526" max="2526" width="7.59765625" style="3" customWidth="1"/>
    <col min="2527" max="2527" width="12.09765625" style="3" customWidth="1"/>
    <col min="2528" max="2528" width="7" style="3" customWidth="1"/>
    <col min="2529" max="2529" width="16" style="3" customWidth="1"/>
    <col min="2530" max="2530" width="13" style="3" customWidth="1"/>
    <col min="2531" max="2531" width="12.09765625" style="3" customWidth="1"/>
    <col min="2532" max="2532" width="13.59765625" style="3" customWidth="1"/>
    <col min="2533" max="2780" width="9" style="3" customWidth="1"/>
    <col min="2781" max="2781" width="9.09765625" style="3" customWidth="1"/>
    <col min="2782" max="2782" width="7.59765625" style="3" customWidth="1"/>
    <col min="2783" max="2783" width="12.09765625" style="3" customWidth="1"/>
    <col min="2784" max="2784" width="7" style="3" customWidth="1"/>
    <col min="2785" max="2785" width="16" style="3" customWidth="1"/>
    <col min="2786" max="2786" width="13" style="3" customWidth="1"/>
    <col min="2787" max="2787" width="12.09765625" style="3" customWidth="1"/>
    <col min="2788" max="2788" width="13.59765625" style="3" customWidth="1"/>
    <col min="2789" max="3036" width="9" style="3" customWidth="1"/>
    <col min="3037" max="3037" width="9.09765625" style="3" customWidth="1"/>
    <col min="3038" max="3038" width="7.59765625" style="3" customWidth="1"/>
    <col min="3039" max="3039" width="12.09765625" style="3" customWidth="1"/>
    <col min="3040" max="3040" width="7" style="3" customWidth="1"/>
    <col min="3041" max="3041" width="16" style="3" customWidth="1"/>
    <col min="3042" max="3042" width="13" style="3" customWidth="1"/>
    <col min="3043" max="3043" width="12.09765625" style="3" customWidth="1"/>
    <col min="3044" max="3044" width="13.59765625" style="3" customWidth="1"/>
    <col min="3045" max="3292" width="9" style="3" customWidth="1"/>
    <col min="3293" max="3293" width="9.09765625" style="3" customWidth="1"/>
    <col min="3294" max="3294" width="7.59765625" style="3" customWidth="1"/>
    <col min="3295" max="3295" width="12.09765625" style="3" customWidth="1"/>
    <col min="3296" max="3296" width="7" style="3" customWidth="1"/>
    <col min="3297" max="3297" width="16" style="3" customWidth="1"/>
    <col min="3298" max="3298" width="13" style="3" customWidth="1"/>
    <col min="3299" max="3299" width="12.09765625" style="3" customWidth="1"/>
    <col min="3300" max="3300" width="13.59765625" style="3" customWidth="1"/>
    <col min="3301" max="3548" width="9" style="3" customWidth="1"/>
    <col min="3549" max="3549" width="9.09765625" style="3" customWidth="1"/>
    <col min="3550" max="3550" width="7.59765625" style="3" customWidth="1"/>
    <col min="3551" max="3551" width="12.09765625" style="3" customWidth="1"/>
    <col min="3552" max="3552" width="7" style="3" customWidth="1"/>
    <col min="3553" max="3553" width="16" style="3" customWidth="1"/>
    <col min="3554" max="3554" width="13" style="3" customWidth="1"/>
    <col min="3555" max="3555" width="12.09765625" style="3" customWidth="1"/>
    <col min="3556" max="3556" width="13.59765625" style="3" customWidth="1"/>
    <col min="3557" max="3804" width="9" style="3" customWidth="1"/>
    <col min="3805" max="3805" width="9.09765625" style="3" customWidth="1"/>
    <col min="3806" max="3806" width="7.59765625" style="3" customWidth="1"/>
    <col min="3807" max="3807" width="12.09765625" style="3" customWidth="1"/>
    <col min="3808" max="3808" width="7" style="3" customWidth="1"/>
    <col min="3809" max="3809" width="16" style="3" customWidth="1"/>
    <col min="3810" max="3810" width="13" style="3" customWidth="1"/>
    <col min="3811" max="3811" width="12.09765625" style="3" customWidth="1"/>
    <col min="3812" max="3812" width="13.59765625" style="3" customWidth="1"/>
    <col min="3813" max="4060" width="9" style="3" customWidth="1"/>
    <col min="4061" max="4061" width="9.09765625" style="3" customWidth="1"/>
    <col min="4062" max="4062" width="7.59765625" style="3" customWidth="1"/>
    <col min="4063" max="4063" width="12.09765625" style="3" customWidth="1"/>
    <col min="4064" max="4064" width="7" style="3" customWidth="1"/>
    <col min="4065" max="4065" width="16" style="3" customWidth="1"/>
    <col min="4066" max="4066" width="13" style="3" customWidth="1"/>
    <col min="4067" max="4067" width="12.09765625" style="3" customWidth="1"/>
    <col min="4068" max="4068" width="13.59765625" style="3" customWidth="1"/>
    <col min="4069" max="4316" width="9" style="3" customWidth="1"/>
    <col min="4317" max="4317" width="9.09765625" style="3" customWidth="1"/>
    <col min="4318" max="4318" width="7.59765625" style="3" customWidth="1"/>
    <col min="4319" max="4319" width="12.09765625" style="3" customWidth="1"/>
    <col min="4320" max="4320" width="7" style="3" customWidth="1"/>
    <col min="4321" max="4321" width="16" style="3" customWidth="1"/>
    <col min="4322" max="4322" width="13" style="3" customWidth="1"/>
    <col min="4323" max="4323" width="12.09765625" style="3" customWidth="1"/>
    <col min="4324" max="4324" width="13.59765625" style="3" customWidth="1"/>
    <col min="4325" max="4572" width="9" style="3" customWidth="1"/>
    <col min="4573" max="4573" width="9.09765625" style="3" customWidth="1"/>
    <col min="4574" max="4574" width="7.59765625" style="3" customWidth="1"/>
    <col min="4575" max="4575" width="12.09765625" style="3" customWidth="1"/>
    <col min="4576" max="4576" width="7" style="3" customWidth="1"/>
    <col min="4577" max="4577" width="16" style="3" customWidth="1"/>
    <col min="4578" max="4578" width="13" style="3" customWidth="1"/>
    <col min="4579" max="4579" width="12.09765625" style="3" customWidth="1"/>
    <col min="4580" max="4580" width="13.59765625" style="3" customWidth="1"/>
    <col min="4581" max="4828" width="9" style="3" customWidth="1"/>
    <col min="4829" max="4829" width="9.09765625" style="3" customWidth="1"/>
    <col min="4830" max="4830" width="7.59765625" style="3" customWidth="1"/>
    <col min="4831" max="4831" width="12.09765625" style="3" customWidth="1"/>
    <col min="4832" max="4832" width="7" style="3" customWidth="1"/>
    <col min="4833" max="4833" width="16" style="3" customWidth="1"/>
    <col min="4834" max="4834" width="13" style="3" customWidth="1"/>
    <col min="4835" max="4835" width="12.09765625" style="3" customWidth="1"/>
    <col min="4836" max="4836" width="13.59765625" style="3" customWidth="1"/>
    <col min="4837" max="5084" width="9" style="3" customWidth="1"/>
    <col min="5085" max="5085" width="9.09765625" style="3" customWidth="1"/>
    <col min="5086" max="5086" width="7.59765625" style="3" customWidth="1"/>
    <col min="5087" max="5087" width="12.09765625" style="3" customWidth="1"/>
    <col min="5088" max="5088" width="7" style="3" customWidth="1"/>
    <col min="5089" max="5089" width="16" style="3" customWidth="1"/>
    <col min="5090" max="5090" width="13" style="3" customWidth="1"/>
    <col min="5091" max="5091" width="12.09765625" style="3" customWidth="1"/>
    <col min="5092" max="5092" width="13.59765625" style="3" customWidth="1"/>
    <col min="5093" max="5340" width="9" style="3" customWidth="1"/>
    <col min="5341" max="5341" width="9.09765625" style="3" customWidth="1"/>
    <col min="5342" max="5342" width="7.59765625" style="3" customWidth="1"/>
    <col min="5343" max="5343" width="12.09765625" style="3" customWidth="1"/>
    <col min="5344" max="5344" width="7" style="3" customWidth="1"/>
    <col min="5345" max="5345" width="16" style="3" customWidth="1"/>
    <col min="5346" max="5346" width="13" style="3" customWidth="1"/>
    <col min="5347" max="5347" width="12.09765625" style="3" customWidth="1"/>
    <col min="5348" max="5348" width="13.59765625" style="3" customWidth="1"/>
    <col min="5349" max="5596" width="9" style="3" customWidth="1"/>
    <col min="5597" max="5597" width="9.09765625" style="3" customWidth="1"/>
    <col min="5598" max="5598" width="7.59765625" style="3" customWidth="1"/>
    <col min="5599" max="5599" width="12.09765625" style="3" customWidth="1"/>
    <col min="5600" max="5600" width="7" style="3" customWidth="1"/>
    <col min="5601" max="5601" width="16" style="3" customWidth="1"/>
    <col min="5602" max="5602" width="13" style="3" customWidth="1"/>
    <col min="5603" max="5603" width="12.09765625" style="3" customWidth="1"/>
    <col min="5604" max="5604" width="13.59765625" style="3" customWidth="1"/>
    <col min="5605" max="5852" width="9" style="3" customWidth="1"/>
    <col min="5853" max="5853" width="9.09765625" style="3" customWidth="1"/>
    <col min="5854" max="5854" width="7.59765625" style="3" customWidth="1"/>
    <col min="5855" max="5855" width="12.09765625" style="3" customWidth="1"/>
    <col min="5856" max="5856" width="7" style="3" customWidth="1"/>
    <col min="5857" max="5857" width="16" style="3" customWidth="1"/>
    <col min="5858" max="5858" width="13" style="3" customWidth="1"/>
    <col min="5859" max="5859" width="12.09765625" style="3" customWidth="1"/>
    <col min="5860" max="5860" width="13.59765625" style="3" customWidth="1"/>
    <col min="5861" max="6108" width="9" style="3" customWidth="1"/>
    <col min="6109" max="6109" width="9.09765625" style="3" customWidth="1"/>
    <col min="6110" max="6110" width="7.59765625" style="3" customWidth="1"/>
    <col min="6111" max="6111" width="12.09765625" style="3" customWidth="1"/>
    <col min="6112" max="6112" width="7" style="3" customWidth="1"/>
    <col min="6113" max="6113" width="16" style="3" customWidth="1"/>
    <col min="6114" max="6114" width="13" style="3" customWidth="1"/>
    <col min="6115" max="6115" width="12.09765625" style="3" customWidth="1"/>
    <col min="6116" max="6116" width="13.59765625" style="3" customWidth="1"/>
    <col min="6117" max="6364" width="9" style="3" customWidth="1"/>
    <col min="6365" max="6365" width="9.09765625" style="3" customWidth="1"/>
    <col min="6366" max="6366" width="7.59765625" style="3" customWidth="1"/>
    <col min="6367" max="6367" width="12.09765625" style="3" customWidth="1"/>
    <col min="6368" max="6368" width="7" style="3" customWidth="1"/>
    <col min="6369" max="6369" width="16" style="3" customWidth="1"/>
    <col min="6370" max="6370" width="13" style="3" customWidth="1"/>
    <col min="6371" max="6371" width="12.09765625" style="3" customWidth="1"/>
    <col min="6372" max="6372" width="13.59765625" style="3" customWidth="1"/>
    <col min="6373" max="6620" width="9" style="3" customWidth="1"/>
    <col min="6621" max="6621" width="9.09765625" style="3" customWidth="1"/>
    <col min="6622" max="6622" width="7.59765625" style="3" customWidth="1"/>
    <col min="6623" max="6623" width="12.09765625" style="3" customWidth="1"/>
    <col min="6624" max="6624" width="7" style="3" customWidth="1"/>
    <col min="6625" max="6625" width="16" style="3" customWidth="1"/>
    <col min="6626" max="6626" width="13" style="3" customWidth="1"/>
    <col min="6627" max="6627" width="12.09765625" style="3" customWidth="1"/>
    <col min="6628" max="6628" width="13.59765625" style="3" customWidth="1"/>
    <col min="6629" max="6876" width="9" style="3" customWidth="1"/>
    <col min="6877" max="6877" width="9.09765625" style="3" customWidth="1"/>
    <col min="6878" max="6878" width="7.59765625" style="3" customWidth="1"/>
    <col min="6879" max="6879" width="12.09765625" style="3" customWidth="1"/>
    <col min="6880" max="6880" width="7" style="3" customWidth="1"/>
    <col min="6881" max="6881" width="16" style="3" customWidth="1"/>
    <col min="6882" max="6882" width="13" style="3" customWidth="1"/>
    <col min="6883" max="6883" width="12.09765625" style="3" customWidth="1"/>
    <col min="6884" max="6884" width="13.59765625" style="3" customWidth="1"/>
    <col min="6885" max="7132" width="9" style="3" customWidth="1"/>
    <col min="7133" max="7133" width="9.09765625" style="3" customWidth="1"/>
    <col min="7134" max="7134" width="7.59765625" style="3" customWidth="1"/>
    <col min="7135" max="7135" width="12.09765625" style="3" customWidth="1"/>
    <col min="7136" max="7136" width="7" style="3" customWidth="1"/>
    <col min="7137" max="7137" width="16" style="3" customWidth="1"/>
    <col min="7138" max="7138" width="13" style="3" customWidth="1"/>
    <col min="7139" max="7139" width="12.09765625" style="3" customWidth="1"/>
    <col min="7140" max="7140" width="13.59765625" style="3" customWidth="1"/>
    <col min="7141" max="7388" width="9" style="3" customWidth="1"/>
    <col min="7389" max="7389" width="9.09765625" style="3" customWidth="1"/>
    <col min="7390" max="7390" width="7.59765625" style="3" customWidth="1"/>
    <col min="7391" max="7391" width="12.09765625" style="3" customWidth="1"/>
    <col min="7392" max="7392" width="7" style="3" customWidth="1"/>
    <col min="7393" max="7393" width="16" style="3" customWidth="1"/>
    <col min="7394" max="7394" width="13" style="3" customWidth="1"/>
    <col min="7395" max="7395" width="12.09765625" style="3" customWidth="1"/>
    <col min="7396" max="7396" width="13.59765625" style="3" customWidth="1"/>
    <col min="7397" max="7644" width="9" style="3" customWidth="1"/>
    <col min="7645" max="7645" width="9.09765625" style="3" customWidth="1"/>
    <col min="7646" max="7646" width="7.59765625" style="3" customWidth="1"/>
    <col min="7647" max="7647" width="12.09765625" style="3" customWidth="1"/>
    <col min="7648" max="7648" width="7" style="3" customWidth="1"/>
    <col min="7649" max="7649" width="16" style="3" customWidth="1"/>
    <col min="7650" max="7650" width="13" style="3" customWidth="1"/>
    <col min="7651" max="7651" width="12.09765625" style="3" customWidth="1"/>
    <col min="7652" max="7652" width="13.59765625" style="3" customWidth="1"/>
    <col min="7653" max="7900" width="9" style="3" customWidth="1"/>
    <col min="7901" max="7901" width="9.09765625" style="3" customWidth="1"/>
    <col min="7902" max="7902" width="7.59765625" style="3" customWidth="1"/>
    <col min="7903" max="7903" width="12.09765625" style="3" customWidth="1"/>
    <col min="7904" max="7904" width="7" style="3" customWidth="1"/>
    <col min="7905" max="7905" width="16" style="3" customWidth="1"/>
    <col min="7906" max="7906" width="13" style="3" customWidth="1"/>
    <col min="7907" max="7907" width="12.09765625" style="3" customWidth="1"/>
    <col min="7908" max="7908" width="13.59765625" style="3" customWidth="1"/>
    <col min="7909" max="8156" width="9" style="3" customWidth="1"/>
    <col min="8157" max="8157" width="9.09765625" style="3" customWidth="1"/>
    <col min="8158" max="8158" width="7.59765625" style="3" customWidth="1"/>
    <col min="8159" max="8159" width="12.09765625" style="3" customWidth="1"/>
    <col min="8160" max="8160" width="7" style="3" customWidth="1"/>
    <col min="8161" max="8161" width="16" style="3" customWidth="1"/>
    <col min="8162" max="8162" width="13" style="3" customWidth="1"/>
    <col min="8163" max="8163" width="12.09765625" style="3" customWidth="1"/>
    <col min="8164" max="8164" width="13.59765625" style="3" customWidth="1"/>
    <col min="8165" max="8412" width="9" style="3" customWidth="1"/>
    <col min="8413" max="8413" width="9.09765625" style="3" customWidth="1"/>
    <col min="8414" max="8414" width="7.59765625" style="3" customWidth="1"/>
    <col min="8415" max="8415" width="12.09765625" style="3" customWidth="1"/>
    <col min="8416" max="8416" width="7" style="3" customWidth="1"/>
    <col min="8417" max="8417" width="16" style="3" customWidth="1"/>
    <col min="8418" max="8418" width="13" style="3" customWidth="1"/>
    <col min="8419" max="8419" width="12.09765625" style="3" customWidth="1"/>
    <col min="8420" max="8420" width="13.59765625" style="3" customWidth="1"/>
    <col min="8421" max="8668" width="9" style="3" customWidth="1"/>
    <col min="8669" max="8669" width="9.09765625" style="3" customWidth="1"/>
    <col min="8670" max="8670" width="7.59765625" style="3" customWidth="1"/>
    <col min="8671" max="8671" width="12.09765625" style="3" customWidth="1"/>
    <col min="8672" max="8672" width="7" style="3" customWidth="1"/>
    <col min="8673" max="8673" width="16" style="3" customWidth="1"/>
    <col min="8674" max="8674" width="13" style="3" customWidth="1"/>
    <col min="8675" max="8675" width="12.09765625" style="3" customWidth="1"/>
    <col min="8676" max="8676" width="13.59765625" style="3" customWidth="1"/>
    <col min="8677" max="8924" width="9" style="3" customWidth="1"/>
    <col min="8925" max="8925" width="9.09765625" style="3" customWidth="1"/>
    <col min="8926" max="8926" width="7.59765625" style="3" customWidth="1"/>
    <col min="8927" max="8927" width="12.09765625" style="3" customWidth="1"/>
    <col min="8928" max="8928" width="7" style="3" customWidth="1"/>
    <col min="8929" max="8929" width="16" style="3" customWidth="1"/>
    <col min="8930" max="8930" width="13" style="3" customWidth="1"/>
    <col min="8931" max="8931" width="12.09765625" style="3" customWidth="1"/>
    <col min="8932" max="8932" width="13.59765625" style="3" customWidth="1"/>
    <col min="8933" max="9180" width="9" style="3" customWidth="1"/>
    <col min="9181" max="9181" width="9.09765625" style="3" customWidth="1"/>
    <col min="9182" max="9182" width="7.59765625" style="3" customWidth="1"/>
    <col min="9183" max="9183" width="12.09765625" style="3" customWidth="1"/>
    <col min="9184" max="9184" width="7" style="3" customWidth="1"/>
    <col min="9185" max="9185" width="16" style="3" customWidth="1"/>
    <col min="9186" max="9186" width="13" style="3" customWidth="1"/>
    <col min="9187" max="9187" width="12.09765625" style="3" customWidth="1"/>
    <col min="9188" max="9188" width="13.59765625" style="3" customWidth="1"/>
    <col min="9189" max="9436" width="9" style="3" customWidth="1"/>
    <col min="9437" max="9437" width="9.09765625" style="3" customWidth="1"/>
    <col min="9438" max="9438" width="7.59765625" style="3" customWidth="1"/>
    <col min="9439" max="9439" width="12.09765625" style="3" customWidth="1"/>
    <col min="9440" max="9440" width="7" style="3" customWidth="1"/>
    <col min="9441" max="9441" width="16" style="3" customWidth="1"/>
    <col min="9442" max="9442" width="13" style="3" customWidth="1"/>
    <col min="9443" max="9443" width="12.09765625" style="3" customWidth="1"/>
    <col min="9444" max="9444" width="13.59765625" style="3" customWidth="1"/>
    <col min="9445" max="9692" width="9" style="3" customWidth="1"/>
    <col min="9693" max="9693" width="9.09765625" style="3" customWidth="1"/>
    <col min="9694" max="9694" width="7.59765625" style="3" customWidth="1"/>
    <col min="9695" max="9695" width="12.09765625" style="3" customWidth="1"/>
    <col min="9696" max="9696" width="7" style="3" customWidth="1"/>
    <col min="9697" max="9697" width="16" style="3" customWidth="1"/>
    <col min="9698" max="9698" width="13" style="3" customWidth="1"/>
    <col min="9699" max="9699" width="12.09765625" style="3" customWidth="1"/>
    <col min="9700" max="9700" width="13.59765625" style="3" customWidth="1"/>
    <col min="9701" max="9948" width="9" style="3" customWidth="1"/>
    <col min="9949" max="9949" width="9.09765625" style="3" customWidth="1"/>
    <col min="9950" max="9950" width="7.59765625" style="3" customWidth="1"/>
    <col min="9951" max="9951" width="12.09765625" style="3" customWidth="1"/>
    <col min="9952" max="9952" width="7" style="3" customWidth="1"/>
    <col min="9953" max="9953" width="16" style="3" customWidth="1"/>
    <col min="9954" max="9954" width="13" style="3" customWidth="1"/>
    <col min="9955" max="9955" width="12.09765625" style="3" customWidth="1"/>
    <col min="9956" max="9956" width="13.59765625" style="3" customWidth="1"/>
    <col min="9957" max="10204" width="9" style="3" customWidth="1"/>
    <col min="10205" max="10205" width="9.09765625" style="3" customWidth="1"/>
    <col min="10206" max="10206" width="7.59765625" style="3" customWidth="1"/>
    <col min="10207" max="10207" width="12.09765625" style="3" customWidth="1"/>
    <col min="10208" max="10208" width="7" style="3" customWidth="1"/>
    <col min="10209" max="10209" width="16" style="3" customWidth="1"/>
    <col min="10210" max="10210" width="13" style="3" customWidth="1"/>
    <col min="10211" max="10211" width="12.09765625" style="3" customWidth="1"/>
    <col min="10212" max="10212" width="13.59765625" style="3" customWidth="1"/>
    <col min="10213" max="10460" width="9" style="3" customWidth="1"/>
    <col min="10461" max="10461" width="9.09765625" style="3" customWidth="1"/>
    <col min="10462" max="10462" width="7.59765625" style="3" customWidth="1"/>
    <col min="10463" max="10463" width="12.09765625" style="3" customWidth="1"/>
    <col min="10464" max="10464" width="7" style="3" customWidth="1"/>
    <col min="10465" max="10465" width="16" style="3" customWidth="1"/>
    <col min="10466" max="10466" width="13" style="3" customWidth="1"/>
    <col min="10467" max="10467" width="12.09765625" style="3" customWidth="1"/>
    <col min="10468" max="10468" width="13.59765625" style="3" customWidth="1"/>
    <col min="10469" max="10716" width="9" style="3" customWidth="1"/>
    <col min="10717" max="10717" width="9.09765625" style="3" customWidth="1"/>
    <col min="10718" max="10718" width="7.59765625" style="3" customWidth="1"/>
    <col min="10719" max="10719" width="12.09765625" style="3" customWidth="1"/>
    <col min="10720" max="10720" width="7" style="3" customWidth="1"/>
    <col min="10721" max="10721" width="16" style="3" customWidth="1"/>
    <col min="10722" max="10722" width="13" style="3" customWidth="1"/>
    <col min="10723" max="10723" width="12.09765625" style="3" customWidth="1"/>
    <col min="10724" max="10724" width="13.59765625" style="3" customWidth="1"/>
    <col min="10725" max="10972" width="9" style="3" customWidth="1"/>
    <col min="10973" max="10973" width="9.09765625" style="3" customWidth="1"/>
    <col min="10974" max="10974" width="7.59765625" style="3" customWidth="1"/>
    <col min="10975" max="10975" width="12.09765625" style="3" customWidth="1"/>
    <col min="10976" max="10976" width="7" style="3" customWidth="1"/>
    <col min="10977" max="10977" width="16" style="3" customWidth="1"/>
    <col min="10978" max="10978" width="13" style="3" customWidth="1"/>
    <col min="10979" max="10979" width="12.09765625" style="3" customWidth="1"/>
    <col min="10980" max="10980" width="13.59765625" style="3" customWidth="1"/>
    <col min="10981" max="11228" width="9" style="3" customWidth="1"/>
    <col min="11229" max="11229" width="9.09765625" style="3" customWidth="1"/>
    <col min="11230" max="11230" width="7.59765625" style="3" customWidth="1"/>
    <col min="11231" max="11231" width="12.09765625" style="3" customWidth="1"/>
    <col min="11232" max="11232" width="7" style="3" customWidth="1"/>
    <col min="11233" max="11233" width="16" style="3" customWidth="1"/>
    <col min="11234" max="11234" width="13" style="3" customWidth="1"/>
    <col min="11235" max="11235" width="12.09765625" style="3" customWidth="1"/>
    <col min="11236" max="11236" width="13.59765625" style="3" customWidth="1"/>
    <col min="11237" max="11484" width="9" style="3" customWidth="1"/>
    <col min="11485" max="11485" width="9.09765625" style="3" customWidth="1"/>
    <col min="11486" max="11486" width="7.59765625" style="3" customWidth="1"/>
    <col min="11487" max="11487" width="12.09765625" style="3" customWidth="1"/>
    <col min="11488" max="11488" width="7" style="3" customWidth="1"/>
    <col min="11489" max="11489" width="16" style="3" customWidth="1"/>
    <col min="11490" max="11490" width="13" style="3" customWidth="1"/>
    <col min="11491" max="11491" width="12.09765625" style="3" customWidth="1"/>
    <col min="11492" max="11492" width="13.59765625" style="3" customWidth="1"/>
    <col min="11493" max="11740" width="9" style="3" customWidth="1"/>
    <col min="11741" max="11741" width="9.09765625" style="3" customWidth="1"/>
    <col min="11742" max="11742" width="7.59765625" style="3" customWidth="1"/>
    <col min="11743" max="11743" width="12.09765625" style="3" customWidth="1"/>
    <col min="11744" max="11744" width="7" style="3" customWidth="1"/>
    <col min="11745" max="11745" width="16" style="3" customWidth="1"/>
    <col min="11746" max="11746" width="13" style="3" customWidth="1"/>
    <col min="11747" max="11747" width="12.09765625" style="3" customWidth="1"/>
    <col min="11748" max="11748" width="13.59765625" style="3" customWidth="1"/>
    <col min="11749" max="11996" width="9" style="3" customWidth="1"/>
    <col min="11997" max="11997" width="9.09765625" style="3" customWidth="1"/>
    <col min="11998" max="11998" width="7.59765625" style="3" customWidth="1"/>
    <col min="11999" max="11999" width="12.09765625" style="3" customWidth="1"/>
    <col min="12000" max="12000" width="7" style="3" customWidth="1"/>
    <col min="12001" max="12001" width="16" style="3" customWidth="1"/>
    <col min="12002" max="12002" width="13" style="3" customWidth="1"/>
    <col min="12003" max="12003" width="12.09765625" style="3" customWidth="1"/>
    <col min="12004" max="12004" width="13.59765625" style="3" customWidth="1"/>
    <col min="12005" max="12252" width="9" style="3" customWidth="1"/>
    <col min="12253" max="12253" width="9.09765625" style="3" customWidth="1"/>
    <col min="12254" max="12254" width="7.59765625" style="3" customWidth="1"/>
    <col min="12255" max="12255" width="12.09765625" style="3" customWidth="1"/>
    <col min="12256" max="12256" width="7" style="3" customWidth="1"/>
    <col min="12257" max="12257" width="16" style="3" customWidth="1"/>
    <col min="12258" max="12258" width="13" style="3" customWidth="1"/>
    <col min="12259" max="12259" width="12.09765625" style="3" customWidth="1"/>
    <col min="12260" max="12260" width="13.59765625" style="3" customWidth="1"/>
    <col min="12261" max="12508" width="9" style="3" customWidth="1"/>
    <col min="12509" max="12509" width="9.09765625" style="3" customWidth="1"/>
    <col min="12510" max="12510" width="7.59765625" style="3" customWidth="1"/>
    <col min="12511" max="12511" width="12.09765625" style="3" customWidth="1"/>
    <col min="12512" max="12512" width="7" style="3" customWidth="1"/>
    <col min="12513" max="12513" width="16" style="3" customWidth="1"/>
    <col min="12514" max="12514" width="13" style="3" customWidth="1"/>
    <col min="12515" max="12515" width="12.09765625" style="3" customWidth="1"/>
    <col min="12516" max="12516" width="13.59765625" style="3" customWidth="1"/>
    <col min="12517" max="12764" width="9" style="3" customWidth="1"/>
    <col min="12765" max="12765" width="9.09765625" style="3" customWidth="1"/>
    <col min="12766" max="12766" width="7.59765625" style="3" customWidth="1"/>
    <col min="12767" max="12767" width="12.09765625" style="3" customWidth="1"/>
    <col min="12768" max="12768" width="7" style="3" customWidth="1"/>
    <col min="12769" max="12769" width="16" style="3" customWidth="1"/>
    <col min="12770" max="12770" width="13" style="3" customWidth="1"/>
    <col min="12771" max="12771" width="12.09765625" style="3" customWidth="1"/>
    <col min="12772" max="12772" width="13.59765625" style="3" customWidth="1"/>
    <col min="12773" max="13020" width="9" style="3" customWidth="1"/>
    <col min="13021" max="13021" width="9.09765625" style="3" customWidth="1"/>
    <col min="13022" max="13022" width="7.59765625" style="3" customWidth="1"/>
    <col min="13023" max="13023" width="12.09765625" style="3" customWidth="1"/>
    <col min="13024" max="13024" width="7" style="3" customWidth="1"/>
    <col min="13025" max="13025" width="16" style="3" customWidth="1"/>
    <col min="13026" max="13026" width="13" style="3" customWidth="1"/>
    <col min="13027" max="13027" width="12.09765625" style="3" customWidth="1"/>
    <col min="13028" max="13028" width="13.59765625" style="3" customWidth="1"/>
    <col min="13029" max="13276" width="9" style="3" customWidth="1"/>
    <col min="13277" max="13277" width="9.09765625" style="3" customWidth="1"/>
    <col min="13278" max="13278" width="7.59765625" style="3" customWidth="1"/>
    <col min="13279" max="13279" width="12.09765625" style="3" customWidth="1"/>
    <col min="13280" max="13280" width="7" style="3" customWidth="1"/>
    <col min="13281" max="13281" width="16" style="3" customWidth="1"/>
    <col min="13282" max="13282" width="13" style="3" customWidth="1"/>
    <col min="13283" max="13283" width="12.09765625" style="3" customWidth="1"/>
    <col min="13284" max="13284" width="13.59765625" style="3" customWidth="1"/>
    <col min="13285" max="13532" width="9" style="3" customWidth="1"/>
    <col min="13533" max="13533" width="9.09765625" style="3" customWidth="1"/>
    <col min="13534" max="13534" width="7.59765625" style="3" customWidth="1"/>
    <col min="13535" max="13535" width="12.09765625" style="3" customWidth="1"/>
    <col min="13536" max="13536" width="7" style="3" customWidth="1"/>
    <col min="13537" max="13537" width="16" style="3" customWidth="1"/>
    <col min="13538" max="13538" width="13" style="3" customWidth="1"/>
    <col min="13539" max="13539" width="12.09765625" style="3" customWidth="1"/>
    <col min="13540" max="13540" width="13.59765625" style="3" customWidth="1"/>
    <col min="13541" max="13788" width="9" style="3" customWidth="1"/>
    <col min="13789" max="13789" width="9.09765625" style="3" customWidth="1"/>
    <col min="13790" max="13790" width="7.59765625" style="3" customWidth="1"/>
    <col min="13791" max="13791" width="12.09765625" style="3" customWidth="1"/>
    <col min="13792" max="13792" width="7" style="3" customWidth="1"/>
    <col min="13793" max="13793" width="16" style="3" customWidth="1"/>
    <col min="13794" max="13794" width="13" style="3" customWidth="1"/>
    <col min="13795" max="13795" width="12.09765625" style="3" customWidth="1"/>
    <col min="13796" max="13796" width="13.59765625" style="3" customWidth="1"/>
    <col min="13797" max="14044" width="9" style="3" customWidth="1"/>
    <col min="14045" max="14045" width="9.09765625" style="3" customWidth="1"/>
    <col min="14046" max="14046" width="7.59765625" style="3" customWidth="1"/>
    <col min="14047" max="14047" width="12.09765625" style="3" customWidth="1"/>
    <col min="14048" max="14048" width="7" style="3" customWidth="1"/>
    <col min="14049" max="14049" width="16" style="3" customWidth="1"/>
    <col min="14050" max="14050" width="13" style="3" customWidth="1"/>
    <col min="14051" max="14051" width="12.09765625" style="3" customWidth="1"/>
    <col min="14052" max="14052" width="13.59765625" style="3" customWidth="1"/>
    <col min="14053" max="14300" width="9" style="3" customWidth="1"/>
    <col min="14301" max="14301" width="9.09765625" style="3" customWidth="1"/>
    <col min="14302" max="14302" width="7.59765625" style="3" customWidth="1"/>
    <col min="14303" max="14303" width="12.09765625" style="3" customWidth="1"/>
    <col min="14304" max="14304" width="7" style="3" customWidth="1"/>
    <col min="14305" max="14305" width="16" style="3" customWidth="1"/>
    <col min="14306" max="14306" width="13" style="3" customWidth="1"/>
    <col min="14307" max="14307" width="12.09765625" style="3" customWidth="1"/>
    <col min="14308" max="14308" width="13.59765625" style="3" customWidth="1"/>
    <col min="14309" max="14556" width="9" style="3" customWidth="1"/>
    <col min="14557" max="14557" width="9.09765625" style="3" customWidth="1"/>
    <col min="14558" max="14558" width="7.59765625" style="3" customWidth="1"/>
    <col min="14559" max="14559" width="12.09765625" style="3" customWidth="1"/>
    <col min="14560" max="14560" width="7" style="3" customWidth="1"/>
    <col min="14561" max="14561" width="16" style="3" customWidth="1"/>
    <col min="14562" max="14562" width="13" style="3" customWidth="1"/>
    <col min="14563" max="14563" width="12.09765625" style="3" customWidth="1"/>
    <col min="14564" max="14564" width="13.59765625" style="3" customWidth="1"/>
    <col min="14565" max="14812" width="9" style="3" customWidth="1"/>
    <col min="14813" max="14813" width="9.09765625" style="3" customWidth="1"/>
    <col min="14814" max="14814" width="7.59765625" style="3" customWidth="1"/>
    <col min="14815" max="14815" width="12.09765625" style="3" customWidth="1"/>
    <col min="14816" max="14816" width="7" style="3" customWidth="1"/>
    <col min="14817" max="14817" width="16" style="3" customWidth="1"/>
    <col min="14818" max="14818" width="13" style="3" customWidth="1"/>
    <col min="14819" max="14819" width="12.09765625" style="3" customWidth="1"/>
    <col min="14820" max="14820" width="13.59765625" style="3" customWidth="1"/>
    <col min="14821" max="15068" width="9" style="3" customWidth="1"/>
    <col min="15069" max="15069" width="9.09765625" style="3" customWidth="1"/>
    <col min="15070" max="15070" width="7.59765625" style="3" customWidth="1"/>
    <col min="15071" max="15071" width="12.09765625" style="3" customWidth="1"/>
    <col min="15072" max="15072" width="7" style="3" customWidth="1"/>
    <col min="15073" max="15073" width="16" style="3" customWidth="1"/>
    <col min="15074" max="15074" width="13" style="3" customWidth="1"/>
    <col min="15075" max="15075" width="12.09765625" style="3" customWidth="1"/>
    <col min="15076" max="15076" width="13.59765625" style="3" customWidth="1"/>
    <col min="15077" max="15324" width="9" style="3" customWidth="1"/>
    <col min="15325" max="15325" width="9.09765625" style="3" customWidth="1"/>
    <col min="15326" max="15326" width="7.59765625" style="3" customWidth="1"/>
    <col min="15327" max="15327" width="12.09765625" style="3" customWidth="1"/>
    <col min="15328" max="15328" width="7" style="3" customWidth="1"/>
    <col min="15329" max="15329" width="16" style="3" customWidth="1"/>
    <col min="15330" max="15330" width="13" style="3" customWidth="1"/>
    <col min="15331" max="15331" width="12.09765625" style="3" customWidth="1"/>
    <col min="15332" max="15332" width="13.59765625" style="3" customWidth="1"/>
    <col min="15333" max="15580" width="9" style="3" customWidth="1"/>
    <col min="15581" max="15581" width="9.09765625" style="3" customWidth="1"/>
    <col min="15582" max="15582" width="7.59765625" style="3" customWidth="1"/>
    <col min="15583" max="15583" width="12.09765625" style="3" customWidth="1"/>
    <col min="15584" max="15584" width="7" style="3" customWidth="1"/>
    <col min="15585" max="15585" width="16" style="3" customWidth="1"/>
    <col min="15586" max="15586" width="13" style="3" customWidth="1"/>
    <col min="15587" max="15587" width="12.09765625" style="3" customWidth="1"/>
    <col min="15588" max="15588" width="13.59765625" style="3" customWidth="1"/>
    <col min="15589" max="15836" width="9" style="3" customWidth="1"/>
    <col min="15837" max="15837" width="9.09765625" style="3" customWidth="1"/>
    <col min="15838" max="15838" width="7.59765625" style="3" customWidth="1"/>
    <col min="15839" max="15839" width="12.09765625" style="3" customWidth="1"/>
    <col min="15840" max="15840" width="7" style="3" customWidth="1"/>
    <col min="15841" max="15841" width="16" style="3" customWidth="1"/>
    <col min="15842" max="15842" width="13" style="3" customWidth="1"/>
    <col min="15843" max="15843" width="12.09765625" style="3" customWidth="1"/>
    <col min="15844" max="15844" width="13.59765625" style="3" customWidth="1"/>
    <col min="15845" max="16092" width="9" style="3" customWidth="1"/>
    <col min="16093" max="16093" width="9.09765625" style="3" customWidth="1"/>
    <col min="16094" max="16094" width="7.59765625" style="3" customWidth="1"/>
    <col min="16095" max="16095" width="12.09765625" style="3" customWidth="1"/>
    <col min="16096" max="16096" width="7" style="3" customWidth="1"/>
    <col min="16097" max="16097" width="16" style="3" customWidth="1"/>
    <col min="16098" max="16098" width="13" style="3" customWidth="1"/>
    <col min="16099" max="16099" width="12.09765625" style="3" customWidth="1"/>
    <col min="16100" max="16100" width="13.59765625" style="3" customWidth="1"/>
    <col min="16101" max="16384" width="9" style="3" customWidth="1"/>
  </cols>
  <sheetData>
    <row r="1" ht="30" customHeight="1" spans="1:8" x14ac:dyDescent="0.25">
      <c r="A1" s="190" t="s">
        <v>25</v>
      </c>
      <c r="B1" s="190"/>
      <c r="C1" s="190"/>
      <c r="D1" s="190"/>
      <c r="E1" s="190"/>
      <c r="F1" s="190"/>
      <c r="G1" s="190"/>
      <c r="H1" s="190"/>
    </row>
    <row r="2" ht="19.8" customHeight="1" spans="1:8" x14ac:dyDescent="0.25">
      <c r="A2" s="284" t="s">
        <v>26</v>
      </c>
      <c r="B2" s="284"/>
      <c r="C2" s="284"/>
      <c r="D2" s="284"/>
      <c r="E2" s="284"/>
      <c r="F2" s="284"/>
      <c r="G2" s="284"/>
      <c r="H2" s="284"/>
    </row>
    <row r="3" ht="19.8" customHeight="1" spans="1:8" x14ac:dyDescent="0.25">
      <c r="A3" s="179"/>
      <c r="B3" s="179"/>
      <c r="C3" s="179"/>
      <c r="D3" s="179"/>
      <c r="E3" s="179"/>
      <c r="F3" s="141"/>
      <c r="G3" s="141"/>
      <c r="H3" s="141"/>
    </row>
    <row r="4" ht="13.95" customHeight="1" spans="1:8" x14ac:dyDescent="0.25">
      <c r="A4" s="192" t="s">
        <v>80</v>
      </c>
      <c r="B4" s="192"/>
      <c r="C4" s="192"/>
      <c r="D4" s="192"/>
      <c r="E4" s="285"/>
      <c r="F4" s="286" t="s">
        <v>81</v>
      </c>
      <c r="G4" s="193"/>
      <c r="H4" s="179"/>
    </row>
    <row r="5" ht="12.75" customHeight="1" spans="1:6" x14ac:dyDescent="0.25">
      <c r="A5" s="287"/>
      <c r="B5" s="285"/>
      <c r="E5" s="285"/>
      <c r="F5" s="288"/>
    </row>
    <row r="6" ht="13.95" customHeight="1" spans="1:7" x14ac:dyDescent="0.25">
      <c r="A6" s="192" t="s">
        <v>82</v>
      </c>
      <c r="B6" s="192"/>
      <c r="C6" s="192"/>
      <c r="E6" s="3" t="s">
        <v>39</v>
      </c>
      <c r="F6" s="286" t="s">
        <v>83</v>
      </c>
      <c r="G6" s="285" t="s">
        <v>26</v>
      </c>
    </row>
    <row r="7" ht="15.75" customHeight="1" spans="1:8" x14ac:dyDescent="0.25">
      <c r="A7" s="285" t="s">
        <v>39</v>
      </c>
      <c r="B7" s="285"/>
      <c r="F7" s="141"/>
      <c r="H7" s="285"/>
    </row>
    <row r="8" ht="30.75" customHeight="1" spans="3:8" s="289" customFormat="1" x14ac:dyDescent="0.25">
      <c r="C8" s="290" t="s">
        <v>84</v>
      </c>
      <c r="D8" s="291"/>
      <c r="E8" s="291"/>
      <c r="F8" s="291"/>
      <c r="G8" s="292"/>
      <c r="H8" s="293"/>
    </row>
    <row r="9" ht="17.25" customHeight="1" spans="8:8" s="289" customFormat="1" x14ac:dyDescent="0.25">
      <c r="H9" s="294" t="s">
        <v>85</v>
      </c>
    </row>
    <row r="10" ht="24" customHeight="1" spans="1:8" s="289" customFormat="1" x14ac:dyDescent="0.25">
      <c r="A10" s="295" t="s">
        <v>86</v>
      </c>
      <c r="B10" s="296"/>
      <c r="C10" s="297"/>
      <c r="D10" s="298" t="s">
        <v>87</v>
      </c>
      <c r="E10" s="299" t="s">
        <v>88</v>
      </c>
      <c r="F10" s="297"/>
      <c r="G10" s="300" t="s">
        <v>89</v>
      </c>
      <c r="H10" s="301" t="s">
        <v>55</v>
      </c>
    </row>
    <row r="11" ht="24" customHeight="1" spans="1:8" s="289" customFormat="1" x14ac:dyDescent="0.25">
      <c r="A11" s="302" t="s">
        <v>90</v>
      </c>
      <c r="B11" s="303"/>
      <c r="C11" s="304" t="s">
        <v>91</v>
      </c>
      <c r="D11" s="305"/>
      <c r="E11" s="304" t="s">
        <v>90</v>
      </c>
      <c r="F11" s="304" t="s">
        <v>91</v>
      </c>
      <c r="G11" s="306"/>
      <c r="H11" s="307"/>
    </row>
    <row r="12" ht="21.9" customHeight="1" spans="1:8" s="289" customFormat="1" x14ac:dyDescent="0.25">
      <c r="A12" s="308"/>
      <c r="B12" s="289"/>
      <c r="C12" s="309"/>
      <c r="D12" s="309"/>
      <c r="E12" s="309"/>
      <c r="F12" s="310"/>
      <c r="G12" s="309"/>
      <c r="H12" s="311"/>
    </row>
    <row r="13" ht="21.9" customHeight="1" spans="1:8" s="289" customFormat="1" x14ac:dyDescent="0.25">
      <c r="A13" s="312"/>
      <c r="B13" s="289"/>
      <c r="C13" s="313"/>
      <c r="D13" s="314"/>
      <c r="E13" s="314"/>
      <c r="F13" s="315"/>
      <c r="G13" s="314"/>
      <c r="H13" s="316"/>
    </row>
    <row r="14" ht="21.9" customHeight="1" spans="1:8" s="289" customFormat="1" x14ac:dyDescent="0.25">
      <c r="A14" s="317"/>
      <c r="B14" s="289"/>
      <c r="C14" s="313"/>
      <c r="D14" s="314"/>
      <c r="E14" s="314"/>
      <c r="F14" s="315"/>
      <c r="G14" s="314"/>
      <c r="H14" s="316"/>
    </row>
    <row r="15" ht="21.9" customHeight="1" spans="1:8" s="289" customFormat="1" x14ac:dyDescent="0.25">
      <c r="A15" s="318"/>
      <c r="B15" s="289"/>
      <c r="C15" s="319"/>
      <c r="D15" s="314"/>
      <c r="E15" s="314"/>
      <c r="F15" s="315"/>
      <c r="G15" s="314"/>
      <c r="H15" s="316"/>
    </row>
    <row r="16" ht="21.9" customHeight="1" spans="1:8" s="289" customFormat="1" x14ac:dyDescent="0.25">
      <c r="A16" s="320"/>
      <c r="B16" s="289"/>
      <c r="C16" s="321"/>
      <c r="D16" s="322"/>
      <c r="E16" s="322"/>
      <c r="F16" s="323"/>
      <c r="G16" s="322"/>
      <c r="H16" s="324"/>
    </row>
    <row r="17" ht="21.9" customHeight="1" spans="1:8" s="289" customFormat="1" x14ac:dyDescent="0.25">
      <c r="A17" s="325"/>
      <c r="B17" s="289"/>
      <c r="C17" s="326"/>
      <c r="D17" s="327"/>
      <c r="E17" s="327"/>
      <c r="F17" s="328"/>
      <c r="G17" s="327"/>
      <c r="H17" s="329"/>
    </row>
    <row r="18" ht="21.9" customHeight="1" spans="1:8" s="289" customFormat="1" x14ac:dyDescent="0.25">
      <c r="A18" s="330"/>
      <c r="B18" s="289"/>
      <c r="C18" s="319"/>
      <c r="D18" s="314"/>
      <c r="E18" s="314"/>
      <c r="F18" s="315"/>
      <c r="G18" s="314"/>
      <c r="H18" s="316"/>
    </row>
    <row r="19" ht="21.9" customHeight="1" spans="1:8" s="289" customFormat="1" x14ac:dyDescent="0.25">
      <c r="A19" s="330"/>
      <c r="B19" s="289"/>
      <c r="C19" s="319"/>
      <c r="D19" s="314"/>
      <c r="E19" s="314"/>
      <c r="F19" s="315"/>
      <c r="G19" s="314"/>
      <c r="H19" s="316"/>
    </row>
    <row r="20" ht="21.9" customHeight="1" spans="1:8" s="289" customFormat="1" x14ac:dyDescent="0.25">
      <c r="A20" s="331"/>
      <c r="B20" s="289"/>
      <c r="C20" s="313"/>
      <c r="D20" s="314"/>
      <c r="E20" s="314"/>
      <c r="F20" s="315"/>
      <c r="G20" s="314"/>
      <c r="H20" s="316"/>
    </row>
    <row r="21" ht="21.9" customHeight="1" spans="1:8" s="289" customFormat="1" x14ac:dyDescent="0.25">
      <c r="A21" s="332"/>
      <c r="B21" s="289"/>
      <c r="C21" s="333"/>
      <c r="D21" s="334"/>
      <c r="E21" s="334"/>
      <c r="F21" s="333"/>
      <c r="G21" s="334"/>
      <c r="H21" s="335"/>
    </row>
    <row r="22" ht="21.9" customHeight="1" spans="1:8" s="289" customFormat="1" x14ac:dyDescent="0.25">
      <c r="A22" s="336"/>
      <c r="B22" s="289"/>
      <c r="C22" s="337"/>
      <c r="D22" s="338"/>
      <c r="E22" s="338"/>
      <c r="F22" s="339"/>
      <c r="G22" s="338"/>
      <c r="H22" s="340"/>
    </row>
    <row r="23" ht="21.9" customHeight="1" spans="1:8" s="289" customFormat="1" x14ac:dyDescent="0.25">
      <c r="A23" s="331"/>
      <c r="B23" s="289"/>
      <c r="C23" s="319"/>
      <c r="D23" s="314"/>
      <c r="E23" s="314"/>
      <c r="F23" s="313"/>
      <c r="G23" s="314"/>
      <c r="H23" s="316"/>
    </row>
    <row r="24" ht="21.9" customHeight="1" spans="1:8" s="289" customFormat="1" x14ac:dyDescent="0.25">
      <c r="A24" s="331"/>
      <c r="B24" s="289"/>
      <c r="C24" s="313"/>
      <c r="D24" s="314"/>
      <c r="E24" s="314"/>
      <c r="F24" s="313"/>
      <c r="G24" s="314"/>
      <c r="H24" s="316"/>
    </row>
    <row r="25" ht="21.9" customHeight="1" spans="1:8" s="289" customFormat="1" x14ac:dyDescent="0.25">
      <c r="A25" s="331"/>
      <c r="B25" s="289"/>
      <c r="C25" s="313"/>
      <c r="D25" s="314"/>
      <c r="E25" s="314"/>
      <c r="F25" s="313"/>
      <c r="G25" s="314"/>
      <c r="H25" s="316"/>
    </row>
    <row r="26" ht="21.9" customHeight="1" spans="1:8" s="289" customFormat="1" x14ac:dyDescent="0.25">
      <c r="A26" s="332"/>
      <c r="B26" s="289"/>
      <c r="C26" s="333"/>
      <c r="D26" s="334"/>
      <c r="E26" s="334"/>
      <c r="F26" s="333"/>
      <c r="G26" s="334"/>
      <c r="H26" s="335"/>
    </row>
    <row r="27" ht="21.9" customHeight="1" spans="1:8" s="289" customFormat="1" x14ac:dyDescent="0.25">
      <c r="A27" s="341"/>
      <c r="B27" s="289"/>
      <c r="C27" s="342"/>
      <c r="D27" s="327"/>
      <c r="E27" s="327"/>
      <c r="F27" s="342"/>
      <c r="G27" s="327"/>
      <c r="H27" s="329"/>
    </row>
    <row r="28" ht="21.9" customHeight="1" spans="1:8" s="289" customFormat="1" x14ac:dyDescent="0.25">
      <c r="A28" s="331"/>
      <c r="B28" s="289"/>
      <c r="C28" s="313"/>
      <c r="D28" s="314"/>
      <c r="E28" s="314"/>
      <c r="F28" s="313"/>
      <c r="G28" s="314"/>
      <c r="H28" s="316"/>
    </row>
    <row r="29" ht="21.9" customHeight="1" spans="1:8" s="289" customFormat="1" x14ac:dyDescent="0.25">
      <c r="A29" s="331"/>
      <c r="B29" s="289"/>
      <c r="C29" s="313"/>
      <c r="D29" s="314"/>
      <c r="E29" s="314"/>
      <c r="F29" s="313"/>
      <c r="G29" s="314"/>
      <c r="H29" s="316"/>
    </row>
    <row r="30" ht="21.9" customHeight="1" spans="1:8" s="289" customFormat="1" x14ac:dyDescent="0.25">
      <c r="A30" s="331"/>
      <c r="B30" s="289"/>
      <c r="C30" s="313"/>
      <c r="D30" s="314"/>
      <c r="E30" s="314"/>
      <c r="F30" s="313"/>
      <c r="G30" s="314"/>
      <c r="H30" s="316"/>
    </row>
    <row r="31" ht="21.9" customHeight="1" spans="1:8" s="289" customFormat="1" x14ac:dyDescent="0.25">
      <c r="A31" s="332"/>
      <c r="B31" s="289"/>
      <c r="C31" s="333"/>
      <c r="D31" s="334"/>
      <c r="E31" s="334"/>
      <c r="F31" s="333"/>
      <c r="G31" s="334"/>
      <c r="H31" s="335"/>
    </row>
    <row r="32" ht="9" customHeight="1" spans="1:8" x14ac:dyDescent="0.25">
      <c r="A32" s="3"/>
      <c r="B32" s="3"/>
      <c r="C32" s="3"/>
      <c r="D32" s="3"/>
      <c r="E32" s="3"/>
      <c r="F32" s="3"/>
      <c r="G32" s="3"/>
      <c r="H32" s="3"/>
    </row>
    <row r="33" ht="24" customHeight="1" spans="1:3" x14ac:dyDescent="0.25">
      <c r="A33" s="197" t="s">
        <v>92</v>
      </c>
      <c r="B33" s="265" t="s">
        <v>93</v>
      </c>
      <c r="C33" s="265"/>
    </row>
    <row r="34" ht="24" customHeight="1" spans="1:3" x14ac:dyDescent="0.25">
      <c r="A34" s="343"/>
      <c r="B34" s="265" t="s">
        <v>94</v>
      </c>
      <c r="C34" s="265"/>
    </row>
    <row r="35" ht="24" customHeight="1" spans="1:3" x14ac:dyDescent="0.25">
      <c r="A35" s="197" t="s">
        <v>95</v>
      </c>
      <c r="B35" s="265" t="s">
        <v>93</v>
      </c>
      <c r="C35" s="265">
        <v>2</v>
      </c>
    </row>
    <row r="36" ht="24" customHeight="1" spans="1:8" x14ac:dyDescent="0.25">
      <c r="A36" s="200"/>
      <c r="B36" s="198" t="s">
        <v>94</v>
      </c>
      <c r="C36" s="198"/>
      <c r="G36" s="187"/>
      <c r="H36" s="187"/>
    </row>
    <row r="37" ht="24" customHeight="1" spans="1:8" x14ac:dyDescent="0.25">
      <c r="A37" s="344" t="s">
        <v>96</v>
      </c>
      <c r="B37" s="345"/>
      <c r="C37" s="265">
        <f>SUM(C33:C36)</f>
        <v>2</v>
      </c>
      <c r="G37" s="188" t="s">
        <v>23</v>
      </c>
      <c r="H37" s="188"/>
    </row>
    <row r="38" ht="30" customHeight="1" spans="1:8" x14ac:dyDescent="0.25">
      <c r="A38" s="190" t="s">
        <v>25</v>
      </c>
      <c r="B38" s="190"/>
      <c r="C38" s="190"/>
      <c r="D38" s="190"/>
      <c r="E38" s="190"/>
      <c r="F38" s="190"/>
      <c r="G38" s="190"/>
      <c r="H38" s="190"/>
    </row>
    <row r="39" ht="19.8" customHeight="1" spans="1:8" x14ac:dyDescent="0.25">
      <c r="A39" s="284" t="s">
        <v>26</v>
      </c>
      <c r="B39" s="284"/>
      <c r="C39" s="284"/>
      <c r="D39" s="284"/>
      <c r="E39" s="284"/>
      <c r="F39" s="284"/>
      <c r="G39" s="284"/>
      <c r="H39" s="284"/>
    </row>
    <row r="40" ht="19.8" customHeight="1" spans="1:8" x14ac:dyDescent="0.25">
      <c r="A40" s="179"/>
      <c r="B40" s="179"/>
      <c r="C40" s="179"/>
      <c r="D40" s="179"/>
      <c r="E40" s="179"/>
      <c r="F40" s="141"/>
      <c r="G40" s="141"/>
      <c r="H40" s="141"/>
    </row>
    <row r="41" ht="13.95" customHeight="1" spans="1:8" x14ac:dyDescent="0.25">
      <c r="A41" s="192" t="str">
        <f>A4</f>
        <v>M / V     :  STARSHIP DRACO</v>
      </c>
      <c r="B41" s="192"/>
      <c r="C41" s="192"/>
      <c r="D41" s="192"/>
      <c r="E41" s="285"/>
      <c r="F41" s="286" t="s">
        <v>81</v>
      </c>
      <c r="G41" s="193">
        <f>'OS-OUT'!L6</f>
        <v>46208</v>
      </c>
      <c r="H41" s="179"/>
    </row>
    <row r="42" ht="12.75" customHeight="1" spans="1:6" x14ac:dyDescent="0.25">
      <c r="A42" s="287"/>
      <c r="B42" s="285"/>
      <c r="E42" s="285"/>
      <c r="F42" s="288"/>
    </row>
    <row r="43" ht="13.95" customHeight="1" spans="1:7" x14ac:dyDescent="0.25">
      <c r="A43" s="192" t="s">
        <v>97</v>
      </c>
      <c r="B43" s="192"/>
      <c r="C43" s="192"/>
      <c r="E43" s="3" t="s">
        <v>39</v>
      </c>
      <c r="F43" s="286" t="s">
        <v>83</v>
      </c>
      <c r="G43" s="285" t="s">
        <v>26</v>
      </c>
    </row>
    <row r="44" ht="15.75" customHeight="1" spans="1:8" x14ac:dyDescent="0.25">
      <c r="A44" s="285" t="s">
        <v>39</v>
      </c>
      <c r="B44" s="285"/>
      <c r="F44" s="141"/>
      <c r="H44" s="285"/>
    </row>
    <row r="45" ht="30.75" customHeight="1" spans="3:8" s="289" customFormat="1" x14ac:dyDescent="0.25">
      <c r="C45" s="290" t="s">
        <v>84</v>
      </c>
      <c r="D45" s="291"/>
      <c r="E45" s="291"/>
      <c r="F45" s="291"/>
      <c r="G45" s="292"/>
      <c r="H45" s="293"/>
    </row>
    <row r="46" ht="17.25" customHeight="1" spans="8:8" s="289" customFormat="1" x14ac:dyDescent="0.25">
      <c r="H46" s="294" t="s">
        <v>98</v>
      </c>
    </row>
    <row r="47" ht="24" customHeight="1" spans="1:8" s="289" customFormat="1" x14ac:dyDescent="0.25">
      <c r="A47" s="295" t="s">
        <v>86</v>
      </c>
      <c r="B47" s="296"/>
      <c r="C47" s="297"/>
      <c r="D47" s="298" t="s">
        <v>87</v>
      </c>
      <c r="E47" s="299" t="s">
        <v>88</v>
      </c>
      <c r="F47" s="297"/>
      <c r="G47" s="300" t="s">
        <v>89</v>
      </c>
      <c r="H47" s="301" t="s">
        <v>55</v>
      </c>
    </row>
    <row r="48" ht="24" customHeight="1" spans="1:8" s="289" customFormat="1" x14ac:dyDescent="0.25">
      <c r="A48" s="302" t="s">
        <v>90</v>
      </c>
      <c r="B48" s="303"/>
      <c r="C48" s="304" t="s">
        <v>91</v>
      </c>
      <c r="D48" s="305"/>
      <c r="E48" s="304" t="s">
        <v>90</v>
      </c>
      <c r="F48" s="304" t="s">
        <v>91</v>
      </c>
      <c r="G48" s="306"/>
      <c r="H48" s="307"/>
    </row>
    <row r="49" ht="21.9" customHeight="1" spans="1:8" s="289" customFormat="1" x14ac:dyDescent="0.25">
      <c r="A49" s="308" t="s">
        <v>59</v>
      </c>
      <c r="B49" s="346"/>
      <c r="C49" s="309"/>
      <c r="D49" s="309"/>
      <c r="E49" s="309"/>
      <c r="F49" s="310"/>
      <c r="G49" s="309"/>
      <c r="H49" s="347"/>
    </row>
    <row r="50" ht="21.9" customHeight="1" spans="1:8" s="289" customFormat="1" x14ac:dyDescent="0.25">
      <c r="A50" s="312"/>
      <c r="B50" s="348"/>
      <c r="C50" s="313"/>
      <c r="D50" s="314"/>
      <c r="E50" s="314"/>
      <c r="F50" s="315"/>
      <c r="G50" s="314"/>
      <c r="H50" s="349"/>
    </row>
    <row r="51" ht="21.9" customHeight="1" spans="1:8" s="289" customFormat="1" x14ac:dyDescent="0.25">
      <c r="A51" s="317"/>
      <c r="B51" s="350"/>
      <c r="C51" s="313"/>
      <c r="D51" s="314"/>
      <c r="E51" s="314"/>
      <c r="F51" s="315"/>
      <c r="G51" s="314"/>
      <c r="H51" s="349"/>
    </row>
    <row r="52" ht="21.9" customHeight="1" spans="1:8" s="289" customFormat="1" x14ac:dyDescent="0.25">
      <c r="A52" s="318"/>
      <c r="B52" s="351"/>
      <c r="C52" s="319"/>
      <c r="D52" s="314"/>
      <c r="E52" s="314"/>
      <c r="F52" s="315"/>
      <c r="G52" s="314"/>
      <c r="H52" s="349"/>
    </row>
    <row r="53" ht="21.9" customHeight="1" spans="1:8" s="289" customFormat="1" x14ac:dyDescent="0.25">
      <c r="A53" s="320"/>
      <c r="B53" s="321"/>
      <c r="C53" s="321"/>
      <c r="D53" s="322"/>
      <c r="E53" s="322"/>
      <c r="F53" s="323"/>
      <c r="G53" s="322"/>
      <c r="H53" s="352"/>
    </row>
    <row r="54" ht="21.9" customHeight="1" spans="1:8" s="289" customFormat="1" x14ac:dyDescent="0.25">
      <c r="A54" s="325"/>
      <c r="B54" s="326"/>
      <c r="C54" s="326"/>
      <c r="D54" s="327"/>
      <c r="E54" s="327"/>
      <c r="F54" s="328"/>
      <c r="G54" s="327"/>
      <c r="H54" s="353"/>
    </row>
    <row r="55" ht="21.9" customHeight="1" spans="1:8" s="289" customFormat="1" x14ac:dyDescent="0.25">
      <c r="A55" s="330"/>
      <c r="B55" s="319"/>
      <c r="C55" s="319"/>
      <c r="D55" s="314"/>
      <c r="E55" s="314"/>
      <c r="F55" s="315"/>
      <c r="G55" s="314"/>
      <c r="H55" s="349"/>
    </row>
    <row r="56" ht="21.9" customHeight="1" spans="1:8" s="289" customFormat="1" x14ac:dyDescent="0.25">
      <c r="A56" s="330"/>
      <c r="B56" s="319"/>
      <c r="C56" s="319"/>
      <c r="D56" s="314"/>
      <c r="E56" s="314"/>
      <c r="F56" s="315"/>
      <c r="G56" s="314"/>
      <c r="H56" s="349"/>
    </row>
    <row r="57" ht="21.9" customHeight="1" spans="1:8" s="289" customFormat="1" x14ac:dyDescent="0.25">
      <c r="A57" s="331"/>
      <c r="B57" s="314"/>
      <c r="C57" s="313"/>
      <c r="D57" s="314"/>
      <c r="E57" s="314"/>
      <c r="F57" s="315"/>
      <c r="G57" s="314"/>
      <c r="H57" s="349"/>
    </row>
    <row r="58" ht="21.9" customHeight="1" spans="1:8" s="289" customFormat="1" x14ac:dyDescent="0.25">
      <c r="A58" s="332"/>
      <c r="B58" s="334"/>
      <c r="C58" s="333"/>
      <c r="D58" s="334"/>
      <c r="E58" s="334"/>
      <c r="F58" s="333"/>
      <c r="G58" s="334"/>
      <c r="H58" s="354"/>
    </row>
    <row r="59" ht="21.9" customHeight="1" spans="1:8" s="289" customFormat="1" x14ac:dyDescent="0.25">
      <c r="A59" s="336"/>
      <c r="B59" s="338"/>
      <c r="C59" s="337"/>
      <c r="D59" s="338"/>
      <c r="E59" s="338"/>
      <c r="F59" s="339"/>
      <c r="G59" s="338"/>
      <c r="H59" s="355"/>
    </row>
    <row r="60" ht="21.9" customHeight="1" spans="1:8" s="289" customFormat="1" x14ac:dyDescent="0.25">
      <c r="A60" s="331"/>
      <c r="B60" s="314"/>
      <c r="C60" s="319"/>
      <c r="D60" s="314"/>
      <c r="E60" s="314"/>
      <c r="F60" s="313"/>
      <c r="G60" s="314"/>
      <c r="H60" s="349"/>
    </row>
    <row r="61" ht="21.9" customHeight="1" spans="1:8" s="289" customFormat="1" x14ac:dyDescent="0.25">
      <c r="A61" s="331"/>
      <c r="B61" s="314"/>
      <c r="C61" s="313"/>
      <c r="D61" s="314"/>
      <c r="E61" s="314"/>
      <c r="F61" s="313"/>
      <c r="G61" s="314"/>
      <c r="H61" s="349"/>
    </row>
    <row r="62" ht="21.9" customHeight="1" spans="1:8" s="289" customFormat="1" x14ac:dyDescent="0.25">
      <c r="A62" s="331"/>
      <c r="B62" s="314"/>
      <c r="C62" s="313"/>
      <c r="D62" s="314"/>
      <c r="E62" s="314"/>
      <c r="F62" s="313"/>
      <c r="G62" s="314"/>
      <c r="H62" s="349"/>
    </row>
    <row r="63" ht="21.9" customHeight="1" spans="1:8" s="289" customFormat="1" x14ac:dyDescent="0.25">
      <c r="A63" s="332"/>
      <c r="B63" s="334"/>
      <c r="C63" s="333"/>
      <c r="D63" s="334"/>
      <c r="E63" s="334"/>
      <c r="F63" s="333"/>
      <c r="G63" s="334"/>
      <c r="H63" s="354"/>
    </row>
    <row r="64" ht="21.9" customHeight="1" spans="1:8" s="289" customFormat="1" x14ac:dyDescent="0.25">
      <c r="A64" s="341"/>
      <c r="B64" s="327"/>
      <c r="C64" s="342"/>
      <c r="D64" s="327"/>
      <c r="E64" s="327"/>
      <c r="F64" s="342"/>
      <c r="G64" s="327"/>
      <c r="H64" s="353"/>
    </row>
    <row r="65" ht="21.9" customHeight="1" spans="1:8" s="289" customFormat="1" x14ac:dyDescent="0.25">
      <c r="A65" s="331"/>
      <c r="B65" s="314"/>
      <c r="C65" s="313"/>
      <c r="D65" s="314"/>
      <c r="E65" s="314"/>
      <c r="F65" s="313"/>
      <c r="G65" s="314"/>
      <c r="H65" s="349"/>
    </row>
    <row r="66" ht="21.9" customHeight="1" spans="1:8" s="289" customFormat="1" x14ac:dyDescent="0.25">
      <c r="A66" s="331"/>
      <c r="B66" s="314"/>
      <c r="C66" s="313"/>
      <c r="D66" s="314"/>
      <c r="E66" s="314"/>
      <c r="F66" s="313"/>
      <c r="G66" s="314"/>
      <c r="H66" s="349"/>
    </row>
    <row r="67" ht="21.9" customHeight="1" spans="1:8" s="289" customFormat="1" x14ac:dyDescent="0.25">
      <c r="A67" s="331"/>
      <c r="B67" s="314"/>
      <c r="C67" s="313"/>
      <c r="D67" s="314"/>
      <c r="E67" s="314"/>
      <c r="F67" s="313"/>
      <c r="G67" s="314"/>
      <c r="H67" s="349"/>
    </row>
    <row r="68" ht="21.9" customHeight="1" spans="1:8" s="289" customFormat="1" x14ac:dyDescent="0.25">
      <c r="A68" s="332"/>
      <c r="B68" s="334"/>
      <c r="C68" s="333"/>
      <c r="D68" s="334"/>
      <c r="E68" s="334"/>
      <c r="F68" s="333"/>
      <c r="G68" s="334"/>
      <c r="H68" s="354"/>
    </row>
    <row r="69" ht="9" customHeight="1" x14ac:dyDescent="0.25"/>
    <row r="70" ht="24" customHeight="1" spans="1:3" x14ac:dyDescent="0.25">
      <c r="A70" s="197" t="s">
        <v>92</v>
      </c>
      <c r="B70" s="265" t="s">
        <v>93</v>
      </c>
      <c r="C70" s="265"/>
    </row>
    <row r="71" ht="24" customHeight="1" spans="1:3" x14ac:dyDescent="0.25">
      <c r="A71" s="343"/>
      <c r="B71" s="265" t="s">
        <v>94</v>
      </c>
      <c r="C71" s="265"/>
    </row>
    <row r="72" ht="24" customHeight="1" spans="1:3" x14ac:dyDescent="0.25">
      <c r="A72" s="197" t="s">
        <v>95</v>
      </c>
      <c r="B72" s="265" t="s">
        <v>93</v>
      </c>
      <c r="C72" s="265"/>
    </row>
    <row r="73" ht="24" customHeight="1" spans="1:8" x14ac:dyDescent="0.25">
      <c r="A73" s="200"/>
      <c r="B73" s="198" t="s">
        <v>94</v>
      </c>
      <c r="C73" s="198"/>
      <c r="G73" s="187"/>
      <c r="H73" s="187"/>
    </row>
    <row r="74" ht="24" customHeight="1" spans="1:8" x14ac:dyDescent="0.25">
      <c r="A74" s="344" t="s">
        <v>96</v>
      </c>
      <c r="B74" s="345"/>
      <c r="C74" s="265">
        <f>SUM(C70:C73)</f>
        <v>0</v>
      </c>
      <c r="G74" s="188" t="s">
        <v>23</v>
      </c>
      <c r="H74" s="188"/>
    </row>
  </sheetData>
  <mergeCells count="52">
    <mergeCell ref="A1:H1"/>
    <mergeCell ref="A2:H2"/>
    <mergeCell ref="A4:D4"/>
    <mergeCell ref="G4:H4"/>
    <mergeCell ref="A6:C6"/>
    <mergeCell ref="C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A41:D41"/>
    <mergeCell ref="G41:H41"/>
    <mergeCell ref="A43:C43"/>
    <mergeCell ref="C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/>
  <pageMargins left="0.4330708661417323" right="0.2362204724409449" top="0.7874015748031497" bottom="0.2755905511811024" header="0.1968503937007874" footer="0.15748031496062992"/>
  <pageSetup paperSize="9"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13.8984375" style="1" customWidth="1"/>
    <col min="2" max="2" width="9.8984375" style="1" customWidth="1"/>
    <col min="3" max="3" width="8.09765625" style="1" customWidth="1"/>
    <col min="4" max="4" width="7.59765625" style="1" customWidth="1"/>
    <col min="5" max="5" width="5.59765625" style="1" customWidth="1"/>
    <col min="6" max="7" width="8.3984375" style="1" customWidth="1"/>
    <col min="8" max="9" width="11.09765625" style="1" customWidth="1"/>
    <col min="10" max="235" width="9" style="1" customWidth="1"/>
    <col min="236" max="236" width="13.8984375" style="1" customWidth="1"/>
    <col min="237" max="237" width="9.8984375" style="1" customWidth="1"/>
    <col min="238" max="238" width="8.3984375" style="1" customWidth="1"/>
    <col min="239" max="239" width="8.19921875" style="1" customWidth="1"/>
    <col min="240" max="240" width="5.59765625" style="1" customWidth="1"/>
    <col min="241" max="242" width="8.3984375" style="1" customWidth="1"/>
    <col min="243" max="243" width="11.09765625" style="1" customWidth="1"/>
    <col min="244" max="244" width="11.59765625" style="1" customWidth="1"/>
    <col min="245" max="491" width="9" style="1" customWidth="1"/>
    <col min="492" max="492" width="13.8984375" style="1" customWidth="1"/>
    <col min="493" max="493" width="9.8984375" style="1" customWidth="1"/>
    <col min="494" max="494" width="8.3984375" style="1" customWidth="1"/>
    <col min="495" max="495" width="8.19921875" style="1" customWidth="1"/>
    <col min="496" max="496" width="5.59765625" style="1" customWidth="1"/>
    <col min="497" max="498" width="8.3984375" style="1" customWidth="1"/>
    <col min="499" max="499" width="11.09765625" style="1" customWidth="1"/>
    <col min="500" max="500" width="11.59765625" style="1" customWidth="1"/>
    <col min="501" max="747" width="9" style="1" customWidth="1"/>
    <col min="748" max="748" width="13.8984375" style="1" customWidth="1"/>
    <col min="749" max="749" width="9.8984375" style="1" customWidth="1"/>
    <col min="750" max="750" width="8.3984375" style="1" customWidth="1"/>
    <col min="751" max="751" width="8.19921875" style="1" customWidth="1"/>
    <col min="752" max="752" width="5.59765625" style="1" customWidth="1"/>
    <col min="753" max="754" width="8.3984375" style="1" customWidth="1"/>
    <col min="755" max="755" width="11.09765625" style="1" customWidth="1"/>
    <col min="756" max="756" width="11.59765625" style="1" customWidth="1"/>
    <col min="757" max="1003" width="9" style="1" customWidth="1"/>
    <col min="1004" max="1004" width="13.8984375" style="1" customWidth="1"/>
    <col min="1005" max="1005" width="9.8984375" style="1" customWidth="1"/>
    <col min="1006" max="1006" width="8.3984375" style="1" customWidth="1"/>
    <col min="1007" max="1007" width="8.19921875" style="1" customWidth="1"/>
    <col min="1008" max="1008" width="5.59765625" style="1" customWidth="1"/>
    <col min="1009" max="1010" width="8.3984375" style="1" customWidth="1"/>
    <col min="1011" max="1011" width="11.09765625" style="1" customWidth="1"/>
    <col min="1012" max="1012" width="11.59765625" style="1" customWidth="1"/>
    <col min="1013" max="1259" width="9" style="1" customWidth="1"/>
    <col min="1260" max="1260" width="13.8984375" style="1" customWidth="1"/>
    <col min="1261" max="1261" width="9.8984375" style="1" customWidth="1"/>
    <col min="1262" max="1262" width="8.3984375" style="1" customWidth="1"/>
    <col min="1263" max="1263" width="8.19921875" style="1" customWidth="1"/>
    <col min="1264" max="1264" width="5.59765625" style="1" customWidth="1"/>
    <col min="1265" max="1266" width="8.3984375" style="1" customWidth="1"/>
    <col min="1267" max="1267" width="11.09765625" style="1" customWidth="1"/>
    <col min="1268" max="1268" width="11.59765625" style="1" customWidth="1"/>
    <col min="1269" max="1515" width="9" style="1" customWidth="1"/>
    <col min="1516" max="1516" width="13.8984375" style="1" customWidth="1"/>
    <col min="1517" max="1517" width="9.8984375" style="1" customWidth="1"/>
    <col min="1518" max="1518" width="8.3984375" style="1" customWidth="1"/>
    <col min="1519" max="1519" width="8.19921875" style="1" customWidth="1"/>
    <col min="1520" max="1520" width="5.59765625" style="1" customWidth="1"/>
    <col min="1521" max="1522" width="8.3984375" style="1" customWidth="1"/>
    <col min="1523" max="1523" width="11.09765625" style="1" customWidth="1"/>
    <col min="1524" max="1524" width="11.59765625" style="1" customWidth="1"/>
    <col min="1525" max="1771" width="9" style="1" customWidth="1"/>
    <col min="1772" max="1772" width="13.8984375" style="1" customWidth="1"/>
    <col min="1773" max="1773" width="9.8984375" style="1" customWidth="1"/>
    <col min="1774" max="1774" width="8.3984375" style="1" customWidth="1"/>
    <col min="1775" max="1775" width="8.19921875" style="1" customWidth="1"/>
    <col min="1776" max="1776" width="5.59765625" style="1" customWidth="1"/>
    <col min="1777" max="1778" width="8.3984375" style="1" customWidth="1"/>
    <col min="1779" max="1779" width="11.09765625" style="1" customWidth="1"/>
    <col min="1780" max="1780" width="11.59765625" style="1" customWidth="1"/>
    <col min="1781" max="2027" width="9" style="1" customWidth="1"/>
    <col min="2028" max="2028" width="13.8984375" style="1" customWidth="1"/>
    <col min="2029" max="2029" width="9.8984375" style="1" customWidth="1"/>
    <col min="2030" max="2030" width="8.3984375" style="1" customWidth="1"/>
    <col min="2031" max="2031" width="8.19921875" style="1" customWidth="1"/>
    <col min="2032" max="2032" width="5.59765625" style="1" customWidth="1"/>
    <col min="2033" max="2034" width="8.3984375" style="1" customWidth="1"/>
    <col min="2035" max="2035" width="11.09765625" style="1" customWidth="1"/>
    <col min="2036" max="2036" width="11.59765625" style="1" customWidth="1"/>
    <col min="2037" max="2283" width="9" style="1" customWidth="1"/>
    <col min="2284" max="2284" width="13.8984375" style="1" customWidth="1"/>
    <col min="2285" max="2285" width="9.8984375" style="1" customWidth="1"/>
    <col min="2286" max="2286" width="8.3984375" style="1" customWidth="1"/>
    <col min="2287" max="2287" width="8.19921875" style="1" customWidth="1"/>
    <col min="2288" max="2288" width="5.59765625" style="1" customWidth="1"/>
    <col min="2289" max="2290" width="8.3984375" style="1" customWidth="1"/>
    <col min="2291" max="2291" width="11.09765625" style="1" customWidth="1"/>
    <col min="2292" max="2292" width="11.59765625" style="1" customWidth="1"/>
    <col min="2293" max="2539" width="9" style="1" customWidth="1"/>
    <col min="2540" max="2540" width="13.8984375" style="1" customWidth="1"/>
    <col min="2541" max="2541" width="9.8984375" style="1" customWidth="1"/>
    <col min="2542" max="2542" width="8.3984375" style="1" customWidth="1"/>
    <col min="2543" max="2543" width="8.19921875" style="1" customWidth="1"/>
    <col min="2544" max="2544" width="5.59765625" style="1" customWidth="1"/>
    <col min="2545" max="2546" width="8.3984375" style="1" customWidth="1"/>
    <col min="2547" max="2547" width="11.09765625" style="1" customWidth="1"/>
    <col min="2548" max="2548" width="11.59765625" style="1" customWidth="1"/>
    <col min="2549" max="2795" width="9" style="1" customWidth="1"/>
    <col min="2796" max="2796" width="13.8984375" style="1" customWidth="1"/>
    <col min="2797" max="2797" width="9.8984375" style="1" customWidth="1"/>
    <col min="2798" max="2798" width="8.3984375" style="1" customWidth="1"/>
    <col min="2799" max="2799" width="8.19921875" style="1" customWidth="1"/>
    <col min="2800" max="2800" width="5.59765625" style="1" customWidth="1"/>
    <col min="2801" max="2802" width="8.3984375" style="1" customWidth="1"/>
    <col min="2803" max="2803" width="11.09765625" style="1" customWidth="1"/>
    <col min="2804" max="2804" width="11.59765625" style="1" customWidth="1"/>
    <col min="2805" max="3051" width="9" style="1" customWidth="1"/>
    <col min="3052" max="3052" width="13.8984375" style="1" customWidth="1"/>
    <col min="3053" max="3053" width="9.8984375" style="1" customWidth="1"/>
    <col min="3054" max="3054" width="8.3984375" style="1" customWidth="1"/>
    <col min="3055" max="3055" width="8.19921875" style="1" customWidth="1"/>
    <col min="3056" max="3056" width="5.59765625" style="1" customWidth="1"/>
    <col min="3057" max="3058" width="8.3984375" style="1" customWidth="1"/>
    <col min="3059" max="3059" width="11.09765625" style="1" customWidth="1"/>
    <col min="3060" max="3060" width="11.59765625" style="1" customWidth="1"/>
    <col min="3061" max="3307" width="9" style="1" customWidth="1"/>
    <col min="3308" max="3308" width="13.8984375" style="1" customWidth="1"/>
    <col min="3309" max="3309" width="9.8984375" style="1" customWidth="1"/>
    <col min="3310" max="3310" width="8.3984375" style="1" customWidth="1"/>
    <col min="3311" max="3311" width="8.19921875" style="1" customWidth="1"/>
    <col min="3312" max="3312" width="5.59765625" style="1" customWidth="1"/>
    <col min="3313" max="3314" width="8.3984375" style="1" customWidth="1"/>
    <col min="3315" max="3315" width="11.09765625" style="1" customWidth="1"/>
    <col min="3316" max="3316" width="11.59765625" style="1" customWidth="1"/>
    <col min="3317" max="3563" width="9" style="1" customWidth="1"/>
    <col min="3564" max="3564" width="13.8984375" style="1" customWidth="1"/>
    <col min="3565" max="3565" width="9.8984375" style="1" customWidth="1"/>
    <col min="3566" max="3566" width="8.3984375" style="1" customWidth="1"/>
    <col min="3567" max="3567" width="8.19921875" style="1" customWidth="1"/>
    <col min="3568" max="3568" width="5.59765625" style="1" customWidth="1"/>
    <col min="3569" max="3570" width="8.3984375" style="1" customWidth="1"/>
    <col min="3571" max="3571" width="11.09765625" style="1" customWidth="1"/>
    <col min="3572" max="3572" width="11.59765625" style="1" customWidth="1"/>
    <col min="3573" max="3819" width="9" style="1" customWidth="1"/>
    <col min="3820" max="3820" width="13.8984375" style="1" customWidth="1"/>
    <col min="3821" max="3821" width="9.8984375" style="1" customWidth="1"/>
    <col min="3822" max="3822" width="8.3984375" style="1" customWidth="1"/>
    <col min="3823" max="3823" width="8.19921875" style="1" customWidth="1"/>
    <col min="3824" max="3824" width="5.59765625" style="1" customWidth="1"/>
    <col min="3825" max="3826" width="8.3984375" style="1" customWidth="1"/>
    <col min="3827" max="3827" width="11.09765625" style="1" customWidth="1"/>
    <col min="3828" max="3828" width="11.59765625" style="1" customWidth="1"/>
    <col min="3829" max="4075" width="9" style="1" customWidth="1"/>
    <col min="4076" max="4076" width="13.8984375" style="1" customWidth="1"/>
    <col min="4077" max="4077" width="9.8984375" style="1" customWidth="1"/>
    <col min="4078" max="4078" width="8.3984375" style="1" customWidth="1"/>
    <col min="4079" max="4079" width="8.19921875" style="1" customWidth="1"/>
    <col min="4080" max="4080" width="5.59765625" style="1" customWidth="1"/>
    <col min="4081" max="4082" width="8.3984375" style="1" customWidth="1"/>
    <col min="4083" max="4083" width="11.09765625" style="1" customWidth="1"/>
    <col min="4084" max="4084" width="11.59765625" style="1" customWidth="1"/>
    <col min="4085" max="4331" width="9" style="1" customWidth="1"/>
    <col min="4332" max="4332" width="13.8984375" style="1" customWidth="1"/>
    <col min="4333" max="4333" width="9.8984375" style="1" customWidth="1"/>
    <col min="4334" max="4334" width="8.3984375" style="1" customWidth="1"/>
    <col min="4335" max="4335" width="8.19921875" style="1" customWidth="1"/>
    <col min="4336" max="4336" width="5.59765625" style="1" customWidth="1"/>
    <col min="4337" max="4338" width="8.3984375" style="1" customWidth="1"/>
    <col min="4339" max="4339" width="11.09765625" style="1" customWidth="1"/>
    <col min="4340" max="4340" width="11.59765625" style="1" customWidth="1"/>
    <col min="4341" max="4587" width="9" style="1" customWidth="1"/>
    <col min="4588" max="4588" width="13.8984375" style="1" customWidth="1"/>
    <col min="4589" max="4589" width="9.8984375" style="1" customWidth="1"/>
    <col min="4590" max="4590" width="8.3984375" style="1" customWidth="1"/>
    <col min="4591" max="4591" width="8.19921875" style="1" customWidth="1"/>
    <col min="4592" max="4592" width="5.59765625" style="1" customWidth="1"/>
    <col min="4593" max="4594" width="8.3984375" style="1" customWidth="1"/>
    <col min="4595" max="4595" width="11.09765625" style="1" customWidth="1"/>
    <col min="4596" max="4596" width="11.59765625" style="1" customWidth="1"/>
    <col min="4597" max="4843" width="9" style="1" customWidth="1"/>
    <col min="4844" max="4844" width="13.8984375" style="1" customWidth="1"/>
    <col min="4845" max="4845" width="9.8984375" style="1" customWidth="1"/>
    <col min="4846" max="4846" width="8.3984375" style="1" customWidth="1"/>
    <col min="4847" max="4847" width="8.19921875" style="1" customWidth="1"/>
    <col min="4848" max="4848" width="5.59765625" style="1" customWidth="1"/>
    <col min="4849" max="4850" width="8.3984375" style="1" customWidth="1"/>
    <col min="4851" max="4851" width="11.09765625" style="1" customWidth="1"/>
    <col min="4852" max="4852" width="11.59765625" style="1" customWidth="1"/>
    <col min="4853" max="5099" width="9" style="1" customWidth="1"/>
    <col min="5100" max="5100" width="13.8984375" style="1" customWidth="1"/>
    <col min="5101" max="5101" width="9.8984375" style="1" customWidth="1"/>
    <col min="5102" max="5102" width="8.3984375" style="1" customWidth="1"/>
    <col min="5103" max="5103" width="8.19921875" style="1" customWidth="1"/>
    <col min="5104" max="5104" width="5.59765625" style="1" customWidth="1"/>
    <col min="5105" max="5106" width="8.3984375" style="1" customWidth="1"/>
    <col min="5107" max="5107" width="11.09765625" style="1" customWidth="1"/>
    <col min="5108" max="5108" width="11.59765625" style="1" customWidth="1"/>
    <col min="5109" max="5355" width="9" style="1" customWidth="1"/>
    <col min="5356" max="5356" width="13.8984375" style="1" customWidth="1"/>
    <col min="5357" max="5357" width="9.8984375" style="1" customWidth="1"/>
    <col min="5358" max="5358" width="8.3984375" style="1" customWidth="1"/>
    <col min="5359" max="5359" width="8.19921875" style="1" customWidth="1"/>
    <col min="5360" max="5360" width="5.59765625" style="1" customWidth="1"/>
    <col min="5361" max="5362" width="8.3984375" style="1" customWidth="1"/>
    <col min="5363" max="5363" width="11.09765625" style="1" customWidth="1"/>
    <col min="5364" max="5364" width="11.59765625" style="1" customWidth="1"/>
    <col min="5365" max="5611" width="9" style="1" customWidth="1"/>
    <col min="5612" max="5612" width="13.8984375" style="1" customWidth="1"/>
    <col min="5613" max="5613" width="9.8984375" style="1" customWidth="1"/>
    <col min="5614" max="5614" width="8.3984375" style="1" customWidth="1"/>
    <col min="5615" max="5615" width="8.19921875" style="1" customWidth="1"/>
    <col min="5616" max="5616" width="5.59765625" style="1" customWidth="1"/>
    <col min="5617" max="5618" width="8.3984375" style="1" customWidth="1"/>
    <col min="5619" max="5619" width="11.09765625" style="1" customWidth="1"/>
    <col min="5620" max="5620" width="11.59765625" style="1" customWidth="1"/>
    <col min="5621" max="5867" width="9" style="1" customWidth="1"/>
    <col min="5868" max="5868" width="13.8984375" style="1" customWidth="1"/>
    <col min="5869" max="5869" width="9.8984375" style="1" customWidth="1"/>
    <col min="5870" max="5870" width="8.3984375" style="1" customWidth="1"/>
    <col min="5871" max="5871" width="8.19921875" style="1" customWidth="1"/>
    <col min="5872" max="5872" width="5.59765625" style="1" customWidth="1"/>
    <col min="5873" max="5874" width="8.3984375" style="1" customWidth="1"/>
    <col min="5875" max="5875" width="11.09765625" style="1" customWidth="1"/>
    <col min="5876" max="5876" width="11.59765625" style="1" customWidth="1"/>
    <col min="5877" max="6123" width="9" style="1" customWidth="1"/>
    <col min="6124" max="6124" width="13.8984375" style="1" customWidth="1"/>
    <col min="6125" max="6125" width="9.8984375" style="1" customWidth="1"/>
    <col min="6126" max="6126" width="8.3984375" style="1" customWidth="1"/>
    <col min="6127" max="6127" width="8.19921875" style="1" customWidth="1"/>
    <col min="6128" max="6128" width="5.59765625" style="1" customWidth="1"/>
    <col min="6129" max="6130" width="8.3984375" style="1" customWidth="1"/>
    <col min="6131" max="6131" width="11.09765625" style="1" customWidth="1"/>
    <col min="6132" max="6132" width="11.59765625" style="1" customWidth="1"/>
    <col min="6133" max="6379" width="9" style="1" customWidth="1"/>
    <col min="6380" max="6380" width="13.8984375" style="1" customWidth="1"/>
    <col min="6381" max="6381" width="9.8984375" style="1" customWidth="1"/>
    <col min="6382" max="6382" width="8.3984375" style="1" customWidth="1"/>
    <col min="6383" max="6383" width="8.19921875" style="1" customWidth="1"/>
    <col min="6384" max="6384" width="5.59765625" style="1" customWidth="1"/>
    <col min="6385" max="6386" width="8.3984375" style="1" customWidth="1"/>
    <col min="6387" max="6387" width="11.09765625" style="1" customWidth="1"/>
    <col min="6388" max="6388" width="11.59765625" style="1" customWidth="1"/>
    <col min="6389" max="6635" width="9" style="1" customWidth="1"/>
    <col min="6636" max="6636" width="13.8984375" style="1" customWidth="1"/>
    <col min="6637" max="6637" width="9.8984375" style="1" customWidth="1"/>
    <col min="6638" max="6638" width="8.3984375" style="1" customWidth="1"/>
    <col min="6639" max="6639" width="8.19921875" style="1" customWidth="1"/>
    <col min="6640" max="6640" width="5.59765625" style="1" customWidth="1"/>
    <col min="6641" max="6642" width="8.3984375" style="1" customWidth="1"/>
    <col min="6643" max="6643" width="11.09765625" style="1" customWidth="1"/>
    <col min="6644" max="6644" width="11.59765625" style="1" customWidth="1"/>
    <col min="6645" max="6891" width="9" style="1" customWidth="1"/>
    <col min="6892" max="6892" width="13.8984375" style="1" customWidth="1"/>
    <col min="6893" max="6893" width="9.8984375" style="1" customWidth="1"/>
    <col min="6894" max="6894" width="8.3984375" style="1" customWidth="1"/>
    <col min="6895" max="6895" width="8.19921875" style="1" customWidth="1"/>
    <col min="6896" max="6896" width="5.59765625" style="1" customWidth="1"/>
    <col min="6897" max="6898" width="8.3984375" style="1" customWidth="1"/>
    <col min="6899" max="6899" width="11.09765625" style="1" customWidth="1"/>
    <col min="6900" max="6900" width="11.59765625" style="1" customWidth="1"/>
    <col min="6901" max="7147" width="9" style="1" customWidth="1"/>
    <col min="7148" max="7148" width="13.8984375" style="1" customWidth="1"/>
    <col min="7149" max="7149" width="9.8984375" style="1" customWidth="1"/>
    <col min="7150" max="7150" width="8.3984375" style="1" customWidth="1"/>
    <col min="7151" max="7151" width="8.19921875" style="1" customWidth="1"/>
    <col min="7152" max="7152" width="5.59765625" style="1" customWidth="1"/>
    <col min="7153" max="7154" width="8.3984375" style="1" customWidth="1"/>
    <col min="7155" max="7155" width="11.09765625" style="1" customWidth="1"/>
    <col min="7156" max="7156" width="11.59765625" style="1" customWidth="1"/>
    <col min="7157" max="7403" width="9" style="1" customWidth="1"/>
    <col min="7404" max="7404" width="13.8984375" style="1" customWidth="1"/>
    <col min="7405" max="7405" width="9.8984375" style="1" customWidth="1"/>
    <col min="7406" max="7406" width="8.3984375" style="1" customWidth="1"/>
    <col min="7407" max="7407" width="8.19921875" style="1" customWidth="1"/>
    <col min="7408" max="7408" width="5.59765625" style="1" customWidth="1"/>
    <col min="7409" max="7410" width="8.3984375" style="1" customWidth="1"/>
    <col min="7411" max="7411" width="11.09765625" style="1" customWidth="1"/>
    <col min="7412" max="7412" width="11.59765625" style="1" customWidth="1"/>
    <col min="7413" max="7659" width="9" style="1" customWidth="1"/>
    <col min="7660" max="7660" width="13.8984375" style="1" customWidth="1"/>
    <col min="7661" max="7661" width="9.8984375" style="1" customWidth="1"/>
    <col min="7662" max="7662" width="8.3984375" style="1" customWidth="1"/>
    <col min="7663" max="7663" width="8.19921875" style="1" customWidth="1"/>
    <col min="7664" max="7664" width="5.59765625" style="1" customWidth="1"/>
    <col min="7665" max="7666" width="8.3984375" style="1" customWidth="1"/>
    <col min="7667" max="7667" width="11.09765625" style="1" customWidth="1"/>
    <col min="7668" max="7668" width="11.59765625" style="1" customWidth="1"/>
    <col min="7669" max="7915" width="9" style="1" customWidth="1"/>
    <col min="7916" max="7916" width="13.8984375" style="1" customWidth="1"/>
    <col min="7917" max="7917" width="9.8984375" style="1" customWidth="1"/>
    <col min="7918" max="7918" width="8.3984375" style="1" customWidth="1"/>
    <col min="7919" max="7919" width="8.19921875" style="1" customWidth="1"/>
    <col min="7920" max="7920" width="5.59765625" style="1" customWidth="1"/>
    <col min="7921" max="7922" width="8.3984375" style="1" customWidth="1"/>
    <col min="7923" max="7923" width="11.09765625" style="1" customWidth="1"/>
    <col min="7924" max="7924" width="11.59765625" style="1" customWidth="1"/>
    <col min="7925" max="8171" width="9" style="1" customWidth="1"/>
    <col min="8172" max="8172" width="13.8984375" style="1" customWidth="1"/>
    <col min="8173" max="8173" width="9.8984375" style="1" customWidth="1"/>
    <col min="8174" max="8174" width="8.3984375" style="1" customWidth="1"/>
    <col min="8175" max="8175" width="8.19921875" style="1" customWidth="1"/>
    <col min="8176" max="8176" width="5.59765625" style="1" customWidth="1"/>
    <col min="8177" max="8178" width="8.3984375" style="1" customWidth="1"/>
    <col min="8179" max="8179" width="11.09765625" style="1" customWidth="1"/>
    <col min="8180" max="8180" width="11.59765625" style="1" customWidth="1"/>
    <col min="8181" max="8427" width="9" style="1" customWidth="1"/>
    <col min="8428" max="8428" width="13.8984375" style="1" customWidth="1"/>
    <col min="8429" max="8429" width="9.8984375" style="1" customWidth="1"/>
    <col min="8430" max="8430" width="8.3984375" style="1" customWidth="1"/>
    <col min="8431" max="8431" width="8.19921875" style="1" customWidth="1"/>
    <col min="8432" max="8432" width="5.59765625" style="1" customWidth="1"/>
    <col min="8433" max="8434" width="8.3984375" style="1" customWidth="1"/>
    <col min="8435" max="8435" width="11.09765625" style="1" customWidth="1"/>
    <col min="8436" max="8436" width="11.59765625" style="1" customWidth="1"/>
    <col min="8437" max="8683" width="9" style="1" customWidth="1"/>
    <col min="8684" max="8684" width="13.8984375" style="1" customWidth="1"/>
    <col min="8685" max="8685" width="9.8984375" style="1" customWidth="1"/>
    <col min="8686" max="8686" width="8.3984375" style="1" customWidth="1"/>
    <col min="8687" max="8687" width="8.19921875" style="1" customWidth="1"/>
    <col min="8688" max="8688" width="5.59765625" style="1" customWidth="1"/>
    <col min="8689" max="8690" width="8.3984375" style="1" customWidth="1"/>
    <col min="8691" max="8691" width="11.09765625" style="1" customWidth="1"/>
    <col min="8692" max="8692" width="11.59765625" style="1" customWidth="1"/>
    <col min="8693" max="8939" width="9" style="1" customWidth="1"/>
    <col min="8940" max="8940" width="13.8984375" style="1" customWidth="1"/>
    <col min="8941" max="8941" width="9.8984375" style="1" customWidth="1"/>
    <col min="8942" max="8942" width="8.3984375" style="1" customWidth="1"/>
    <col min="8943" max="8943" width="8.19921875" style="1" customWidth="1"/>
    <col min="8944" max="8944" width="5.59765625" style="1" customWidth="1"/>
    <col min="8945" max="8946" width="8.3984375" style="1" customWidth="1"/>
    <col min="8947" max="8947" width="11.09765625" style="1" customWidth="1"/>
    <col min="8948" max="8948" width="11.59765625" style="1" customWidth="1"/>
    <col min="8949" max="9195" width="9" style="1" customWidth="1"/>
    <col min="9196" max="9196" width="13.8984375" style="1" customWidth="1"/>
    <col min="9197" max="9197" width="9.8984375" style="1" customWidth="1"/>
    <col min="9198" max="9198" width="8.3984375" style="1" customWidth="1"/>
    <col min="9199" max="9199" width="8.19921875" style="1" customWidth="1"/>
    <col min="9200" max="9200" width="5.59765625" style="1" customWidth="1"/>
    <col min="9201" max="9202" width="8.3984375" style="1" customWidth="1"/>
    <col min="9203" max="9203" width="11.09765625" style="1" customWidth="1"/>
    <col min="9204" max="9204" width="11.59765625" style="1" customWidth="1"/>
    <col min="9205" max="9451" width="9" style="1" customWidth="1"/>
    <col min="9452" max="9452" width="13.8984375" style="1" customWidth="1"/>
    <col min="9453" max="9453" width="9.8984375" style="1" customWidth="1"/>
    <col min="9454" max="9454" width="8.3984375" style="1" customWidth="1"/>
    <col min="9455" max="9455" width="8.19921875" style="1" customWidth="1"/>
    <col min="9456" max="9456" width="5.59765625" style="1" customWidth="1"/>
    <col min="9457" max="9458" width="8.3984375" style="1" customWidth="1"/>
    <col min="9459" max="9459" width="11.09765625" style="1" customWidth="1"/>
    <col min="9460" max="9460" width="11.59765625" style="1" customWidth="1"/>
    <col min="9461" max="9707" width="9" style="1" customWidth="1"/>
    <col min="9708" max="9708" width="13.8984375" style="1" customWidth="1"/>
    <col min="9709" max="9709" width="9.8984375" style="1" customWidth="1"/>
    <col min="9710" max="9710" width="8.3984375" style="1" customWidth="1"/>
    <col min="9711" max="9711" width="8.19921875" style="1" customWidth="1"/>
    <col min="9712" max="9712" width="5.59765625" style="1" customWidth="1"/>
    <col min="9713" max="9714" width="8.3984375" style="1" customWidth="1"/>
    <col min="9715" max="9715" width="11.09765625" style="1" customWidth="1"/>
    <col min="9716" max="9716" width="11.59765625" style="1" customWidth="1"/>
    <col min="9717" max="9963" width="9" style="1" customWidth="1"/>
    <col min="9964" max="9964" width="13.8984375" style="1" customWidth="1"/>
    <col min="9965" max="9965" width="9.8984375" style="1" customWidth="1"/>
    <col min="9966" max="9966" width="8.3984375" style="1" customWidth="1"/>
    <col min="9967" max="9967" width="8.19921875" style="1" customWidth="1"/>
    <col min="9968" max="9968" width="5.59765625" style="1" customWidth="1"/>
    <col min="9969" max="9970" width="8.3984375" style="1" customWidth="1"/>
    <col min="9971" max="9971" width="11.09765625" style="1" customWidth="1"/>
    <col min="9972" max="9972" width="11.59765625" style="1" customWidth="1"/>
    <col min="9973" max="10219" width="9" style="1" customWidth="1"/>
    <col min="10220" max="10220" width="13.8984375" style="1" customWidth="1"/>
    <col min="10221" max="10221" width="9.8984375" style="1" customWidth="1"/>
    <col min="10222" max="10222" width="8.3984375" style="1" customWidth="1"/>
    <col min="10223" max="10223" width="8.19921875" style="1" customWidth="1"/>
    <col min="10224" max="10224" width="5.59765625" style="1" customWidth="1"/>
    <col min="10225" max="10226" width="8.3984375" style="1" customWidth="1"/>
    <col min="10227" max="10227" width="11.09765625" style="1" customWidth="1"/>
    <col min="10228" max="10228" width="11.59765625" style="1" customWidth="1"/>
    <col min="10229" max="10475" width="9" style="1" customWidth="1"/>
    <col min="10476" max="10476" width="13.8984375" style="1" customWidth="1"/>
    <col min="10477" max="10477" width="9.8984375" style="1" customWidth="1"/>
    <col min="10478" max="10478" width="8.3984375" style="1" customWidth="1"/>
    <col min="10479" max="10479" width="8.19921875" style="1" customWidth="1"/>
    <col min="10480" max="10480" width="5.59765625" style="1" customWidth="1"/>
    <col min="10481" max="10482" width="8.3984375" style="1" customWidth="1"/>
    <col min="10483" max="10483" width="11.09765625" style="1" customWidth="1"/>
    <col min="10484" max="10484" width="11.59765625" style="1" customWidth="1"/>
    <col min="10485" max="10731" width="9" style="1" customWidth="1"/>
    <col min="10732" max="10732" width="13.8984375" style="1" customWidth="1"/>
    <col min="10733" max="10733" width="9.8984375" style="1" customWidth="1"/>
    <col min="10734" max="10734" width="8.3984375" style="1" customWidth="1"/>
    <col min="10735" max="10735" width="8.19921875" style="1" customWidth="1"/>
    <col min="10736" max="10736" width="5.59765625" style="1" customWidth="1"/>
    <col min="10737" max="10738" width="8.3984375" style="1" customWidth="1"/>
    <col min="10739" max="10739" width="11.09765625" style="1" customWidth="1"/>
    <col min="10740" max="10740" width="11.59765625" style="1" customWidth="1"/>
    <col min="10741" max="10987" width="9" style="1" customWidth="1"/>
    <col min="10988" max="10988" width="13.8984375" style="1" customWidth="1"/>
    <col min="10989" max="10989" width="9.8984375" style="1" customWidth="1"/>
    <col min="10990" max="10990" width="8.3984375" style="1" customWidth="1"/>
    <col min="10991" max="10991" width="8.19921875" style="1" customWidth="1"/>
    <col min="10992" max="10992" width="5.59765625" style="1" customWidth="1"/>
    <col min="10993" max="10994" width="8.3984375" style="1" customWidth="1"/>
    <col min="10995" max="10995" width="11.09765625" style="1" customWidth="1"/>
    <col min="10996" max="10996" width="11.59765625" style="1" customWidth="1"/>
    <col min="10997" max="11243" width="9" style="1" customWidth="1"/>
    <col min="11244" max="11244" width="13.8984375" style="1" customWidth="1"/>
    <col min="11245" max="11245" width="9.8984375" style="1" customWidth="1"/>
    <col min="11246" max="11246" width="8.3984375" style="1" customWidth="1"/>
    <col min="11247" max="11247" width="8.19921875" style="1" customWidth="1"/>
    <col min="11248" max="11248" width="5.59765625" style="1" customWidth="1"/>
    <col min="11249" max="11250" width="8.3984375" style="1" customWidth="1"/>
    <col min="11251" max="11251" width="11.09765625" style="1" customWidth="1"/>
    <col min="11252" max="11252" width="11.59765625" style="1" customWidth="1"/>
    <col min="11253" max="11499" width="9" style="1" customWidth="1"/>
    <col min="11500" max="11500" width="13.8984375" style="1" customWidth="1"/>
    <col min="11501" max="11501" width="9.8984375" style="1" customWidth="1"/>
    <col min="11502" max="11502" width="8.3984375" style="1" customWidth="1"/>
    <col min="11503" max="11503" width="8.19921875" style="1" customWidth="1"/>
    <col min="11504" max="11504" width="5.59765625" style="1" customWidth="1"/>
    <col min="11505" max="11506" width="8.3984375" style="1" customWidth="1"/>
    <col min="11507" max="11507" width="11.09765625" style="1" customWidth="1"/>
    <col min="11508" max="11508" width="11.59765625" style="1" customWidth="1"/>
    <col min="11509" max="11755" width="9" style="1" customWidth="1"/>
    <col min="11756" max="11756" width="13.8984375" style="1" customWidth="1"/>
    <col min="11757" max="11757" width="9.8984375" style="1" customWidth="1"/>
    <col min="11758" max="11758" width="8.3984375" style="1" customWidth="1"/>
    <col min="11759" max="11759" width="8.19921875" style="1" customWidth="1"/>
    <col min="11760" max="11760" width="5.59765625" style="1" customWidth="1"/>
    <col min="11761" max="11762" width="8.3984375" style="1" customWidth="1"/>
    <col min="11763" max="11763" width="11.09765625" style="1" customWidth="1"/>
    <col min="11764" max="11764" width="11.59765625" style="1" customWidth="1"/>
    <col min="11765" max="12011" width="9" style="1" customWidth="1"/>
    <col min="12012" max="12012" width="13.8984375" style="1" customWidth="1"/>
    <col min="12013" max="12013" width="9.8984375" style="1" customWidth="1"/>
    <col min="12014" max="12014" width="8.3984375" style="1" customWidth="1"/>
    <col min="12015" max="12015" width="8.19921875" style="1" customWidth="1"/>
    <col min="12016" max="12016" width="5.59765625" style="1" customWidth="1"/>
    <col min="12017" max="12018" width="8.3984375" style="1" customWidth="1"/>
    <col min="12019" max="12019" width="11.09765625" style="1" customWidth="1"/>
    <col min="12020" max="12020" width="11.59765625" style="1" customWidth="1"/>
    <col min="12021" max="12267" width="9" style="1" customWidth="1"/>
    <col min="12268" max="12268" width="13.8984375" style="1" customWidth="1"/>
    <col min="12269" max="12269" width="9.8984375" style="1" customWidth="1"/>
    <col min="12270" max="12270" width="8.3984375" style="1" customWidth="1"/>
    <col min="12271" max="12271" width="8.19921875" style="1" customWidth="1"/>
    <col min="12272" max="12272" width="5.59765625" style="1" customWidth="1"/>
    <col min="12273" max="12274" width="8.3984375" style="1" customWidth="1"/>
    <col min="12275" max="12275" width="11.09765625" style="1" customWidth="1"/>
    <col min="12276" max="12276" width="11.59765625" style="1" customWidth="1"/>
    <col min="12277" max="12523" width="9" style="1" customWidth="1"/>
    <col min="12524" max="12524" width="13.8984375" style="1" customWidth="1"/>
    <col min="12525" max="12525" width="9.8984375" style="1" customWidth="1"/>
    <col min="12526" max="12526" width="8.3984375" style="1" customWidth="1"/>
    <col min="12527" max="12527" width="8.19921875" style="1" customWidth="1"/>
    <col min="12528" max="12528" width="5.59765625" style="1" customWidth="1"/>
    <col min="12529" max="12530" width="8.3984375" style="1" customWidth="1"/>
    <col min="12531" max="12531" width="11.09765625" style="1" customWidth="1"/>
    <col min="12532" max="12532" width="11.59765625" style="1" customWidth="1"/>
    <col min="12533" max="12779" width="9" style="1" customWidth="1"/>
    <col min="12780" max="12780" width="13.8984375" style="1" customWidth="1"/>
    <col min="12781" max="12781" width="9.8984375" style="1" customWidth="1"/>
    <col min="12782" max="12782" width="8.3984375" style="1" customWidth="1"/>
    <col min="12783" max="12783" width="8.19921875" style="1" customWidth="1"/>
    <col min="12784" max="12784" width="5.59765625" style="1" customWidth="1"/>
    <col min="12785" max="12786" width="8.3984375" style="1" customWidth="1"/>
    <col min="12787" max="12787" width="11.09765625" style="1" customWidth="1"/>
    <col min="12788" max="12788" width="11.59765625" style="1" customWidth="1"/>
    <col min="12789" max="13035" width="9" style="1" customWidth="1"/>
    <col min="13036" max="13036" width="13.8984375" style="1" customWidth="1"/>
    <col min="13037" max="13037" width="9.8984375" style="1" customWidth="1"/>
    <col min="13038" max="13038" width="8.3984375" style="1" customWidth="1"/>
    <col min="13039" max="13039" width="8.19921875" style="1" customWidth="1"/>
    <col min="13040" max="13040" width="5.59765625" style="1" customWidth="1"/>
    <col min="13041" max="13042" width="8.3984375" style="1" customWidth="1"/>
    <col min="13043" max="13043" width="11.09765625" style="1" customWidth="1"/>
    <col min="13044" max="13044" width="11.59765625" style="1" customWidth="1"/>
    <col min="13045" max="13291" width="9" style="1" customWidth="1"/>
    <col min="13292" max="13292" width="13.8984375" style="1" customWidth="1"/>
    <col min="13293" max="13293" width="9.8984375" style="1" customWidth="1"/>
    <col min="13294" max="13294" width="8.3984375" style="1" customWidth="1"/>
    <col min="13295" max="13295" width="8.19921875" style="1" customWidth="1"/>
    <col min="13296" max="13296" width="5.59765625" style="1" customWidth="1"/>
    <col min="13297" max="13298" width="8.3984375" style="1" customWidth="1"/>
    <col min="13299" max="13299" width="11.09765625" style="1" customWidth="1"/>
    <col min="13300" max="13300" width="11.59765625" style="1" customWidth="1"/>
    <col min="13301" max="13547" width="9" style="1" customWidth="1"/>
    <col min="13548" max="13548" width="13.8984375" style="1" customWidth="1"/>
    <col min="13549" max="13549" width="9.8984375" style="1" customWidth="1"/>
    <col min="13550" max="13550" width="8.3984375" style="1" customWidth="1"/>
    <col min="13551" max="13551" width="8.19921875" style="1" customWidth="1"/>
    <col min="13552" max="13552" width="5.59765625" style="1" customWidth="1"/>
    <col min="13553" max="13554" width="8.3984375" style="1" customWidth="1"/>
    <col min="13555" max="13555" width="11.09765625" style="1" customWidth="1"/>
    <col min="13556" max="13556" width="11.59765625" style="1" customWidth="1"/>
    <col min="13557" max="13803" width="9" style="1" customWidth="1"/>
    <col min="13804" max="13804" width="13.8984375" style="1" customWidth="1"/>
    <col min="13805" max="13805" width="9.8984375" style="1" customWidth="1"/>
    <col min="13806" max="13806" width="8.3984375" style="1" customWidth="1"/>
    <col min="13807" max="13807" width="8.19921875" style="1" customWidth="1"/>
    <col min="13808" max="13808" width="5.59765625" style="1" customWidth="1"/>
    <col min="13809" max="13810" width="8.3984375" style="1" customWidth="1"/>
    <col min="13811" max="13811" width="11.09765625" style="1" customWidth="1"/>
    <col min="13812" max="13812" width="11.59765625" style="1" customWidth="1"/>
    <col min="13813" max="14059" width="9" style="1" customWidth="1"/>
    <col min="14060" max="14060" width="13.8984375" style="1" customWidth="1"/>
    <col min="14061" max="14061" width="9.8984375" style="1" customWidth="1"/>
    <col min="14062" max="14062" width="8.3984375" style="1" customWidth="1"/>
    <col min="14063" max="14063" width="8.19921875" style="1" customWidth="1"/>
    <col min="14064" max="14064" width="5.59765625" style="1" customWidth="1"/>
    <col min="14065" max="14066" width="8.3984375" style="1" customWidth="1"/>
    <col min="14067" max="14067" width="11.09765625" style="1" customWidth="1"/>
    <col min="14068" max="14068" width="11.59765625" style="1" customWidth="1"/>
    <col min="14069" max="14315" width="9" style="1" customWidth="1"/>
    <col min="14316" max="14316" width="13.8984375" style="1" customWidth="1"/>
    <col min="14317" max="14317" width="9.8984375" style="1" customWidth="1"/>
    <col min="14318" max="14318" width="8.3984375" style="1" customWidth="1"/>
    <col min="14319" max="14319" width="8.19921875" style="1" customWidth="1"/>
    <col min="14320" max="14320" width="5.59765625" style="1" customWidth="1"/>
    <col min="14321" max="14322" width="8.3984375" style="1" customWidth="1"/>
    <col min="14323" max="14323" width="11.09765625" style="1" customWidth="1"/>
    <col min="14324" max="14324" width="11.59765625" style="1" customWidth="1"/>
    <col min="14325" max="14571" width="9" style="1" customWidth="1"/>
    <col min="14572" max="14572" width="13.8984375" style="1" customWidth="1"/>
    <col min="14573" max="14573" width="9.8984375" style="1" customWidth="1"/>
    <col min="14574" max="14574" width="8.3984375" style="1" customWidth="1"/>
    <col min="14575" max="14575" width="8.19921875" style="1" customWidth="1"/>
    <col min="14576" max="14576" width="5.59765625" style="1" customWidth="1"/>
    <col min="14577" max="14578" width="8.3984375" style="1" customWidth="1"/>
    <col min="14579" max="14579" width="11.09765625" style="1" customWidth="1"/>
    <col min="14580" max="14580" width="11.59765625" style="1" customWidth="1"/>
    <col min="14581" max="14827" width="9" style="1" customWidth="1"/>
    <col min="14828" max="14828" width="13.8984375" style="1" customWidth="1"/>
    <col min="14829" max="14829" width="9.8984375" style="1" customWidth="1"/>
    <col min="14830" max="14830" width="8.3984375" style="1" customWidth="1"/>
    <col min="14831" max="14831" width="8.19921875" style="1" customWidth="1"/>
    <col min="14832" max="14832" width="5.59765625" style="1" customWidth="1"/>
    <col min="14833" max="14834" width="8.3984375" style="1" customWidth="1"/>
    <col min="14835" max="14835" width="11.09765625" style="1" customWidth="1"/>
    <col min="14836" max="14836" width="11.59765625" style="1" customWidth="1"/>
    <col min="14837" max="15083" width="9" style="1" customWidth="1"/>
    <col min="15084" max="15084" width="13.8984375" style="1" customWidth="1"/>
    <col min="15085" max="15085" width="9.8984375" style="1" customWidth="1"/>
    <col min="15086" max="15086" width="8.3984375" style="1" customWidth="1"/>
    <col min="15087" max="15087" width="8.19921875" style="1" customWidth="1"/>
    <col min="15088" max="15088" width="5.59765625" style="1" customWidth="1"/>
    <col min="15089" max="15090" width="8.3984375" style="1" customWidth="1"/>
    <col min="15091" max="15091" width="11.09765625" style="1" customWidth="1"/>
    <col min="15092" max="15092" width="11.59765625" style="1" customWidth="1"/>
    <col min="15093" max="15339" width="9" style="1" customWidth="1"/>
    <col min="15340" max="15340" width="13.8984375" style="1" customWidth="1"/>
    <col min="15341" max="15341" width="9.8984375" style="1" customWidth="1"/>
    <col min="15342" max="15342" width="8.3984375" style="1" customWidth="1"/>
    <col min="15343" max="15343" width="8.19921875" style="1" customWidth="1"/>
    <col min="15344" max="15344" width="5.59765625" style="1" customWidth="1"/>
    <col min="15345" max="15346" width="8.3984375" style="1" customWidth="1"/>
    <col min="15347" max="15347" width="11.09765625" style="1" customWidth="1"/>
    <col min="15348" max="15348" width="11.59765625" style="1" customWidth="1"/>
    <col min="15349" max="15595" width="9" style="1" customWidth="1"/>
    <col min="15596" max="15596" width="13.8984375" style="1" customWidth="1"/>
    <col min="15597" max="15597" width="9.8984375" style="1" customWidth="1"/>
    <col min="15598" max="15598" width="8.3984375" style="1" customWidth="1"/>
    <col min="15599" max="15599" width="8.19921875" style="1" customWidth="1"/>
    <col min="15600" max="15600" width="5.59765625" style="1" customWidth="1"/>
    <col min="15601" max="15602" width="8.3984375" style="1" customWidth="1"/>
    <col min="15603" max="15603" width="11.09765625" style="1" customWidth="1"/>
    <col min="15604" max="15604" width="11.59765625" style="1" customWidth="1"/>
    <col min="15605" max="15851" width="9" style="1" customWidth="1"/>
    <col min="15852" max="15852" width="13.8984375" style="1" customWidth="1"/>
    <col min="15853" max="15853" width="9.8984375" style="1" customWidth="1"/>
    <col min="15854" max="15854" width="8.3984375" style="1" customWidth="1"/>
    <col min="15855" max="15855" width="8.19921875" style="1" customWidth="1"/>
    <col min="15856" max="15856" width="5.59765625" style="1" customWidth="1"/>
    <col min="15857" max="15858" width="8.3984375" style="1" customWidth="1"/>
    <col min="15859" max="15859" width="11.09765625" style="1" customWidth="1"/>
    <col min="15860" max="15860" width="11.59765625" style="1" customWidth="1"/>
    <col min="15861" max="16107" width="9" style="1" customWidth="1"/>
    <col min="16108" max="16108" width="13.8984375" style="1" customWidth="1"/>
    <col min="16109" max="16109" width="9.8984375" style="1" customWidth="1"/>
    <col min="16110" max="16110" width="8.3984375" style="1" customWidth="1"/>
    <col min="16111" max="16111" width="8.19921875" style="1" customWidth="1"/>
    <col min="16112" max="16112" width="5.59765625" style="1" customWidth="1"/>
    <col min="16113" max="16114" width="8.3984375" style="1" customWidth="1"/>
    <col min="16115" max="16115" width="11.09765625" style="1" customWidth="1"/>
    <col min="16116" max="16116" width="11.59765625" style="1" customWidth="1"/>
    <col min="16117" max="16384" width="9" style="1" customWidth="1"/>
  </cols>
  <sheetData>
    <row r="1" ht="27" customHeight="1" spans="1:9" s="3" customFormat="1" x14ac:dyDescent="0.25">
      <c r="A1" s="356" t="s">
        <v>25</v>
      </c>
      <c r="B1" s="356"/>
      <c r="C1" s="356"/>
      <c r="D1" s="356"/>
      <c r="E1" s="356"/>
      <c r="F1" s="356"/>
      <c r="G1" s="356"/>
      <c r="H1" s="356"/>
      <c r="I1" s="356"/>
    </row>
    <row r="2" ht="18" customHeight="1" spans="1:9" s="3" customFormat="1" x14ac:dyDescent="0.25">
      <c r="A2" s="284" t="s">
        <v>26</v>
      </c>
      <c r="B2" s="284"/>
      <c r="C2" s="284"/>
      <c r="D2" s="284"/>
      <c r="E2" s="284"/>
      <c r="F2" s="284"/>
      <c r="G2" s="284"/>
      <c r="H2" s="284"/>
      <c r="I2" s="284"/>
    </row>
    <row r="3" ht="11.25" customHeight="1" s="3" customFormat="1" x14ac:dyDescent="0.25"/>
    <row r="4" ht="26.25" customHeight="1" spans="1:9" x14ac:dyDescent="0.25">
      <c r="A4" s="191" t="s">
        <v>99</v>
      </c>
      <c r="B4" s="191"/>
      <c r="C4" s="191"/>
      <c r="D4" s="191"/>
      <c r="E4" s="191"/>
      <c r="F4" s="191"/>
      <c r="G4" s="191"/>
      <c r="H4" s="191"/>
      <c r="I4" s="191"/>
    </row>
    <row r="5" ht="12.9" customHeight="1" spans="1:9" x14ac:dyDescent="0.25">
      <c r="A5" s="179" t="s">
        <v>100</v>
      </c>
      <c r="B5" s="179"/>
      <c r="C5" s="179"/>
      <c r="D5" s="179"/>
      <c r="E5" s="179"/>
      <c r="F5" s="179"/>
      <c r="G5" s="179"/>
      <c r="H5" s="179"/>
      <c r="I5" s="179"/>
    </row>
    <row r="6" ht="14.25" customHeight="1" spans="1:9" x14ac:dyDescent="0.25">
      <c r="A6" s="179"/>
      <c r="B6" s="179"/>
      <c r="C6" s="179"/>
      <c r="D6" s="179"/>
      <c r="E6" s="179"/>
      <c r="F6" s="179"/>
      <c r="G6" s="179"/>
      <c r="H6" s="179"/>
      <c r="I6" s="288" t="s">
        <v>101</v>
      </c>
    </row>
    <row r="7" ht="22.5" customHeight="1" spans="1:9" x14ac:dyDescent="0.25">
      <c r="A7" s="3" t="s">
        <v>102</v>
      </c>
      <c r="B7" s="3"/>
      <c r="C7" s="3"/>
      <c r="D7" s="3" t="s">
        <v>103</v>
      </c>
      <c r="E7" s="192" t="str">
        <f>'OS-IN'!H6</f>
        <v>2606N</v>
      </c>
      <c r="F7" s="192"/>
      <c r="G7" s="288" t="s">
        <v>5</v>
      </c>
      <c r="H7" s="193">
        <f>'OS-IN'!L6</f>
        <v>46208</v>
      </c>
      <c r="I7" s="179"/>
    </row>
    <row r="8" ht="22.5" customHeight="1" spans="1:9" x14ac:dyDescent="0.25">
      <c r="A8" s="3" t="s">
        <v>104</v>
      </c>
      <c r="B8" s="3"/>
      <c r="C8" s="3"/>
      <c r="D8" s="3" t="s">
        <v>7</v>
      </c>
      <c r="E8" s="179">
        <v>15</v>
      </c>
      <c r="F8" s="3"/>
      <c r="G8" s="288" t="s">
        <v>8</v>
      </c>
      <c r="H8" s="294" t="s">
        <v>105</v>
      </c>
      <c r="I8" s="294"/>
    </row>
    <row r="9" ht="9" customHeight="1" spans="1:9" x14ac:dyDescent="0.25">
      <c r="A9" s="3"/>
      <c r="B9" s="3"/>
      <c r="C9" s="3"/>
      <c r="D9" s="3"/>
      <c r="E9" s="3"/>
      <c r="F9" s="3"/>
      <c r="G9" s="3"/>
      <c r="H9" s="3"/>
      <c r="I9" s="3"/>
    </row>
    <row r="10" ht="21" customHeight="1" spans="1:9" x14ac:dyDescent="0.25">
      <c r="A10" s="235" t="s">
        <v>106</v>
      </c>
      <c r="B10" s="235" t="s">
        <v>91</v>
      </c>
      <c r="C10" s="235" t="s">
        <v>87</v>
      </c>
      <c r="D10" s="357" t="s">
        <v>107</v>
      </c>
      <c r="E10" s="164"/>
      <c r="F10" s="357" t="s">
        <v>108</v>
      </c>
      <c r="G10" s="164"/>
      <c r="H10" s="260" t="s">
        <v>109</v>
      </c>
      <c r="I10" s="235" t="s">
        <v>55</v>
      </c>
    </row>
    <row r="11" ht="21" customHeight="1" spans="1:9" x14ac:dyDescent="0.25">
      <c r="A11" s="32"/>
      <c r="B11" s="32"/>
      <c r="C11" s="32"/>
      <c r="D11" s="358" t="s">
        <v>110</v>
      </c>
      <c r="E11" s="359"/>
      <c r="F11" s="360" t="s">
        <v>111</v>
      </c>
      <c r="G11" s="358" t="s">
        <v>112</v>
      </c>
      <c r="H11" s="361" t="s">
        <v>113</v>
      </c>
      <c r="I11" s="32"/>
    </row>
    <row r="12" ht="19.5" customHeight="1" spans="1:9" x14ac:dyDescent="0.25">
      <c r="A12" s="362"/>
      <c r="B12" s="363"/>
      <c r="C12" s="362"/>
      <c r="D12" s="233"/>
      <c r="E12" s="1"/>
      <c r="F12" s="364"/>
      <c r="G12" s="364"/>
      <c r="H12" s="365"/>
      <c r="I12" s="366"/>
    </row>
    <row r="13" ht="19.5" customHeight="1" spans="1:9" x14ac:dyDescent="0.25">
      <c r="A13" s="367"/>
      <c r="B13" s="368"/>
      <c r="C13" s="367"/>
      <c r="D13" s="260"/>
      <c r="E13" s="1"/>
      <c r="F13" s="369"/>
      <c r="G13" s="369"/>
      <c r="H13" s="370"/>
      <c r="I13" s="371"/>
    </row>
    <row r="14" ht="19.5" customHeight="1" spans="1:9" x14ac:dyDescent="0.25">
      <c r="A14" s="367"/>
      <c r="B14" s="368"/>
      <c r="C14" s="367"/>
      <c r="D14" s="260"/>
      <c r="E14" s="1"/>
      <c r="F14" s="369"/>
      <c r="G14" s="369"/>
      <c r="H14" s="372"/>
      <c r="I14" s="371"/>
    </row>
    <row r="15" ht="19.5" customHeight="1" spans="1:9" x14ac:dyDescent="0.25">
      <c r="A15" s="367"/>
      <c r="B15" s="368"/>
      <c r="C15" s="367"/>
      <c r="D15" s="260"/>
      <c r="E15" s="1"/>
      <c r="F15" s="369"/>
      <c r="G15" s="369"/>
      <c r="H15" s="372"/>
      <c r="I15" s="371"/>
    </row>
    <row r="16" ht="19.5" customHeight="1" spans="1:9" x14ac:dyDescent="0.25">
      <c r="A16" s="373"/>
      <c r="B16" s="374"/>
      <c r="C16" s="373"/>
      <c r="D16" s="375"/>
      <c r="E16" s="1"/>
      <c r="F16" s="376"/>
      <c r="G16" s="376"/>
      <c r="H16" s="377"/>
      <c r="I16" s="378"/>
    </row>
    <row r="17" ht="19.5" customHeight="1" spans="1:9" x14ac:dyDescent="0.25">
      <c r="A17" s="362"/>
      <c r="B17" s="363"/>
      <c r="C17" s="362"/>
      <c r="D17" s="233"/>
      <c r="E17" s="1"/>
      <c r="F17" s="364"/>
      <c r="G17" s="364"/>
      <c r="H17" s="379"/>
      <c r="I17" s="366"/>
    </row>
    <row r="18" ht="19.5" customHeight="1" spans="1:9" x14ac:dyDescent="0.25">
      <c r="A18" s="380"/>
      <c r="B18" s="381"/>
      <c r="C18" s="381"/>
      <c r="D18" s="157"/>
      <c r="E18" s="1"/>
      <c r="F18" s="382"/>
      <c r="G18" s="383"/>
      <c r="H18" s="384"/>
      <c r="I18" s="385"/>
    </row>
    <row r="19" ht="19.5" customHeight="1" spans="1:9" x14ac:dyDescent="0.25">
      <c r="A19" s="381"/>
      <c r="B19" s="381"/>
      <c r="C19" s="381"/>
      <c r="D19" s="157"/>
      <c r="E19" s="1"/>
      <c r="F19" s="383"/>
      <c r="G19" s="383"/>
      <c r="H19" s="384"/>
      <c r="I19" s="386"/>
    </row>
    <row r="20" ht="19.5" customHeight="1" spans="1:9" x14ac:dyDescent="0.25">
      <c r="A20" s="381"/>
      <c r="B20" s="381"/>
      <c r="C20" s="381"/>
      <c r="D20" s="157"/>
      <c r="E20" s="1"/>
      <c r="F20" s="383"/>
      <c r="G20" s="383"/>
      <c r="H20" s="384"/>
      <c r="I20" s="386"/>
    </row>
    <row r="21" ht="19.5" customHeight="1" spans="1:9" x14ac:dyDescent="0.25">
      <c r="A21" s="387"/>
      <c r="B21" s="387"/>
      <c r="C21" s="387"/>
      <c r="D21" s="165"/>
      <c r="E21" s="1"/>
      <c r="F21" s="388"/>
      <c r="G21" s="388"/>
      <c r="H21" s="377"/>
      <c r="I21" s="389"/>
    </row>
    <row r="22" ht="19.5" customHeight="1" spans="1:9" x14ac:dyDescent="0.25">
      <c r="A22" s="390"/>
      <c r="B22" s="390"/>
      <c r="C22" s="390"/>
      <c r="D22" s="29"/>
      <c r="E22" s="1"/>
      <c r="F22" s="391"/>
      <c r="G22" s="391"/>
      <c r="H22" s="379"/>
      <c r="I22" s="392"/>
    </row>
    <row r="23" ht="19.5" customHeight="1" spans="1:9" x14ac:dyDescent="0.25">
      <c r="A23" s="381"/>
      <c r="B23" s="381"/>
      <c r="C23" s="381"/>
      <c r="D23" s="157"/>
      <c r="E23" s="1"/>
      <c r="F23" s="383"/>
      <c r="G23" s="383"/>
      <c r="H23" s="384"/>
      <c r="I23" s="386"/>
    </row>
    <row r="24" ht="19.5" customHeight="1" spans="1:9" x14ac:dyDescent="0.25">
      <c r="A24" s="381"/>
      <c r="B24" s="381"/>
      <c r="C24" s="381"/>
      <c r="D24" s="157"/>
      <c r="E24" s="1"/>
      <c r="F24" s="383"/>
      <c r="G24" s="383"/>
      <c r="H24" s="384"/>
      <c r="I24" s="386"/>
    </row>
    <row r="25" ht="19.5" customHeight="1" spans="1:9" x14ac:dyDescent="0.25">
      <c r="A25" s="381"/>
      <c r="B25" s="381"/>
      <c r="C25" s="381"/>
      <c r="D25" s="157"/>
      <c r="E25" s="1"/>
      <c r="F25" s="383"/>
      <c r="G25" s="383"/>
      <c r="H25" s="384"/>
      <c r="I25" s="386"/>
    </row>
    <row r="26" ht="19.5" customHeight="1" spans="1:9" x14ac:dyDescent="0.25">
      <c r="A26" s="393"/>
      <c r="B26" s="393"/>
      <c r="C26" s="393"/>
      <c r="D26" s="165"/>
      <c r="E26" s="1"/>
      <c r="F26" s="394"/>
      <c r="G26" s="394"/>
      <c r="H26" s="235"/>
      <c r="I26" s="395"/>
    </row>
    <row r="27" ht="19.5" customHeight="1" spans="1:9" x14ac:dyDescent="0.25">
      <c r="A27" s="396"/>
      <c r="B27" s="396"/>
      <c r="C27" s="396"/>
      <c r="D27" s="29"/>
      <c r="E27" s="1"/>
      <c r="F27" s="397"/>
      <c r="G27" s="397"/>
      <c r="H27" s="28"/>
      <c r="I27" s="398"/>
    </row>
    <row r="28" ht="19.5" customHeight="1" spans="1:9" x14ac:dyDescent="0.25">
      <c r="A28" s="381"/>
      <c r="B28" s="381"/>
      <c r="C28" s="381"/>
      <c r="D28" s="157"/>
      <c r="E28" s="1"/>
      <c r="F28" s="383"/>
      <c r="G28" s="383"/>
      <c r="H28" s="266"/>
      <c r="I28" s="386"/>
    </row>
    <row r="29" ht="19.5" customHeight="1" spans="1:9" x14ac:dyDescent="0.25">
      <c r="A29" s="399"/>
      <c r="B29" s="399"/>
      <c r="C29" s="399"/>
      <c r="D29" s="157"/>
      <c r="E29" s="1"/>
      <c r="F29" s="400"/>
      <c r="G29" s="401"/>
      <c r="H29" s="266"/>
      <c r="I29" s="402"/>
    </row>
    <row r="30" ht="19.5" customHeight="1" spans="1:9" x14ac:dyDescent="0.25">
      <c r="A30" s="399"/>
      <c r="B30" s="399"/>
      <c r="C30" s="399"/>
      <c r="D30" s="157"/>
      <c r="E30" s="1"/>
      <c r="F30" s="400"/>
      <c r="G30" s="401"/>
      <c r="H30" s="266"/>
      <c r="I30" s="402"/>
    </row>
    <row r="31" ht="19.5" customHeight="1" spans="1:9" x14ac:dyDescent="0.25">
      <c r="A31" s="403"/>
      <c r="B31" s="403"/>
      <c r="C31" s="403"/>
      <c r="D31" s="165"/>
      <c r="E31" s="1"/>
      <c r="F31" s="404"/>
      <c r="G31" s="405"/>
      <c r="H31" s="375"/>
      <c r="I31" s="70"/>
    </row>
    <row r="32" ht="5.4" customHeight="1" spans="1:9" x14ac:dyDescent="0.25">
      <c r="A32" s="3"/>
      <c r="B32" s="3"/>
      <c r="C32" s="3"/>
      <c r="D32" s="3"/>
      <c r="E32" s="3"/>
      <c r="F32" s="3"/>
      <c r="G32" s="3"/>
      <c r="H32" s="3"/>
      <c r="I32" s="3"/>
    </row>
    <row r="33" spans="1:9" x14ac:dyDescent="0.25">
      <c r="A33" s="40"/>
      <c r="B33" s="40"/>
      <c r="C33" s="40"/>
      <c r="D33" s="40"/>
      <c r="E33" s="40"/>
      <c r="F33" s="40"/>
      <c r="G33" s="40"/>
      <c r="H33" s="40"/>
      <c r="I33" s="40"/>
    </row>
    <row r="34" spans="1:9" x14ac:dyDescent="0.25">
      <c r="A34" s="40"/>
      <c r="B34" s="40"/>
      <c r="C34" s="40"/>
      <c r="D34" s="40"/>
      <c r="E34" s="40"/>
      <c r="F34" s="40"/>
      <c r="G34" s="40"/>
      <c r="H34" s="40"/>
      <c r="I34" s="40"/>
    </row>
    <row r="35" spans="1:9" x14ac:dyDescent="0.25">
      <c r="A35" s="40"/>
      <c r="B35" s="40"/>
      <c r="C35" s="40"/>
      <c r="D35" s="40"/>
      <c r="E35" s="40"/>
      <c r="F35" s="40"/>
      <c r="G35" s="40"/>
      <c r="H35" s="40"/>
      <c r="I35" s="40"/>
    </row>
    <row r="36" spans="1:9" x14ac:dyDescent="0.25">
      <c r="A36" s="40"/>
      <c r="B36" s="40"/>
      <c r="C36" s="40"/>
      <c r="D36" s="40"/>
      <c r="E36" s="40"/>
      <c r="F36" s="40"/>
      <c r="G36" s="40"/>
      <c r="H36" s="40"/>
      <c r="I36" s="40"/>
    </row>
    <row r="37" spans="1:9" x14ac:dyDescent="0.25">
      <c r="A37" s="40"/>
      <c r="B37" s="40"/>
      <c r="C37" s="40"/>
      <c r="D37" s="40"/>
      <c r="E37" s="40"/>
      <c r="F37" s="40"/>
      <c r="G37" s="40"/>
      <c r="H37" s="40"/>
      <c r="I37" s="40"/>
    </row>
    <row r="38" spans="1:9" x14ac:dyDescent="0.25">
      <c r="A38" s="40"/>
      <c r="B38" s="40"/>
      <c r="C38" s="40"/>
      <c r="D38" s="40"/>
      <c r="E38" s="40"/>
      <c r="F38" s="40"/>
      <c r="G38" s="40"/>
      <c r="H38" s="40"/>
      <c r="I38" s="40"/>
    </row>
    <row r="39" spans="1:9" x14ac:dyDescent="0.25">
      <c r="A39" s="40"/>
      <c r="B39" s="40"/>
      <c r="C39" s="40"/>
      <c r="D39" s="40"/>
      <c r="E39" s="40"/>
      <c r="F39" s="40"/>
      <c r="G39" s="40"/>
      <c r="H39" s="40"/>
      <c r="I39" s="40"/>
    </row>
    <row r="40" spans="1:9" x14ac:dyDescent="0.25">
      <c r="A40" s="3"/>
      <c r="B40" s="3"/>
      <c r="C40" s="3"/>
      <c r="D40" s="3"/>
      <c r="E40" s="3"/>
      <c r="F40" s="3"/>
      <c r="G40" s="3"/>
      <c r="H40" s="3"/>
      <c r="I40" s="3"/>
    </row>
    <row r="41" spans="1:9" x14ac:dyDescent="0.25">
      <c r="A41" s="187"/>
      <c r="B41" s="187"/>
      <c r="C41" s="3"/>
      <c r="D41" s="187"/>
      <c r="E41" s="187"/>
      <c r="F41" s="187"/>
      <c r="G41" s="3"/>
      <c r="H41" s="187"/>
      <c r="I41" s="187"/>
    </row>
    <row r="42" ht="18" customHeight="1" spans="1:9" x14ac:dyDescent="0.25">
      <c r="A42" s="189" t="s">
        <v>23</v>
      </c>
      <c r="B42" s="189"/>
      <c r="C42" s="40"/>
      <c r="D42" s="189" t="s">
        <v>114</v>
      </c>
      <c r="E42" s="189"/>
      <c r="F42" s="189"/>
      <c r="G42" s="40"/>
      <c r="H42" s="189" t="s">
        <v>24</v>
      </c>
      <c r="I42" s="189"/>
    </row>
    <row r="43" ht="27" customHeight="1" spans="1:9" s="3" customFormat="1" x14ac:dyDescent="0.25">
      <c r="A43" s="356" t="s">
        <v>25</v>
      </c>
      <c r="B43" s="356"/>
      <c r="C43" s="356"/>
      <c r="D43" s="356"/>
      <c r="E43" s="356"/>
      <c r="F43" s="356"/>
      <c r="G43" s="356"/>
      <c r="H43" s="356"/>
      <c r="I43" s="356"/>
    </row>
    <row r="44" ht="18" customHeight="1" spans="1:9" s="3" customFormat="1" x14ac:dyDescent="0.25">
      <c r="A44" s="284" t="s">
        <v>26</v>
      </c>
      <c r="B44" s="284"/>
      <c r="C44" s="284"/>
      <c r="D44" s="284"/>
      <c r="E44" s="284"/>
      <c r="F44" s="284"/>
      <c r="G44" s="284"/>
      <c r="H44" s="284"/>
      <c r="I44" s="284"/>
    </row>
    <row r="45" ht="11.25" customHeight="1" s="3" customFormat="1" x14ac:dyDescent="0.25"/>
    <row r="46" ht="26.25" customHeight="1" spans="1:9" x14ac:dyDescent="0.25">
      <c r="A46" s="191" t="s">
        <v>99</v>
      </c>
      <c r="B46" s="191"/>
      <c r="C46" s="191"/>
      <c r="D46" s="191"/>
      <c r="E46" s="191"/>
      <c r="F46" s="191"/>
      <c r="G46" s="191"/>
      <c r="H46" s="191"/>
      <c r="I46" s="191"/>
    </row>
    <row r="47" ht="12.9" customHeight="1" spans="1:9" x14ac:dyDescent="0.25">
      <c r="A47" s="179" t="s">
        <v>100</v>
      </c>
      <c r="B47" s="179"/>
      <c r="C47" s="179"/>
      <c r="D47" s="179"/>
      <c r="E47" s="179"/>
      <c r="F47" s="179"/>
      <c r="G47" s="179"/>
      <c r="H47" s="179"/>
      <c r="I47" s="179"/>
    </row>
    <row r="48" ht="14.25" customHeight="1" spans="1:9" x14ac:dyDescent="0.25">
      <c r="A48" s="179"/>
      <c r="B48" s="179"/>
      <c r="C48" s="179"/>
      <c r="D48" s="179"/>
      <c r="E48" s="179"/>
      <c r="F48" s="179"/>
      <c r="G48" s="179"/>
      <c r="H48" s="179"/>
      <c r="I48" s="288" t="s">
        <v>101</v>
      </c>
    </row>
    <row r="49" ht="22.5" customHeight="1" spans="1:9" x14ac:dyDescent="0.25">
      <c r="A49" s="3" t="str">
        <f>A7</f>
        <v>M/V : STARSHIP DRACO</v>
      </c>
      <c r="B49" s="3"/>
      <c r="C49" s="3"/>
      <c r="D49" s="3" t="s">
        <v>103</v>
      </c>
      <c r="E49" s="192" t="str">
        <f>'OS-OUT'!H6</f>
        <v>2607S</v>
      </c>
      <c r="F49" s="192"/>
      <c r="G49" s="288" t="s">
        <v>5</v>
      </c>
      <c r="H49" s="193">
        <f>'OS-OUT'!L6</f>
        <v>46208</v>
      </c>
      <c r="I49" s="179"/>
    </row>
    <row r="50" ht="22.5" customHeight="1" spans="1:9" x14ac:dyDescent="0.25">
      <c r="A50" s="3" t="s">
        <v>104</v>
      </c>
      <c r="B50" s="3"/>
      <c r="C50" s="3"/>
      <c r="D50" s="3" t="s">
        <v>7</v>
      </c>
      <c r="E50" s="179">
        <v>15</v>
      </c>
      <c r="F50" s="3"/>
      <c r="G50" s="288" t="s">
        <v>8</v>
      </c>
      <c r="H50" s="294" t="s">
        <v>105</v>
      </c>
      <c r="I50" s="294"/>
    </row>
    <row r="51" ht="9" customHeight="1" spans="1:9" x14ac:dyDescent="0.25">
      <c r="A51" s="3"/>
      <c r="B51" s="3"/>
      <c r="C51" s="3"/>
      <c r="D51" s="3"/>
      <c r="E51" s="3"/>
      <c r="F51" s="3"/>
      <c r="G51" s="3"/>
      <c r="H51" s="3"/>
      <c r="I51" s="3"/>
    </row>
    <row r="52" ht="21" customHeight="1" spans="1:9" x14ac:dyDescent="0.25">
      <c r="A52" s="235" t="s">
        <v>106</v>
      </c>
      <c r="B52" s="235" t="s">
        <v>91</v>
      </c>
      <c r="C52" s="235" t="s">
        <v>87</v>
      </c>
      <c r="D52" s="357" t="s">
        <v>107</v>
      </c>
      <c r="E52" s="164"/>
      <c r="F52" s="357" t="s">
        <v>108</v>
      </c>
      <c r="G52" s="164"/>
      <c r="H52" s="260" t="s">
        <v>109</v>
      </c>
      <c r="I52" s="235" t="s">
        <v>55</v>
      </c>
    </row>
    <row r="53" ht="21" customHeight="1" spans="1:9" x14ac:dyDescent="0.25">
      <c r="A53" s="32"/>
      <c r="B53" s="32"/>
      <c r="C53" s="32"/>
      <c r="D53" s="358" t="s">
        <v>110</v>
      </c>
      <c r="E53" s="359"/>
      <c r="F53" s="360" t="s">
        <v>111</v>
      </c>
      <c r="G53" s="358" t="s">
        <v>112</v>
      </c>
      <c r="H53" s="361" t="s">
        <v>113</v>
      </c>
      <c r="I53" s="32"/>
    </row>
    <row r="54" ht="19.5" customHeight="1" spans="1:9" x14ac:dyDescent="0.25">
      <c r="A54" s="362" t="s">
        <v>115</v>
      </c>
      <c r="B54" s="363"/>
      <c r="C54" s="362"/>
      <c r="D54" s="233"/>
      <c r="E54" s="233"/>
      <c r="F54" s="364"/>
      <c r="G54" s="364"/>
      <c r="H54" s="365"/>
      <c r="I54" s="362"/>
    </row>
    <row r="55" ht="19.5" customHeight="1" spans="1:9" x14ac:dyDescent="0.25">
      <c r="A55" s="367"/>
      <c r="B55" s="368"/>
      <c r="C55" s="367"/>
      <c r="D55" s="260"/>
      <c r="E55" s="260"/>
      <c r="F55" s="369"/>
      <c r="G55" s="369"/>
      <c r="H55" s="372"/>
      <c r="I55" s="367"/>
    </row>
    <row r="56" ht="19.5" customHeight="1" spans="1:9" x14ac:dyDescent="0.25">
      <c r="A56" s="367"/>
      <c r="B56" s="368"/>
      <c r="C56" s="367"/>
      <c r="D56" s="260"/>
      <c r="E56" s="260"/>
      <c r="F56" s="369"/>
      <c r="G56" s="369"/>
      <c r="H56" s="372"/>
      <c r="I56" s="367"/>
    </row>
    <row r="57" ht="19.5" customHeight="1" spans="1:9" x14ac:dyDescent="0.25">
      <c r="A57" s="367"/>
      <c r="B57" s="368"/>
      <c r="C57" s="367"/>
      <c r="D57" s="260"/>
      <c r="E57" s="260"/>
      <c r="F57" s="369"/>
      <c r="G57" s="369"/>
      <c r="H57" s="372"/>
      <c r="I57" s="367"/>
    </row>
    <row r="58" ht="19.5" customHeight="1" spans="1:9" x14ac:dyDescent="0.25">
      <c r="A58" s="373"/>
      <c r="B58" s="374"/>
      <c r="C58" s="373"/>
      <c r="D58" s="375"/>
      <c r="E58" s="375"/>
      <c r="F58" s="376"/>
      <c r="G58" s="376"/>
      <c r="H58" s="377"/>
      <c r="I58" s="373"/>
    </row>
    <row r="59" ht="19.5" customHeight="1" spans="1:9" x14ac:dyDescent="0.25">
      <c r="A59" s="362"/>
      <c r="B59" s="363"/>
      <c r="C59" s="362"/>
      <c r="D59" s="233"/>
      <c r="E59" s="233"/>
      <c r="F59" s="364"/>
      <c r="G59" s="364"/>
      <c r="H59" s="379"/>
      <c r="I59" s="362"/>
    </row>
    <row r="60" ht="19.5" customHeight="1" spans="1:9" x14ac:dyDescent="0.25">
      <c r="A60" s="380"/>
      <c r="B60" s="381"/>
      <c r="C60" s="381"/>
      <c r="D60" s="157"/>
      <c r="E60" s="164"/>
      <c r="F60" s="382"/>
      <c r="G60" s="383"/>
      <c r="H60" s="384"/>
      <c r="I60" s="406"/>
    </row>
    <row r="61" ht="19.5" customHeight="1" spans="1:9" x14ac:dyDescent="0.25">
      <c r="A61" s="381"/>
      <c r="B61" s="381"/>
      <c r="C61" s="381"/>
      <c r="D61" s="157"/>
      <c r="E61" s="164"/>
      <c r="F61" s="383"/>
      <c r="G61" s="383"/>
      <c r="H61" s="384"/>
      <c r="I61" s="381"/>
    </row>
    <row r="62" ht="19.5" customHeight="1" spans="1:9" x14ac:dyDescent="0.25">
      <c r="A62" s="381"/>
      <c r="B62" s="381"/>
      <c r="C62" s="381"/>
      <c r="D62" s="157"/>
      <c r="E62" s="164"/>
      <c r="F62" s="383"/>
      <c r="G62" s="383"/>
      <c r="H62" s="384"/>
      <c r="I62" s="381"/>
    </row>
    <row r="63" ht="19.5" customHeight="1" spans="1:9" x14ac:dyDescent="0.25">
      <c r="A63" s="387"/>
      <c r="B63" s="387"/>
      <c r="C63" s="387"/>
      <c r="D63" s="165"/>
      <c r="E63" s="166"/>
      <c r="F63" s="388"/>
      <c r="G63" s="388"/>
      <c r="H63" s="377"/>
      <c r="I63" s="387"/>
    </row>
    <row r="64" ht="19.5" customHeight="1" spans="1:9" x14ac:dyDescent="0.25">
      <c r="A64" s="390"/>
      <c r="B64" s="390"/>
      <c r="C64" s="390"/>
      <c r="D64" s="29"/>
      <c r="E64" s="27"/>
      <c r="F64" s="391"/>
      <c r="G64" s="391"/>
      <c r="H64" s="379"/>
      <c r="I64" s="390"/>
    </row>
    <row r="65" ht="19.5" customHeight="1" spans="1:9" x14ac:dyDescent="0.25">
      <c r="A65" s="381"/>
      <c r="B65" s="381"/>
      <c r="C65" s="381"/>
      <c r="D65" s="157"/>
      <c r="E65" s="164"/>
      <c r="F65" s="407"/>
      <c r="G65" s="407"/>
      <c r="H65" s="384"/>
      <c r="I65" s="381"/>
    </row>
    <row r="66" ht="19.5" customHeight="1" spans="1:9" x14ac:dyDescent="0.25">
      <c r="A66" s="386"/>
      <c r="B66" s="386"/>
      <c r="C66" s="386"/>
      <c r="D66" s="157"/>
      <c r="E66" s="164"/>
      <c r="F66" s="408"/>
      <c r="G66" s="408"/>
      <c r="H66" s="384"/>
      <c r="I66" s="386"/>
    </row>
    <row r="67" ht="19.5" customHeight="1" spans="1:9" x14ac:dyDescent="0.25">
      <c r="A67" s="386"/>
      <c r="B67" s="386"/>
      <c r="C67" s="386"/>
      <c r="D67" s="157"/>
      <c r="E67" s="164"/>
      <c r="F67" s="408"/>
      <c r="G67" s="408"/>
      <c r="H67" s="384"/>
      <c r="I67" s="386"/>
    </row>
    <row r="68" ht="19.5" customHeight="1" spans="1:9" x14ac:dyDescent="0.25">
      <c r="A68" s="395"/>
      <c r="B68" s="395"/>
      <c r="C68" s="395"/>
      <c r="D68" s="165"/>
      <c r="E68" s="166"/>
      <c r="F68" s="409"/>
      <c r="G68" s="409"/>
      <c r="H68" s="235"/>
      <c r="I68" s="395"/>
    </row>
    <row r="69" ht="19.5" customHeight="1" spans="1:9" x14ac:dyDescent="0.25">
      <c r="A69" s="398"/>
      <c r="B69" s="398"/>
      <c r="C69" s="398"/>
      <c r="D69" s="29"/>
      <c r="E69" s="27"/>
      <c r="F69" s="410"/>
      <c r="G69" s="410"/>
      <c r="H69" s="28"/>
      <c r="I69" s="398"/>
    </row>
    <row r="70" ht="19.5" customHeight="1" spans="1:9" x14ac:dyDescent="0.25">
      <c r="A70" s="386"/>
      <c r="B70" s="386"/>
      <c r="C70" s="386"/>
      <c r="D70" s="157"/>
      <c r="E70" s="164"/>
      <c r="F70" s="408"/>
      <c r="G70" s="408"/>
      <c r="H70" s="266"/>
      <c r="I70" s="386"/>
    </row>
    <row r="71" ht="19.5" customHeight="1" spans="1:9" x14ac:dyDescent="0.25">
      <c r="A71" s="411"/>
      <c r="B71" s="411"/>
      <c r="C71" s="411"/>
      <c r="D71" s="157"/>
      <c r="E71" s="164"/>
      <c r="F71" s="411"/>
      <c r="G71" s="266"/>
      <c r="H71" s="266"/>
      <c r="I71" s="402"/>
    </row>
    <row r="72" ht="19.5" customHeight="1" spans="1:9" x14ac:dyDescent="0.25">
      <c r="A72" s="411"/>
      <c r="B72" s="411"/>
      <c r="C72" s="411"/>
      <c r="D72" s="157"/>
      <c r="E72" s="164"/>
      <c r="F72" s="411"/>
      <c r="G72" s="266"/>
      <c r="H72" s="266"/>
      <c r="I72" s="402"/>
    </row>
    <row r="73" ht="19.5" customHeight="1" spans="1:9" x14ac:dyDescent="0.25">
      <c r="A73" s="412"/>
      <c r="B73" s="412"/>
      <c r="C73" s="412"/>
      <c r="D73" s="165"/>
      <c r="E73" s="166"/>
      <c r="F73" s="412"/>
      <c r="G73" s="375"/>
      <c r="H73" s="375"/>
      <c r="I73" s="70"/>
    </row>
    <row r="74" ht="5.4" customHeight="1" spans="1:9" x14ac:dyDescent="0.25">
      <c r="A74" s="3"/>
      <c r="B74" s="3"/>
      <c r="C74" s="3"/>
      <c r="D74" s="3"/>
      <c r="E74" s="3"/>
      <c r="F74" s="3"/>
      <c r="G74" s="3"/>
      <c r="H74" s="3"/>
      <c r="I74" s="3"/>
    </row>
    <row r="75" spans="1:9" x14ac:dyDescent="0.25">
      <c r="A75" s="40" t="s">
        <v>116</v>
      </c>
      <c r="B75" s="40"/>
      <c r="C75" s="40"/>
      <c r="D75" s="40"/>
      <c r="E75" s="40"/>
      <c r="F75" s="40"/>
      <c r="G75" s="40"/>
      <c r="H75" s="40"/>
      <c r="I75" s="40"/>
    </row>
    <row r="76" spans="1:9" x14ac:dyDescent="0.25">
      <c r="A76" s="40" t="s">
        <v>117</v>
      </c>
      <c r="B76" s="40"/>
      <c r="C76" s="40"/>
      <c r="D76" s="40"/>
      <c r="E76" s="40"/>
      <c r="F76" s="40"/>
      <c r="G76" s="40"/>
      <c r="H76" s="40"/>
      <c r="I76" s="40"/>
    </row>
    <row r="77" spans="1:9" x14ac:dyDescent="0.25">
      <c r="A77" s="40" t="s">
        <v>118</v>
      </c>
      <c r="B77" s="40"/>
      <c r="C77" s="40"/>
      <c r="D77" s="40"/>
      <c r="E77" s="40"/>
      <c r="F77" s="40"/>
      <c r="G77" s="40"/>
      <c r="H77" s="40"/>
      <c r="I77" s="40"/>
    </row>
    <row r="78" spans="1:9" x14ac:dyDescent="0.25">
      <c r="A78" s="40" t="s">
        <v>119</v>
      </c>
      <c r="B78" s="40"/>
      <c r="C78" s="40"/>
      <c r="D78" s="40"/>
      <c r="E78" s="40"/>
      <c r="F78" s="40"/>
      <c r="G78" s="40"/>
      <c r="H78" s="40"/>
      <c r="I78" s="40"/>
    </row>
    <row r="79" spans="1:9" x14ac:dyDescent="0.25">
      <c r="A79" s="40" t="s">
        <v>120</v>
      </c>
      <c r="B79" s="40"/>
      <c r="C79" s="40"/>
      <c r="D79" s="40"/>
      <c r="E79" s="40"/>
      <c r="F79" s="40"/>
      <c r="G79" s="40"/>
      <c r="H79" s="40"/>
      <c r="I79" s="40"/>
    </row>
    <row r="80" spans="1:9" x14ac:dyDescent="0.25">
      <c r="A80" s="40" t="s">
        <v>121</v>
      </c>
      <c r="B80" s="40"/>
      <c r="C80" s="40"/>
      <c r="D80" s="40"/>
      <c r="E80" s="40"/>
      <c r="F80" s="40"/>
      <c r="G80" s="40"/>
      <c r="H80" s="40"/>
      <c r="I80" s="40"/>
    </row>
    <row r="81" spans="1:9" x14ac:dyDescent="0.25">
      <c r="A81" s="40"/>
      <c r="B81" s="40"/>
      <c r="C81" s="40"/>
      <c r="D81" s="40"/>
      <c r="E81" s="40"/>
      <c r="F81" s="40"/>
      <c r="G81" s="40"/>
      <c r="H81" s="40"/>
      <c r="I81" s="40"/>
    </row>
    <row r="82" spans="1:9" x14ac:dyDescent="0.25">
      <c r="A82" s="3"/>
      <c r="B82" s="3"/>
      <c r="C82" s="3"/>
      <c r="D82" s="3"/>
      <c r="E82" s="3"/>
      <c r="F82" s="3"/>
      <c r="G82" s="3"/>
      <c r="H82" s="3"/>
      <c r="I82" s="3"/>
    </row>
    <row r="83" spans="1:9" x14ac:dyDescent="0.25">
      <c r="A83" s="187"/>
      <c r="B83" s="187"/>
      <c r="C83" s="3"/>
      <c r="D83" s="187"/>
      <c r="E83" s="187"/>
      <c r="F83" s="187"/>
      <c r="G83" s="3"/>
      <c r="H83" s="187"/>
      <c r="I83" s="187"/>
    </row>
    <row r="84" ht="18" customHeight="1" spans="1:9" x14ac:dyDescent="0.25">
      <c r="A84" s="189" t="s">
        <v>23</v>
      </c>
      <c r="B84" s="189"/>
      <c r="C84" s="40"/>
      <c r="D84" s="189" t="s">
        <v>114</v>
      </c>
      <c r="E84" s="189"/>
      <c r="F84" s="189"/>
      <c r="G84" s="40"/>
      <c r="H84" s="189" t="s">
        <v>24</v>
      </c>
      <c r="I84" s="189"/>
    </row>
  </sheetData>
  <mergeCells count="54">
    <mergeCell ref="A1:I1"/>
    <mergeCell ref="A2:I2"/>
    <mergeCell ref="A4:I4"/>
    <mergeCell ref="A5:I5"/>
    <mergeCell ref="E7:F7"/>
    <mergeCell ref="H7:I7"/>
    <mergeCell ref="H8:I8"/>
    <mergeCell ref="D10:E10"/>
    <mergeCell ref="F10:G10"/>
    <mergeCell ref="A10:A11"/>
    <mergeCell ref="B10:B11"/>
    <mergeCell ref="C10:C11"/>
    <mergeCell ref="D11:E11"/>
    <mergeCell ref="I10:I11"/>
    <mergeCell ref="A42:B42"/>
    <mergeCell ref="D42:F42"/>
    <mergeCell ref="H42:I42"/>
    <mergeCell ref="A43:I43"/>
    <mergeCell ref="A44:I44"/>
    <mergeCell ref="A46:I46"/>
    <mergeCell ref="A47:I47"/>
    <mergeCell ref="E49:F49"/>
    <mergeCell ref="H49:I49"/>
    <mergeCell ref="H50:I50"/>
    <mergeCell ref="D52:E52"/>
    <mergeCell ref="F52:G52"/>
    <mergeCell ref="A52:A53"/>
    <mergeCell ref="B52:B53"/>
    <mergeCell ref="C52:C53"/>
    <mergeCell ref="D53:E53"/>
    <mergeCell ref="I52:I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A84:B84"/>
    <mergeCell ref="D84:F84"/>
    <mergeCell ref="H84:I84"/>
  </mergeCells>
  <printOptions horizontalCentered="1"/>
  <pageMargins left="0.3937007874015748" right="0.3937007874015748" top="0.7874015748031497" bottom="0.3937007874015748" header="0" footer="0"/>
  <pageSetup paperSize="9" orientation="portrait" horizontalDpi="4294967295" verticalDpi="4294967295" scale="100" fitToWidth="0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</sheetPr>
  <dimension ref="A1:R34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7.5" style="3" customWidth="1"/>
    <col min="2" max="2" width="9.5" style="3" customWidth="1"/>
    <col min="3" max="5" width="5.59765625" style="3" customWidth="1"/>
    <col min="6" max="9" width="6" style="3" customWidth="1"/>
    <col min="10" max="10" width="9" style="3" customWidth="1"/>
    <col min="11" max="18" width="7.59765625" style="3" customWidth="1"/>
    <col min="19" max="19" width="6.69921875" style="3" customWidth="1"/>
    <col min="20" max="256" width="9" style="3" customWidth="1"/>
    <col min="257" max="257" width="7.5" style="3" customWidth="1"/>
    <col min="258" max="258" width="9.5" style="3" customWidth="1"/>
    <col min="259" max="261" width="5.59765625" style="3" customWidth="1"/>
    <col min="262" max="265" width="6" style="3" customWidth="1"/>
    <col min="266" max="266" width="9" style="3" customWidth="1"/>
    <col min="267" max="267" width="7.59765625" style="3" customWidth="1"/>
    <col min="268" max="274" width="8" style="3" customWidth="1"/>
    <col min="275" max="275" width="6.69921875" style="3" customWidth="1"/>
    <col min="276" max="512" width="9" style="3" customWidth="1"/>
    <col min="513" max="513" width="7.5" style="3" customWidth="1"/>
    <col min="514" max="514" width="9.5" style="3" customWidth="1"/>
    <col min="515" max="517" width="5.59765625" style="3" customWidth="1"/>
    <col min="518" max="521" width="6" style="3" customWidth="1"/>
    <col min="522" max="522" width="9" style="3" customWidth="1"/>
    <col min="523" max="523" width="7.59765625" style="3" customWidth="1"/>
    <col min="524" max="530" width="8" style="3" customWidth="1"/>
    <col min="531" max="531" width="6.69921875" style="3" customWidth="1"/>
    <col min="532" max="768" width="9" style="3" customWidth="1"/>
    <col min="769" max="769" width="7.5" style="3" customWidth="1"/>
    <col min="770" max="770" width="9.5" style="3" customWidth="1"/>
    <col min="771" max="773" width="5.59765625" style="3" customWidth="1"/>
    <col min="774" max="777" width="6" style="3" customWidth="1"/>
    <col min="778" max="778" width="9" style="3" customWidth="1"/>
    <col min="779" max="779" width="7.59765625" style="3" customWidth="1"/>
    <col min="780" max="786" width="8" style="3" customWidth="1"/>
    <col min="787" max="787" width="6.69921875" style="3" customWidth="1"/>
    <col min="788" max="1024" width="9" style="3" customWidth="1"/>
    <col min="1025" max="1025" width="7.5" style="3" customWidth="1"/>
    <col min="1026" max="1026" width="9.5" style="3" customWidth="1"/>
    <col min="1027" max="1029" width="5.59765625" style="3" customWidth="1"/>
    <col min="1030" max="1033" width="6" style="3" customWidth="1"/>
    <col min="1034" max="1034" width="9" style="3" customWidth="1"/>
    <col min="1035" max="1035" width="7.59765625" style="3" customWidth="1"/>
    <col min="1036" max="1042" width="8" style="3" customWidth="1"/>
    <col min="1043" max="1043" width="6.69921875" style="3" customWidth="1"/>
    <col min="1044" max="1280" width="9" style="3" customWidth="1"/>
    <col min="1281" max="1281" width="7.5" style="3" customWidth="1"/>
    <col min="1282" max="1282" width="9.5" style="3" customWidth="1"/>
    <col min="1283" max="1285" width="5.59765625" style="3" customWidth="1"/>
    <col min="1286" max="1289" width="6" style="3" customWidth="1"/>
    <col min="1290" max="1290" width="9" style="3" customWidth="1"/>
    <col min="1291" max="1291" width="7.59765625" style="3" customWidth="1"/>
    <col min="1292" max="1298" width="8" style="3" customWidth="1"/>
    <col min="1299" max="1299" width="6.69921875" style="3" customWidth="1"/>
    <col min="1300" max="1536" width="9" style="3" customWidth="1"/>
    <col min="1537" max="1537" width="7.5" style="3" customWidth="1"/>
    <col min="1538" max="1538" width="9.5" style="3" customWidth="1"/>
    <col min="1539" max="1541" width="5.59765625" style="3" customWidth="1"/>
    <col min="1542" max="1545" width="6" style="3" customWidth="1"/>
    <col min="1546" max="1546" width="9" style="3" customWidth="1"/>
    <col min="1547" max="1547" width="7.59765625" style="3" customWidth="1"/>
    <col min="1548" max="1554" width="8" style="3" customWidth="1"/>
    <col min="1555" max="1555" width="6.69921875" style="3" customWidth="1"/>
    <col min="1556" max="1792" width="9" style="3" customWidth="1"/>
    <col min="1793" max="1793" width="7.5" style="3" customWidth="1"/>
    <col min="1794" max="1794" width="9.5" style="3" customWidth="1"/>
    <col min="1795" max="1797" width="5.59765625" style="3" customWidth="1"/>
    <col min="1798" max="1801" width="6" style="3" customWidth="1"/>
    <col min="1802" max="1802" width="9" style="3" customWidth="1"/>
    <col min="1803" max="1803" width="7.59765625" style="3" customWidth="1"/>
    <col min="1804" max="1810" width="8" style="3" customWidth="1"/>
    <col min="1811" max="1811" width="6.69921875" style="3" customWidth="1"/>
    <col min="1812" max="2048" width="9" style="3" customWidth="1"/>
    <col min="2049" max="2049" width="7.5" style="3" customWidth="1"/>
    <col min="2050" max="2050" width="9.5" style="3" customWidth="1"/>
    <col min="2051" max="2053" width="5.59765625" style="3" customWidth="1"/>
    <col min="2054" max="2057" width="6" style="3" customWidth="1"/>
    <col min="2058" max="2058" width="9" style="3" customWidth="1"/>
    <col min="2059" max="2059" width="7.59765625" style="3" customWidth="1"/>
    <col min="2060" max="2066" width="8" style="3" customWidth="1"/>
    <col min="2067" max="2067" width="6.69921875" style="3" customWidth="1"/>
    <col min="2068" max="2304" width="9" style="3" customWidth="1"/>
    <col min="2305" max="2305" width="7.5" style="3" customWidth="1"/>
    <col min="2306" max="2306" width="9.5" style="3" customWidth="1"/>
    <col min="2307" max="2309" width="5.59765625" style="3" customWidth="1"/>
    <col min="2310" max="2313" width="6" style="3" customWidth="1"/>
    <col min="2314" max="2314" width="9" style="3" customWidth="1"/>
    <col min="2315" max="2315" width="7.59765625" style="3" customWidth="1"/>
    <col min="2316" max="2322" width="8" style="3" customWidth="1"/>
    <col min="2323" max="2323" width="6.69921875" style="3" customWidth="1"/>
    <col min="2324" max="2560" width="9" style="3" customWidth="1"/>
    <col min="2561" max="2561" width="7.5" style="3" customWidth="1"/>
    <col min="2562" max="2562" width="9.5" style="3" customWidth="1"/>
    <col min="2563" max="2565" width="5.59765625" style="3" customWidth="1"/>
    <col min="2566" max="2569" width="6" style="3" customWidth="1"/>
    <col min="2570" max="2570" width="9" style="3" customWidth="1"/>
    <col min="2571" max="2571" width="7.59765625" style="3" customWidth="1"/>
    <col min="2572" max="2578" width="8" style="3" customWidth="1"/>
    <col min="2579" max="2579" width="6.69921875" style="3" customWidth="1"/>
    <col min="2580" max="2816" width="9" style="3" customWidth="1"/>
    <col min="2817" max="2817" width="7.5" style="3" customWidth="1"/>
    <col min="2818" max="2818" width="9.5" style="3" customWidth="1"/>
    <col min="2819" max="2821" width="5.59765625" style="3" customWidth="1"/>
    <col min="2822" max="2825" width="6" style="3" customWidth="1"/>
    <col min="2826" max="2826" width="9" style="3" customWidth="1"/>
    <col min="2827" max="2827" width="7.59765625" style="3" customWidth="1"/>
    <col min="2828" max="2834" width="8" style="3" customWidth="1"/>
    <col min="2835" max="2835" width="6.69921875" style="3" customWidth="1"/>
    <col min="2836" max="3072" width="9" style="3" customWidth="1"/>
    <col min="3073" max="3073" width="7.5" style="3" customWidth="1"/>
    <col min="3074" max="3074" width="9.5" style="3" customWidth="1"/>
    <col min="3075" max="3077" width="5.59765625" style="3" customWidth="1"/>
    <col min="3078" max="3081" width="6" style="3" customWidth="1"/>
    <col min="3082" max="3082" width="9" style="3" customWidth="1"/>
    <col min="3083" max="3083" width="7.59765625" style="3" customWidth="1"/>
    <col min="3084" max="3090" width="8" style="3" customWidth="1"/>
    <col min="3091" max="3091" width="6.69921875" style="3" customWidth="1"/>
    <col min="3092" max="3328" width="9" style="3" customWidth="1"/>
    <col min="3329" max="3329" width="7.5" style="3" customWidth="1"/>
    <col min="3330" max="3330" width="9.5" style="3" customWidth="1"/>
    <col min="3331" max="3333" width="5.59765625" style="3" customWidth="1"/>
    <col min="3334" max="3337" width="6" style="3" customWidth="1"/>
    <col min="3338" max="3338" width="9" style="3" customWidth="1"/>
    <col min="3339" max="3339" width="7.59765625" style="3" customWidth="1"/>
    <col min="3340" max="3346" width="8" style="3" customWidth="1"/>
    <col min="3347" max="3347" width="6.69921875" style="3" customWidth="1"/>
    <col min="3348" max="3584" width="9" style="3" customWidth="1"/>
    <col min="3585" max="3585" width="7.5" style="3" customWidth="1"/>
    <col min="3586" max="3586" width="9.5" style="3" customWidth="1"/>
    <col min="3587" max="3589" width="5.59765625" style="3" customWidth="1"/>
    <col min="3590" max="3593" width="6" style="3" customWidth="1"/>
    <col min="3594" max="3594" width="9" style="3" customWidth="1"/>
    <col min="3595" max="3595" width="7.59765625" style="3" customWidth="1"/>
    <col min="3596" max="3602" width="8" style="3" customWidth="1"/>
    <col min="3603" max="3603" width="6.69921875" style="3" customWidth="1"/>
    <col min="3604" max="3840" width="9" style="3" customWidth="1"/>
    <col min="3841" max="3841" width="7.5" style="3" customWidth="1"/>
    <col min="3842" max="3842" width="9.5" style="3" customWidth="1"/>
    <col min="3843" max="3845" width="5.59765625" style="3" customWidth="1"/>
    <col min="3846" max="3849" width="6" style="3" customWidth="1"/>
    <col min="3850" max="3850" width="9" style="3" customWidth="1"/>
    <col min="3851" max="3851" width="7.59765625" style="3" customWidth="1"/>
    <col min="3852" max="3858" width="8" style="3" customWidth="1"/>
    <col min="3859" max="3859" width="6.69921875" style="3" customWidth="1"/>
    <col min="3860" max="4096" width="9" style="3" customWidth="1"/>
    <col min="4097" max="4097" width="7.5" style="3" customWidth="1"/>
    <col min="4098" max="4098" width="9.5" style="3" customWidth="1"/>
    <col min="4099" max="4101" width="5.59765625" style="3" customWidth="1"/>
    <col min="4102" max="4105" width="6" style="3" customWidth="1"/>
    <col min="4106" max="4106" width="9" style="3" customWidth="1"/>
    <col min="4107" max="4107" width="7.59765625" style="3" customWidth="1"/>
    <col min="4108" max="4114" width="8" style="3" customWidth="1"/>
    <col min="4115" max="4115" width="6.69921875" style="3" customWidth="1"/>
    <col min="4116" max="4352" width="9" style="3" customWidth="1"/>
    <col min="4353" max="4353" width="7.5" style="3" customWidth="1"/>
    <col min="4354" max="4354" width="9.5" style="3" customWidth="1"/>
    <col min="4355" max="4357" width="5.59765625" style="3" customWidth="1"/>
    <col min="4358" max="4361" width="6" style="3" customWidth="1"/>
    <col min="4362" max="4362" width="9" style="3" customWidth="1"/>
    <col min="4363" max="4363" width="7.59765625" style="3" customWidth="1"/>
    <col min="4364" max="4370" width="8" style="3" customWidth="1"/>
    <col min="4371" max="4371" width="6.69921875" style="3" customWidth="1"/>
    <col min="4372" max="4608" width="9" style="3" customWidth="1"/>
    <col min="4609" max="4609" width="7.5" style="3" customWidth="1"/>
    <col min="4610" max="4610" width="9.5" style="3" customWidth="1"/>
    <col min="4611" max="4613" width="5.59765625" style="3" customWidth="1"/>
    <col min="4614" max="4617" width="6" style="3" customWidth="1"/>
    <col min="4618" max="4618" width="9" style="3" customWidth="1"/>
    <col min="4619" max="4619" width="7.59765625" style="3" customWidth="1"/>
    <col min="4620" max="4626" width="8" style="3" customWidth="1"/>
    <col min="4627" max="4627" width="6.69921875" style="3" customWidth="1"/>
    <col min="4628" max="4864" width="9" style="3" customWidth="1"/>
    <col min="4865" max="4865" width="7.5" style="3" customWidth="1"/>
    <col min="4866" max="4866" width="9.5" style="3" customWidth="1"/>
    <col min="4867" max="4869" width="5.59765625" style="3" customWidth="1"/>
    <col min="4870" max="4873" width="6" style="3" customWidth="1"/>
    <col min="4874" max="4874" width="9" style="3" customWidth="1"/>
    <col min="4875" max="4875" width="7.59765625" style="3" customWidth="1"/>
    <col min="4876" max="4882" width="8" style="3" customWidth="1"/>
    <col min="4883" max="4883" width="6.69921875" style="3" customWidth="1"/>
    <col min="4884" max="5120" width="9" style="3" customWidth="1"/>
    <col min="5121" max="5121" width="7.5" style="3" customWidth="1"/>
    <col min="5122" max="5122" width="9.5" style="3" customWidth="1"/>
    <col min="5123" max="5125" width="5.59765625" style="3" customWidth="1"/>
    <col min="5126" max="5129" width="6" style="3" customWidth="1"/>
    <col min="5130" max="5130" width="9" style="3" customWidth="1"/>
    <col min="5131" max="5131" width="7.59765625" style="3" customWidth="1"/>
    <col min="5132" max="5138" width="8" style="3" customWidth="1"/>
    <col min="5139" max="5139" width="6.69921875" style="3" customWidth="1"/>
    <col min="5140" max="5376" width="9" style="3" customWidth="1"/>
    <col min="5377" max="5377" width="7.5" style="3" customWidth="1"/>
    <col min="5378" max="5378" width="9.5" style="3" customWidth="1"/>
    <col min="5379" max="5381" width="5.59765625" style="3" customWidth="1"/>
    <col min="5382" max="5385" width="6" style="3" customWidth="1"/>
    <col min="5386" max="5386" width="9" style="3" customWidth="1"/>
    <col min="5387" max="5387" width="7.59765625" style="3" customWidth="1"/>
    <col min="5388" max="5394" width="8" style="3" customWidth="1"/>
    <col min="5395" max="5395" width="6.69921875" style="3" customWidth="1"/>
    <col min="5396" max="5632" width="9" style="3" customWidth="1"/>
    <col min="5633" max="5633" width="7.5" style="3" customWidth="1"/>
    <col min="5634" max="5634" width="9.5" style="3" customWidth="1"/>
    <col min="5635" max="5637" width="5.59765625" style="3" customWidth="1"/>
    <col min="5638" max="5641" width="6" style="3" customWidth="1"/>
    <col min="5642" max="5642" width="9" style="3" customWidth="1"/>
    <col min="5643" max="5643" width="7.59765625" style="3" customWidth="1"/>
    <col min="5644" max="5650" width="8" style="3" customWidth="1"/>
    <col min="5651" max="5651" width="6.69921875" style="3" customWidth="1"/>
    <col min="5652" max="5888" width="9" style="3" customWidth="1"/>
    <col min="5889" max="5889" width="7.5" style="3" customWidth="1"/>
    <col min="5890" max="5890" width="9.5" style="3" customWidth="1"/>
    <col min="5891" max="5893" width="5.59765625" style="3" customWidth="1"/>
    <col min="5894" max="5897" width="6" style="3" customWidth="1"/>
    <col min="5898" max="5898" width="9" style="3" customWidth="1"/>
    <col min="5899" max="5899" width="7.59765625" style="3" customWidth="1"/>
    <col min="5900" max="5906" width="8" style="3" customWidth="1"/>
    <col min="5907" max="5907" width="6.69921875" style="3" customWidth="1"/>
    <col min="5908" max="6144" width="9" style="3" customWidth="1"/>
    <col min="6145" max="6145" width="7.5" style="3" customWidth="1"/>
    <col min="6146" max="6146" width="9.5" style="3" customWidth="1"/>
    <col min="6147" max="6149" width="5.59765625" style="3" customWidth="1"/>
    <col min="6150" max="6153" width="6" style="3" customWidth="1"/>
    <col min="6154" max="6154" width="9" style="3" customWidth="1"/>
    <col min="6155" max="6155" width="7.59765625" style="3" customWidth="1"/>
    <col min="6156" max="6162" width="8" style="3" customWidth="1"/>
    <col min="6163" max="6163" width="6.69921875" style="3" customWidth="1"/>
    <col min="6164" max="6400" width="9" style="3" customWidth="1"/>
    <col min="6401" max="6401" width="7.5" style="3" customWidth="1"/>
    <col min="6402" max="6402" width="9.5" style="3" customWidth="1"/>
    <col min="6403" max="6405" width="5.59765625" style="3" customWidth="1"/>
    <col min="6406" max="6409" width="6" style="3" customWidth="1"/>
    <col min="6410" max="6410" width="9" style="3" customWidth="1"/>
    <col min="6411" max="6411" width="7.59765625" style="3" customWidth="1"/>
    <col min="6412" max="6418" width="8" style="3" customWidth="1"/>
    <col min="6419" max="6419" width="6.69921875" style="3" customWidth="1"/>
    <col min="6420" max="6656" width="9" style="3" customWidth="1"/>
    <col min="6657" max="6657" width="7.5" style="3" customWidth="1"/>
    <col min="6658" max="6658" width="9.5" style="3" customWidth="1"/>
    <col min="6659" max="6661" width="5.59765625" style="3" customWidth="1"/>
    <col min="6662" max="6665" width="6" style="3" customWidth="1"/>
    <col min="6666" max="6666" width="9" style="3" customWidth="1"/>
    <col min="6667" max="6667" width="7.59765625" style="3" customWidth="1"/>
    <col min="6668" max="6674" width="8" style="3" customWidth="1"/>
    <col min="6675" max="6675" width="6.69921875" style="3" customWidth="1"/>
    <col min="6676" max="6912" width="9" style="3" customWidth="1"/>
    <col min="6913" max="6913" width="7.5" style="3" customWidth="1"/>
    <col min="6914" max="6914" width="9.5" style="3" customWidth="1"/>
    <col min="6915" max="6917" width="5.59765625" style="3" customWidth="1"/>
    <col min="6918" max="6921" width="6" style="3" customWidth="1"/>
    <col min="6922" max="6922" width="9" style="3" customWidth="1"/>
    <col min="6923" max="6923" width="7.59765625" style="3" customWidth="1"/>
    <col min="6924" max="6930" width="8" style="3" customWidth="1"/>
    <col min="6931" max="6931" width="6.69921875" style="3" customWidth="1"/>
    <col min="6932" max="7168" width="9" style="3" customWidth="1"/>
    <col min="7169" max="7169" width="7.5" style="3" customWidth="1"/>
    <col min="7170" max="7170" width="9.5" style="3" customWidth="1"/>
    <col min="7171" max="7173" width="5.59765625" style="3" customWidth="1"/>
    <col min="7174" max="7177" width="6" style="3" customWidth="1"/>
    <col min="7178" max="7178" width="9" style="3" customWidth="1"/>
    <col min="7179" max="7179" width="7.59765625" style="3" customWidth="1"/>
    <col min="7180" max="7186" width="8" style="3" customWidth="1"/>
    <col min="7187" max="7187" width="6.69921875" style="3" customWidth="1"/>
    <col min="7188" max="7424" width="9" style="3" customWidth="1"/>
    <col min="7425" max="7425" width="7.5" style="3" customWidth="1"/>
    <col min="7426" max="7426" width="9.5" style="3" customWidth="1"/>
    <col min="7427" max="7429" width="5.59765625" style="3" customWidth="1"/>
    <col min="7430" max="7433" width="6" style="3" customWidth="1"/>
    <col min="7434" max="7434" width="9" style="3" customWidth="1"/>
    <col min="7435" max="7435" width="7.59765625" style="3" customWidth="1"/>
    <col min="7436" max="7442" width="8" style="3" customWidth="1"/>
    <col min="7443" max="7443" width="6.69921875" style="3" customWidth="1"/>
    <col min="7444" max="7680" width="9" style="3" customWidth="1"/>
    <col min="7681" max="7681" width="7.5" style="3" customWidth="1"/>
    <col min="7682" max="7682" width="9.5" style="3" customWidth="1"/>
    <col min="7683" max="7685" width="5.59765625" style="3" customWidth="1"/>
    <col min="7686" max="7689" width="6" style="3" customWidth="1"/>
    <col min="7690" max="7690" width="9" style="3" customWidth="1"/>
    <col min="7691" max="7691" width="7.59765625" style="3" customWidth="1"/>
    <col min="7692" max="7698" width="8" style="3" customWidth="1"/>
    <col min="7699" max="7699" width="6.69921875" style="3" customWidth="1"/>
    <col min="7700" max="7936" width="9" style="3" customWidth="1"/>
    <col min="7937" max="7937" width="7.5" style="3" customWidth="1"/>
    <col min="7938" max="7938" width="9.5" style="3" customWidth="1"/>
    <col min="7939" max="7941" width="5.59765625" style="3" customWidth="1"/>
    <col min="7942" max="7945" width="6" style="3" customWidth="1"/>
    <col min="7946" max="7946" width="9" style="3" customWidth="1"/>
    <col min="7947" max="7947" width="7.59765625" style="3" customWidth="1"/>
    <col min="7948" max="7954" width="8" style="3" customWidth="1"/>
    <col min="7955" max="7955" width="6.69921875" style="3" customWidth="1"/>
    <col min="7956" max="8192" width="9" style="3" customWidth="1"/>
    <col min="8193" max="8193" width="7.5" style="3" customWidth="1"/>
    <col min="8194" max="8194" width="9.5" style="3" customWidth="1"/>
    <col min="8195" max="8197" width="5.59765625" style="3" customWidth="1"/>
    <col min="8198" max="8201" width="6" style="3" customWidth="1"/>
    <col min="8202" max="8202" width="9" style="3" customWidth="1"/>
    <col min="8203" max="8203" width="7.59765625" style="3" customWidth="1"/>
    <col min="8204" max="8210" width="8" style="3" customWidth="1"/>
    <col min="8211" max="8211" width="6.69921875" style="3" customWidth="1"/>
    <col min="8212" max="8448" width="9" style="3" customWidth="1"/>
    <col min="8449" max="8449" width="7.5" style="3" customWidth="1"/>
    <col min="8450" max="8450" width="9.5" style="3" customWidth="1"/>
    <col min="8451" max="8453" width="5.59765625" style="3" customWidth="1"/>
    <col min="8454" max="8457" width="6" style="3" customWidth="1"/>
    <col min="8458" max="8458" width="9" style="3" customWidth="1"/>
    <col min="8459" max="8459" width="7.59765625" style="3" customWidth="1"/>
    <col min="8460" max="8466" width="8" style="3" customWidth="1"/>
    <col min="8467" max="8467" width="6.69921875" style="3" customWidth="1"/>
    <col min="8468" max="8704" width="9" style="3" customWidth="1"/>
    <col min="8705" max="8705" width="7.5" style="3" customWidth="1"/>
    <col min="8706" max="8706" width="9.5" style="3" customWidth="1"/>
    <col min="8707" max="8709" width="5.59765625" style="3" customWidth="1"/>
    <col min="8710" max="8713" width="6" style="3" customWidth="1"/>
    <col min="8714" max="8714" width="9" style="3" customWidth="1"/>
    <col min="8715" max="8715" width="7.59765625" style="3" customWidth="1"/>
    <col min="8716" max="8722" width="8" style="3" customWidth="1"/>
    <col min="8723" max="8723" width="6.69921875" style="3" customWidth="1"/>
    <col min="8724" max="8960" width="9" style="3" customWidth="1"/>
    <col min="8961" max="8961" width="7.5" style="3" customWidth="1"/>
    <col min="8962" max="8962" width="9.5" style="3" customWidth="1"/>
    <col min="8963" max="8965" width="5.59765625" style="3" customWidth="1"/>
    <col min="8966" max="8969" width="6" style="3" customWidth="1"/>
    <col min="8970" max="8970" width="9" style="3" customWidth="1"/>
    <col min="8971" max="8971" width="7.59765625" style="3" customWidth="1"/>
    <col min="8972" max="8978" width="8" style="3" customWidth="1"/>
    <col min="8979" max="8979" width="6.69921875" style="3" customWidth="1"/>
    <col min="8980" max="9216" width="9" style="3" customWidth="1"/>
    <col min="9217" max="9217" width="7.5" style="3" customWidth="1"/>
    <col min="9218" max="9218" width="9.5" style="3" customWidth="1"/>
    <col min="9219" max="9221" width="5.59765625" style="3" customWidth="1"/>
    <col min="9222" max="9225" width="6" style="3" customWidth="1"/>
    <col min="9226" max="9226" width="9" style="3" customWidth="1"/>
    <col min="9227" max="9227" width="7.59765625" style="3" customWidth="1"/>
    <col min="9228" max="9234" width="8" style="3" customWidth="1"/>
    <col min="9235" max="9235" width="6.69921875" style="3" customWidth="1"/>
    <col min="9236" max="9472" width="9" style="3" customWidth="1"/>
    <col min="9473" max="9473" width="7.5" style="3" customWidth="1"/>
    <col min="9474" max="9474" width="9.5" style="3" customWidth="1"/>
    <col min="9475" max="9477" width="5.59765625" style="3" customWidth="1"/>
    <col min="9478" max="9481" width="6" style="3" customWidth="1"/>
    <col min="9482" max="9482" width="9" style="3" customWidth="1"/>
    <col min="9483" max="9483" width="7.59765625" style="3" customWidth="1"/>
    <col min="9484" max="9490" width="8" style="3" customWidth="1"/>
    <col min="9491" max="9491" width="6.69921875" style="3" customWidth="1"/>
    <col min="9492" max="9728" width="9" style="3" customWidth="1"/>
    <col min="9729" max="9729" width="7.5" style="3" customWidth="1"/>
    <col min="9730" max="9730" width="9.5" style="3" customWidth="1"/>
    <col min="9731" max="9733" width="5.59765625" style="3" customWidth="1"/>
    <col min="9734" max="9737" width="6" style="3" customWidth="1"/>
    <col min="9738" max="9738" width="9" style="3" customWidth="1"/>
    <col min="9739" max="9739" width="7.59765625" style="3" customWidth="1"/>
    <col min="9740" max="9746" width="8" style="3" customWidth="1"/>
    <col min="9747" max="9747" width="6.69921875" style="3" customWidth="1"/>
    <col min="9748" max="9984" width="9" style="3" customWidth="1"/>
    <col min="9985" max="9985" width="7.5" style="3" customWidth="1"/>
    <col min="9986" max="9986" width="9.5" style="3" customWidth="1"/>
    <col min="9987" max="9989" width="5.59765625" style="3" customWidth="1"/>
    <col min="9990" max="9993" width="6" style="3" customWidth="1"/>
    <col min="9994" max="9994" width="9" style="3" customWidth="1"/>
    <col min="9995" max="9995" width="7.59765625" style="3" customWidth="1"/>
    <col min="9996" max="10002" width="8" style="3" customWidth="1"/>
    <col min="10003" max="10003" width="6.69921875" style="3" customWidth="1"/>
    <col min="10004" max="10240" width="9" style="3" customWidth="1"/>
    <col min="10241" max="10241" width="7.5" style="3" customWidth="1"/>
    <col min="10242" max="10242" width="9.5" style="3" customWidth="1"/>
    <col min="10243" max="10245" width="5.59765625" style="3" customWidth="1"/>
    <col min="10246" max="10249" width="6" style="3" customWidth="1"/>
    <col min="10250" max="10250" width="9" style="3" customWidth="1"/>
    <col min="10251" max="10251" width="7.59765625" style="3" customWidth="1"/>
    <col min="10252" max="10258" width="8" style="3" customWidth="1"/>
    <col min="10259" max="10259" width="6.69921875" style="3" customWidth="1"/>
    <col min="10260" max="10496" width="9" style="3" customWidth="1"/>
    <col min="10497" max="10497" width="7.5" style="3" customWidth="1"/>
    <col min="10498" max="10498" width="9.5" style="3" customWidth="1"/>
    <col min="10499" max="10501" width="5.59765625" style="3" customWidth="1"/>
    <col min="10502" max="10505" width="6" style="3" customWidth="1"/>
    <col min="10506" max="10506" width="9" style="3" customWidth="1"/>
    <col min="10507" max="10507" width="7.59765625" style="3" customWidth="1"/>
    <col min="10508" max="10514" width="8" style="3" customWidth="1"/>
    <col min="10515" max="10515" width="6.69921875" style="3" customWidth="1"/>
    <col min="10516" max="10752" width="9" style="3" customWidth="1"/>
    <col min="10753" max="10753" width="7.5" style="3" customWidth="1"/>
    <col min="10754" max="10754" width="9.5" style="3" customWidth="1"/>
    <col min="10755" max="10757" width="5.59765625" style="3" customWidth="1"/>
    <col min="10758" max="10761" width="6" style="3" customWidth="1"/>
    <col min="10762" max="10762" width="9" style="3" customWidth="1"/>
    <col min="10763" max="10763" width="7.59765625" style="3" customWidth="1"/>
    <col min="10764" max="10770" width="8" style="3" customWidth="1"/>
    <col min="10771" max="10771" width="6.69921875" style="3" customWidth="1"/>
    <col min="10772" max="11008" width="9" style="3" customWidth="1"/>
    <col min="11009" max="11009" width="7.5" style="3" customWidth="1"/>
    <col min="11010" max="11010" width="9.5" style="3" customWidth="1"/>
    <col min="11011" max="11013" width="5.59765625" style="3" customWidth="1"/>
    <col min="11014" max="11017" width="6" style="3" customWidth="1"/>
    <col min="11018" max="11018" width="9" style="3" customWidth="1"/>
    <col min="11019" max="11019" width="7.59765625" style="3" customWidth="1"/>
    <col min="11020" max="11026" width="8" style="3" customWidth="1"/>
    <col min="11027" max="11027" width="6.69921875" style="3" customWidth="1"/>
    <col min="11028" max="11264" width="9" style="3" customWidth="1"/>
    <col min="11265" max="11265" width="7.5" style="3" customWidth="1"/>
    <col min="11266" max="11266" width="9.5" style="3" customWidth="1"/>
    <col min="11267" max="11269" width="5.59765625" style="3" customWidth="1"/>
    <col min="11270" max="11273" width="6" style="3" customWidth="1"/>
    <col min="11274" max="11274" width="9" style="3" customWidth="1"/>
    <col min="11275" max="11275" width="7.59765625" style="3" customWidth="1"/>
    <col min="11276" max="11282" width="8" style="3" customWidth="1"/>
    <col min="11283" max="11283" width="6.69921875" style="3" customWidth="1"/>
    <col min="11284" max="11520" width="9" style="3" customWidth="1"/>
    <col min="11521" max="11521" width="7.5" style="3" customWidth="1"/>
    <col min="11522" max="11522" width="9.5" style="3" customWidth="1"/>
    <col min="11523" max="11525" width="5.59765625" style="3" customWidth="1"/>
    <col min="11526" max="11529" width="6" style="3" customWidth="1"/>
    <col min="11530" max="11530" width="9" style="3" customWidth="1"/>
    <col min="11531" max="11531" width="7.59765625" style="3" customWidth="1"/>
    <col min="11532" max="11538" width="8" style="3" customWidth="1"/>
    <col min="11539" max="11539" width="6.69921875" style="3" customWidth="1"/>
    <col min="11540" max="11776" width="9" style="3" customWidth="1"/>
    <col min="11777" max="11777" width="7.5" style="3" customWidth="1"/>
    <col min="11778" max="11778" width="9.5" style="3" customWidth="1"/>
    <col min="11779" max="11781" width="5.59765625" style="3" customWidth="1"/>
    <col min="11782" max="11785" width="6" style="3" customWidth="1"/>
    <col min="11786" max="11786" width="9" style="3" customWidth="1"/>
    <col min="11787" max="11787" width="7.59765625" style="3" customWidth="1"/>
    <col min="11788" max="11794" width="8" style="3" customWidth="1"/>
    <col min="11795" max="11795" width="6.69921875" style="3" customWidth="1"/>
    <col min="11796" max="12032" width="9" style="3" customWidth="1"/>
    <col min="12033" max="12033" width="7.5" style="3" customWidth="1"/>
    <col min="12034" max="12034" width="9.5" style="3" customWidth="1"/>
    <col min="12035" max="12037" width="5.59765625" style="3" customWidth="1"/>
    <col min="12038" max="12041" width="6" style="3" customWidth="1"/>
    <col min="12042" max="12042" width="9" style="3" customWidth="1"/>
    <col min="12043" max="12043" width="7.59765625" style="3" customWidth="1"/>
    <col min="12044" max="12050" width="8" style="3" customWidth="1"/>
    <col min="12051" max="12051" width="6.69921875" style="3" customWidth="1"/>
    <col min="12052" max="12288" width="9" style="3" customWidth="1"/>
    <col min="12289" max="12289" width="7.5" style="3" customWidth="1"/>
    <col min="12290" max="12290" width="9.5" style="3" customWidth="1"/>
    <col min="12291" max="12293" width="5.59765625" style="3" customWidth="1"/>
    <col min="12294" max="12297" width="6" style="3" customWidth="1"/>
    <col min="12298" max="12298" width="9" style="3" customWidth="1"/>
    <col min="12299" max="12299" width="7.59765625" style="3" customWidth="1"/>
    <col min="12300" max="12306" width="8" style="3" customWidth="1"/>
    <col min="12307" max="12307" width="6.69921875" style="3" customWidth="1"/>
    <col min="12308" max="12544" width="9" style="3" customWidth="1"/>
    <col min="12545" max="12545" width="7.5" style="3" customWidth="1"/>
    <col min="12546" max="12546" width="9.5" style="3" customWidth="1"/>
    <col min="12547" max="12549" width="5.59765625" style="3" customWidth="1"/>
    <col min="12550" max="12553" width="6" style="3" customWidth="1"/>
    <col min="12554" max="12554" width="9" style="3" customWidth="1"/>
    <col min="12555" max="12555" width="7.59765625" style="3" customWidth="1"/>
    <col min="12556" max="12562" width="8" style="3" customWidth="1"/>
    <col min="12563" max="12563" width="6.69921875" style="3" customWidth="1"/>
    <col min="12564" max="12800" width="9" style="3" customWidth="1"/>
    <col min="12801" max="12801" width="7.5" style="3" customWidth="1"/>
    <col min="12802" max="12802" width="9.5" style="3" customWidth="1"/>
    <col min="12803" max="12805" width="5.59765625" style="3" customWidth="1"/>
    <col min="12806" max="12809" width="6" style="3" customWidth="1"/>
    <col min="12810" max="12810" width="9" style="3" customWidth="1"/>
    <col min="12811" max="12811" width="7.59765625" style="3" customWidth="1"/>
    <col min="12812" max="12818" width="8" style="3" customWidth="1"/>
    <col min="12819" max="12819" width="6.69921875" style="3" customWidth="1"/>
    <col min="12820" max="13056" width="9" style="3" customWidth="1"/>
    <col min="13057" max="13057" width="7.5" style="3" customWidth="1"/>
    <col min="13058" max="13058" width="9.5" style="3" customWidth="1"/>
    <col min="13059" max="13061" width="5.59765625" style="3" customWidth="1"/>
    <col min="13062" max="13065" width="6" style="3" customWidth="1"/>
    <col min="13066" max="13066" width="9" style="3" customWidth="1"/>
    <col min="13067" max="13067" width="7.59765625" style="3" customWidth="1"/>
    <col min="13068" max="13074" width="8" style="3" customWidth="1"/>
    <col min="13075" max="13075" width="6.69921875" style="3" customWidth="1"/>
    <col min="13076" max="13312" width="9" style="3" customWidth="1"/>
    <col min="13313" max="13313" width="7.5" style="3" customWidth="1"/>
    <col min="13314" max="13314" width="9.5" style="3" customWidth="1"/>
    <col min="13315" max="13317" width="5.59765625" style="3" customWidth="1"/>
    <col min="13318" max="13321" width="6" style="3" customWidth="1"/>
    <col min="13322" max="13322" width="9" style="3" customWidth="1"/>
    <col min="13323" max="13323" width="7.59765625" style="3" customWidth="1"/>
    <col min="13324" max="13330" width="8" style="3" customWidth="1"/>
    <col min="13331" max="13331" width="6.69921875" style="3" customWidth="1"/>
    <col min="13332" max="13568" width="9" style="3" customWidth="1"/>
    <col min="13569" max="13569" width="7.5" style="3" customWidth="1"/>
    <col min="13570" max="13570" width="9.5" style="3" customWidth="1"/>
    <col min="13571" max="13573" width="5.59765625" style="3" customWidth="1"/>
    <col min="13574" max="13577" width="6" style="3" customWidth="1"/>
    <col min="13578" max="13578" width="9" style="3" customWidth="1"/>
    <col min="13579" max="13579" width="7.59765625" style="3" customWidth="1"/>
    <col min="13580" max="13586" width="8" style="3" customWidth="1"/>
    <col min="13587" max="13587" width="6.69921875" style="3" customWidth="1"/>
    <col min="13588" max="13824" width="9" style="3" customWidth="1"/>
    <col min="13825" max="13825" width="7.5" style="3" customWidth="1"/>
    <col min="13826" max="13826" width="9.5" style="3" customWidth="1"/>
    <col min="13827" max="13829" width="5.59765625" style="3" customWidth="1"/>
    <col min="13830" max="13833" width="6" style="3" customWidth="1"/>
    <col min="13834" max="13834" width="9" style="3" customWidth="1"/>
    <col min="13835" max="13835" width="7.59765625" style="3" customWidth="1"/>
    <col min="13836" max="13842" width="8" style="3" customWidth="1"/>
    <col min="13843" max="13843" width="6.69921875" style="3" customWidth="1"/>
    <col min="13844" max="14080" width="9" style="3" customWidth="1"/>
    <col min="14081" max="14081" width="7.5" style="3" customWidth="1"/>
    <col min="14082" max="14082" width="9.5" style="3" customWidth="1"/>
    <col min="14083" max="14085" width="5.59765625" style="3" customWidth="1"/>
    <col min="14086" max="14089" width="6" style="3" customWidth="1"/>
    <col min="14090" max="14090" width="9" style="3" customWidth="1"/>
    <col min="14091" max="14091" width="7.59765625" style="3" customWidth="1"/>
    <col min="14092" max="14098" width="8" style="3" customWidth="1"/>
    <col min="14099" max="14099" width="6.69921875" style="3" customWidth="1"/>
    <col min="14100" max="14336" width="9" style="3" customWidth="1"/>
    <col min="14337" max="14337" width="7.5" style="3" customWidth="1"/>
    <col min="14338" max="14338" width="9.5" style="3" customWidth="1"/>
    <col min="14339" max="14341" width="5.59765625" style="3" customWidth="1"/>
    <col min="14342" max="14345" width="6" style="3" customWidth="1"/>
    <col min="14346" max="14346" width="9" style="3" customWidth="1"/>
    <col min="14347" max="14347" width="7.59765625" style="3" customWidth="1"/>
    <col min="14348" max="14354" width="8" style="3" customWidth="1"/>
    <col min="14355" max="14355" width="6.69921875" style="3" customWidth="1"/>
    <col min="14356" max="14592" width="9" style="3" customWidth="1"/>
    <col min="14593" max="14593" width="7.5" style="3" customWidth="1"/>
    <col min="14594" max="14594" width="9.5" style="3" customWidth="1"/>
    <col min="14595" max="14597" width="5.59765625" style="3" customWidth="1"/>
    <col min="14598" max="14601" width="6" style="3" customWidth="1"/>
    <col min="14602" max="14602" width="9" style="3" customWidth="1"/>
    <col min="14603" max="14603" width="7.59765625" style="3" customWidth="1"/>
    <col min="14604" max="14610" width="8" style="3" customWidth="1"/>
    <col min="14611" max="14611" width="6.69921875" style="3" customWidth="1"/>
    <col min="14612" max="14848" width="9" style="3" customWidth="1"/>
    <col min="14849" max="14849" width="7.5" style="3" customWidth="1"/>
    <col min="14850" max="14850" width="9.5" style="3" customWidth="1"/>
    <col min="14851" max="14853" width="5.59765625" style="3" customWidth="1"/>
    <col min="14854" max="14857" width="6" style="3" customWidth="1"/>
    <col min="14858" max="14858" width="9" style="3" customWidth="1"/>
    <col min="14859" max="14859" width="7.59765625" style="3" customWidth="1"/>
    <col min="14860" max="14866" width="8" style="3" customWidth="1"/>
    <col min="14867" max="14867" width="6.69921875" style="3" customWidth="1"/>
    <col min="14868" max="15104" width="9" style="3" customWidth="1"/>
    <col min="15105" max="15105" width="7.5" style="3" customWidth="1"/>
    <col min="15106" max="15106" width="9.5" style="3" customWidth="1"/>
    <col min="15107" max="15109" width="5.59765625" style="3" customWidth="1"/>
    <col min="15110" max="15113" width="6" style="3" customWidth="1"/>
    <col min="15114" max="15114" width="9" style="3" customWidth="1"/>
    <col min="15115" max="15115" width="7.59765625" style="3" customWidth="1"/>
    <col min="15116" max="15122" width="8" style="3" customWidth="1"/>
    <col min="15123" max="15123" width="6.69921875" style="3" customWidth="1"/>
    <col min="15124" max="15360" width="9" style="3" customWidth="1"/>
    <col min="15361" max="15361" width="7.5" style="3" customWidth="1"/>
    <col min="15362" max="15362" width="9.5" style="3" customWidth="1"/>
    <col min="15363" max="15365" width="5.59765625" style="3" customWidth="1"/>
    <col min="15366" max="15369" width="6" style="3" customWidth="1"/>
    <col min="15370" max="15370" width="9" style="3" customWidth="1"/>
    <col min="15371" max="15371" width="7.59765625" style="3" customWidth="1"/>
    <col min="15372" max="15378" width="8" style="3" customWidth="1"/>
    <col min="15379" max="15379" width="6.69921875" style="3" customWidth="1"/>
    <col min="15380" max="15616" width="9" style="3" customWidth="1"/>
    <col min="15617" max="15617" width="7.5" style="3" customWidth="1"/>
    <col min="15618" max="15618" width="9.5" style="3" customWidth="1"/>
    <col min="15619" max="15621" width="5.59765625" style="3" customWidth="1"/>
    <col min="15622" max="15625" width="6" style="3" customWidth="1"/>
    <col min="15626" max="15626" width="9" style="3" customWidth="1"/>
    <col min="15627" max="15627" width="7.59765625" style="3" customWidth="1"/>
    <col min="15628" max="15634" width="8" style="3" customWidth="1"/>
    <col min="15635" max="15635" width="6.69921875" style="3" customWidth="1"/>
    <col min="15636" max="15872" width="9" style="3" customWidth="1"/>
    <col min="15873" max="15873" width="7.5" style="3" customWidth="1"/>
    <col min="15874" max="15874" width="9.5" style="3" customWidth="1"/>
    <col min="15875" max="15877" width="5.59765625" style="3" customWidth="1"/>
    <col min="15878" max="15881" width="6" style="3" customWidth="1"/>
    <col min="15882" max="15882" width="9" style="3" customWidth="1"/>
    <col min="15883" max="15883" width="7.59765625" style="3" customWidth="1"/>
    <col min="15884" max="15890" width="8" style="3" customWidth="1"/>
    <col min="15891" max="15891" width="6.69921875" style="3" customWidth="1"/>
    <col min="15892" max="16128" width="9" style="3" customWidth="1"/>
    <col min="16129" max="16129" width="7.5" style="3" customWidth="1"/>
    <col min="16130" max="16130" width="9.5" style="3" customWidth="1"/>
    <col min="16131" max="16133" width="5.59765625" style="3" customWidth="1"/>
    <col min="16134" max="16137" width="6" style="3" customWidth="1"/>
    <col min="16138" max="16138" width="9" style="3" customWidth="1"/>
    <col min="16139" max="16139" width="7.59765625" style="3" customWidth="1"/>
    <col min="16140" max="16146" width="8" style="3" customWidth="1"/>
    <col min="16147" max="16147" width="6.69921875" style="3" customWidth="1"/>
    <col min="16148" max="16384" width="9" style="3" customWidth="1"/>
  </cols>
  <sheetData>
    <row r="1" ht="27" customHeight="1" spans="1:18" x14ac:dyDescent="0.25">
      <c r="A1" s="190" t="s">
        <v>25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</row>
    <row r="2" ht="12" customHeight="1" spans="1:18" x14ac:dyDescent="0.25">
      <c r="A2" s="179" t="s">
        <v>26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</row>
    <row r="3" ht="5.25" customHeight="1" x14ac:dyDescent="0.25"/>
    <row r="4" ht="20.25" customHeight="1" spans="1:18" x14ac:dyDescent="0.25">
      <c r="A4" s="191" t="s">
        <v>62</v>
      </c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</row>
    <row r="5" ht="4.5" customHeight="1" x14ac:dyDescent="0.25"/>
    <row r="6" spans="1:18" x14ac:dyDescent="0.25">
      <c r="A6" s="3" t="s">
        <v>63</v>
      </c>
      <c r="B6" s="192" t="str">
        <f>'Final Work'!B4</f>
        <v>STARSHIP DRACO</v>
      </c>
      <c r="I6" s="192" t="s">
        <v>77</v>
      </c>
      <c r="J6" s="192"/>
      <c r="K6" s="192"/>
      <c r="L6" s="192"/>
      <c r="O6" s="192" t="s">
        <v>65</v>
      </c>
      <c r="P6" s="193">
        <v>46208</v>
      </c>
      <c r="Q6" s="179"/>
      <c r="R6" s="179"/>
    </row>
    <row r="7" ht="11.25" customHeight="1" x14ac:dyDescent="0.25"/>
    <row r="8" spans="1:18" x14ac:dyDescent="0.25">
      <c r="A8" s="192" t="s">
        <v>66</v>
      </c>
      <c r="B8" s="192" t="s">
        <v>26</v>
      </c>
      <c r="C8" s="192"/>
      <c r="D8" s="192"/>
      <c r="E8" s="192"/>
      <c r="I8" s="3" t="s">
        <v>67</v>
      </c>
      <c r="J8" s="179"/>
      <c r="O8" s="192" t="s">
        <v>78</v>
      </c>
      <c r="P8" s="179">
        <v>15</v>
      </c>
      <c r="Q8" s="179"/>
      <c r="R8" s="179"/>
    </row>
    <row r="9" ht="6.75" customHeight="1" x14ac:dyDescent="0.25"/>
    <row r="10" ht="12" customHeight="1" spans="1:18" x14ac:dyDescent="0.25">
      <c r="A10" s="197" t="s">
        <v>11</v>
      </c>
      <c r="B10" s="197" t="s">
        <v>47</v>
      </c>
      <c r="C10" s="247" t="s">
        <v>69</v>
      </c>
      <c r="D10" s="188"/>
      <c r="E10" s="248"/>
      <c r="F10" s="247" t="s">
        <v>70</v>
      </c>
      <c r="G10" s="188"/>
      <c r="H10" s="188"/>
      <c r="I10" s="248"/>
      <c r="J10" s="197" t="s">
        <v>71</v>
      </c>
      <c r="K10" s="197" t="s">
        <v>72</v>
      </c>
      <c r="L10" s="247" t="s">
        <v>79</v>
      </c>
      <c r="M10" s="188"/>
      <c r="N10" s="188"/>
      <c r="O10" s="188"/>
      <c r="P10" s="188"/>
      <c r="Q10" s="188"/>
      <c r="R10" s="248"/>
    </row>
    <row r="11" ht="12" customHeight="1" spans="1:18" x14ac:dyDescent="0.25">
      <c r="A11" s="200"/>
      <c r="B11" s="200"/>
      <c r="C11" s="249"/>
      <c r="D11" s="250"/>
      <c r="E11" s="251"/>
      <c r="F11" s="249"/>
      <c r="G11" s="250"/>
      <c r="H11" s="250"/>
      <c r="I11" s="251"/>
      <c r="J11" s="200" t="s">
        <v>56</v>
      </c>
      <c r="K11" s="200"/>
      <c r="L11" s="249"/>
      <c r="M11" s="250"/>
      <c r="N11" s="250"/>
      <c r="O11" s="250"/>
      <c r="P11" s="250"/>
      <c r="Q11" s="250"/>
      <c r="R11" s="251"/>
    </row>
    <row r="12" ht="18" customHeight="1" spans="1:18" x14ac:dyDescent="0.25">
      <c r="A12" s="233"/>
      <c r="B12" s="233"/>
      <c r="C12" s="253"/>
      <c r="D12" s="254"/>
      <c r="E12" s="155"/>
      <c r="F12" s="253"/>
      <c r="G12" s="254"/>
      <c r="H12" s="254"/>
      <c r="I12" s="155"/>
      <c r="J12" s="233"/>
      <c r="K12" s="233"/>
      <c r="L12" s="280"/>
      <c r="M12" s="281"/>
      <c r="N12" s="281"/>
      <c r="O12" s="281"/>
      <c r="P12" s="281"/>
      <c r="Q12" s="281"/>
      <c r="R12" s="282"/>
    </row>
    <row r="13" ht="18" customHeight="1" spans="1:18" x14ac:dyDescent="0.25">
      <c r="A13" s="266"/>
      <c r="B13" s="266"/>
      <c r="C13" s="157"/>
      <c r="D13" s="283"/>
      <c r="E13" s="164"/>
      <c r="F13" s="157"/>
      <c r="G13" s="283"/>
      <c r="H13" s="283"/>
      <c r="I13" s="164"/>
      <c r="J13" s="266"/>
      <c r="K13" s="266"/>
      <c r="L13" s="159"/>
      <c r="M13" s="159"/>
      <c r="N13" s="159"/>
      <c r="O13" s="159"/>
      <c r="P13" s="159"/>
      <c r="Q13" s="159"/>
      <c r="R13" s="159"/>
    </row>
    <row r="14" ht="18" customHeight="1" spans="1:18" x14ac:dyDescent="0.25">
      <c r="A14" s="266"/>
      <c r="B14" s="266"/>
      <c r="C14" s="157"/>
      <c r="D14" s="283"/>
      <c r="E14" s="164"/>
      <c r="F14" s="157"/>
      <c r="G14" s="283"/>
      <c r="H14" s="283"/>
      <c r="I14" s="164"/>
      <c r="J14" s="266"/>
      <c r="K14" s="266"/>
      <c r="L14" s="159"/>
      <c r="M14" s="159"/>
      <c r="N14" s="159"/>
      <c r="O14" s="159"/>
      <c r="P14" s="159"/>
      <c r="Q14" s="159"/>
      <c r="R14" s="159"/>
    </row>
    <row r="15" ht="18" customHeight="1" spans="1:18" x14ac:dyDescent="0.25">
      <c r="A15" s="266"/>
      <c r="B15" s="266"/>
      <c r="C15" s="157"/>
      <c r="D15" s="283"/>
      <c r="E15" s="164"/>
      <c r="F15" s="157"/>
      <c r="G15" s="283"/>
      <c r="H15" s="283"/>
      <c r="I15" s="164"/>
      <c r="J15" s="266"/>
      <c r="K15" s="266"/>
      <c r="L15" s="159"/>
      <c r="M15" s="159"/>
      <c r="N15" s="159"/>
      <c r="O15" s="159"/>
      <c r="P15" s="159"/>
      <c r="Q15" s="159"/>
      <c r="R15" s="159"/>
    </row>
    <row r="16" ht="18" customHeight="1" spans="1:18" x14ac:dyDescent="0.25">
      <c r="A16" s="266"/>
      <c r="B16" s="266"/>
      <c r="C16" s="157"/>
      <c r="D16" s="283"/>
      <c r="E16" s="164"/>
      <c r="F16" s="157"/>
      <c r="G16" s="283"/>
      <c r="H16" s="283"/>
      <c r="I16" s="164"/>
      <c r="J16" s="266"/>
      <c r="K16" s="266"/>
      <c r="L16" s="159"/>
      <c r="M16" s="159"/>
      <c r="N16" s="159"/>
      <c r="O16" s="159"/>
      <c r="P16" s="159"/>
      <c r="Q16" s="159"/>
      <c r="R16" s="159"/>
    </row>
    <row r="17" ht="18" customHeight="1" spans="1:18" x14ac:dyDescent="0.25">
      <c r="A17" s="266"/>
      <c r="B17" s="266"/>
      <c r="C17" s="157"/>
      <c r="D17" s="283"/>
      <c r="E17" s="164"/>
      <c r="F17" s="157"/>
      <c r="G17" s="283"/>
      <c r="H17" s="283"/>
      <c r="I17" s="164"/>
      <c r="J17" s="266"/>
      <c r="K17" s="266"/>
      <c r="L17" s="159"/>
      <c r="M17" s="159"/>
      <c r="N17" s="159"/>
      <c r="O17" s="159"/>
      <c r="P17" s="159"/>
      <c r="Q17" s="159"/>
      <c r="R17" s="159"/>
    </row>
    <row r="18" ht="18" customHeight="1" spans="1:18" x14ac:dyDescent="0.25">
      <c r="A18" s="266"/>
      <c r="B18" s="266"/>
      <c r="C18" s="157"/>
      <c r="D18" s="283"/>
      <c r="E18" s="164"/>
      <c r="F18" s="157"/>
      <c r="G18" s="283"/>
      <c r="H18" s="283"/>
      <c r="I18" s="164"/>
      <c r="J18" s="266"/>
      <c r="K18" s="266"/>
      <c r="L18" s="159"/>
      <c r="M18" s="159"/>
      <c r="N18" s="159"/>
      <c r="O18" s="159"/>
      <c r="P18" s="159"/>
      <c r="Q18" s="159"/>
      <c r="R18" s="159"/>
    </row>
    <row r="19" ht="18" customHeight="1" spans="1:18" x14ac:dyDescent="0.25">
      <c r="A19" s="266"/>
      <c r="B19" s="266"/>
      <c r="C19" s="157"/>
      <c r="D19" s="283"/>
      <c r="E19" s="164"/>
      <c r="F19" s="157"/>
      <c r="G19" s="283"/>
      <c r="H19" s="283"/>
      <c r="I19" s="164"/>
      <c r="J19" s="266"/>
      <c r="K19" s="266"/>
      <c r="L19" s="159"/>
      <c r="M19" s="159"/>
      <c r="N19" s="159"/>
      <c r="O19" s="159"/>
      <c r="P19" s="159"/>
      <c r="Q19" s="159"/>
      <c r="R19" s="159"/>
    </row>
    <row r="20" ht="18" customHeight="1" spans="1:18" x14ac:dyDescent="0.25">
      <c r="A20" s="266"/>
      <c r="B20" s="266"/>
      <c r="C20" s="157"/>
      <c r="D20" s="283"/>
      <c r="E20" s="164"/>
      <c r="F20" s="157"/>
      <c r="G20" s="283"/>
      <c r="H20" s="283"/>
      <c r="I20" s="164"/>
      <c r="J20" s="266"/>
      <c r="K20" s="266"/>
      <c r="L20" s="159"/>
      <c r="M20" s="159"/>
      <c r="N20" s="159"/>
      <c r="O20" s="159"/>
      <c r="P20" s="159"/>
      <c r="Q20" s="159"/>
      <c r="R20" s="159"/>
    </row>
    <row r="21" ht="18" customHeight="1" spans="1:18" x14ac:dyDescent="0.25">
      <c r="A21" s="266"/>
      <c r="B21" s="266"/>
      <c r="C21" s="157"/>
      <c r="D21" s="283"/>
      <c r="E21" s="164"/>
      <c r="F21" s="157"/>
      <c r="G21" s="283"/>
      <c r="H21" s="283"/>
      <c r="I21" s="164"/>
      <c r="J21" s="266"/>
      <c r="K21" s="266"/>
      <c r="L21" s="159"/>
      <c r="M21" s="159"/>
      <c r="N21" s="159"/>
      <c r="O21" s="159"/>
      <c r="P21" s="159"/>
      <c r="Q21" s="159"/>
      <c r="R21" s="159"/>
    </row>
    <row r="22" ht="18" customHeight="1" spans="1:18" x14ac:dyDescent="0.25">
      <c r="A22" s="266"/>
      <c r="B22" s="266"/>
      <c r="C22" s="157"/>
      <c r="D22" s="283"/>
      <c r="E22" s="164"/>
      <c r="F22" s="157"/>
      <c r="G22" s="283"/>
      <c r="H22" s="283"/>
      <c r="I22" s="164"/>
      <c r="J22" s="266"/>
      <c r="K22" s="266"/>
      <c r="L22" s="159"/>
      <c r="M22" s="159"/>
      <c r="N22" s="159"/>
      <c r="O22" s="159"/>
      <c r="P22" s="159"/>
      <c r="Q22" s="159"/>
      <c r="R22" s="159"/>
    </row>
    <row r="23" ht="18" customHeight="1" spans="1:18" x14ac:dyDescent="0.25">
      <c r="A23" s="266"/>
      <c r="B23" s="266"/>
      <c r="C23" s="157"/>
      <c r="D23" s="283"/>
      <c r="E23" s="164"/>
      <c r="F23" s="157"/>
      <c r="G23" s="283"/>
      <c r="H23" s="283"/>
      <c r="I23" s="164"/>
      <c r="J23" s="266"/>
      <c r="K23" s="266"/>
      <c r="L23" s="159"/>
      <c r="M23" s="159"/>
      <c r="N23" s="159"/>
      <c r="O23" s="159"/>
      <c r="P23" s="159"/>
      <c r="Q23" s="159"/>
      <c r="R23" s="159"/>
    </row>
    <row r="24" ht="18" customHeight="1" spans="1:18" x14ac:dyDescent="0.25">
      <c r="A24" s="266"/>
      <c r="B24" s="266"/>
      <c r="C24" s="157"/>
      <c r="D24" s="283"/>
      <c r="E24" s="164"/>
      <c r="F24" s="157"/>
      <c r="G24" s="283"/>
      <c r="H24" s="283"/>
      <c r="I24" s="164"/>
      <c r="J24" s="266"/>
      <c r="K24" s="266"/>
      <c r="L24" s="159"/>
      <c r="M24" s="159"/>
      <c r="N24" s="159"/>
      <c r="O24" s="159"/>
      <c r="P24" s="159"/>
      <c r="Q24" s="159"/>
      <c r="R24" s="159"/>
    </row>
    <row r="25" ht="18" customHeight="1" spans="1:18" x14ac:dyDescent="0.25">
      <c r="A25" s="266"/>
      <c r="B25" s="266"/>
      <c r="C25" s="157"/>
      <c r="D25" s="283"/>
      <c r="E25" s="164"/>
      <c r="F25" s="157"/>
      <c r="G25" s="283"/>
      <c r="H25" s="283"/>
      <c r="I25" s="164"/>
      <c r="J25" s="266"/>
      <c r="K25" s="266"/>
      <c r="L25" s="159"/>
      <c r="M25" s="159"/>
      <c r="N25" s="159"/>
      <c r="O25" s="159"/>
      <c r="P25" s="159"/>
      <c r="Q25" s="159"/>
      <c r="R25" s="159"/>
    </row>
    <row r="26" ht="18" customHeight="1" spans="1:18" x14ac:dyDescent="0.25">
      <c r="A26" s="266"/>
      <c r="B26" s="266"/>
      <c r="C26" s="157"/>
      <c r="D26" s="283"/>
      <c r="E26" s="164"/>
      <c r="F26" s="157"/>
      <c r="G26" s="283"/>
      <c r="H26" s="283"/>
      <c r="I26" s="164"/>
      <c r="J26" s="266"/>
      <c r="K26" s="266"/>
      <c r="L26" s="159"/>
      <c r="M26" s="159"/>
      <c r="N26" s="159"/>
      <c r="O26" s="159"/>
      <c r="P26" s="159"/>
      <c r="Q26" s="159"/>
      <c r="R26" s="159"/>
    </row>
    <row r="27" ht="18" customHeight="1" spans="1:18" x14ac:dyDescent="0.25">
      <c r="A27" s="266"/>
      <c r="B27" s="266"/>
      <c r="C27" s="157"/>
      <c r="D27" s="283"/>
      <c r="E27" s="164"/>
      <c r="F27" s="157"/>
      <c r="G27" s="283"/>
      <c r="H27" s="283"/>
      <c r="I27" s="164"/>
      <c r="J27" s="266"/>
      <c r="K27" s="266"/>
      <c r="L27" s="159"/>
      <c r="M27" s="159"/>
      <c r="N27" s="159"/>
      <c r="O27" s="159"/>
      <c r="P27" s="159"/>
      <c r="Q27" s="159"/>
      <c r="R27" s="159"/>
    </row>
    <row r="28" ht="18" customHeight="1" spans="1:18" x14ac:dyDescent="0.25">
      <c r="A28" s="266"/>
      <c r="B28" s="266"/>
      <c r="C28" s="157"/>
      <c r="D28" s="283"/>
      <c r="E28" s="164"/>
      <c r="F28" s="157"/>
      <c r="G28" s="283"/>
      <c r="H28" s="283"/>
      <c r="I28" s="164"/>
      <c r="J28" s="266"/>
      <c r="K28" s="266"/>
      <c r="L28" s="159"/>
      <c r="M28" s="159"/>
      <c r="N28" s="159"/>
      <c r="O28" s="159"/>
      <c r="P28" s="159"/>
      <c r="Q28" s="159"/>
      <c r="R28" s="159"/>
    </row>
    <row r="29" ht="12.9" customHeight="1" x14ac:dyDescent="0.25"/>
    <row r="30" ht="12.9" customHeight="1" x14ac:dyDescent="0.25"/>
    <row r="31" ht="12.9" customHeight="1" x14ac:dyDescent="0.25"/>
    <row r="32" ht="12.9" customHeight="1" x14ac:dyDescent="0.25"/>
    <row r="33" ht="12.9" customHeight="1" spans="1:18" x14ac:dyDescent="0.25">
      <c r="A33" s="187"/>
      <c r="B33" s="187"/>
      <c r="C33" s="187"/>
      <c r="D33" s="187"/>
      <c r="I33" s="187"/>
      <c r="J33" s="187"/>
      <c r="K33" s="187"/>
      <c r="O33" s="187"/>
      <c r="P33" s="187"/>
      <c r="Q33" s="187"/>
      <c r="R33" s="187"/>
    </row>
    <row r="34" spans="1:18" x14ac:dyDescent="0.25">
      <c r="A34" s="188" t="s">
        <v>23</v>
      </c>
      <c r="B34" s="188"/>
      <c r="C34" s="188"/>
      <c r="D34" s="188"/>
      <c r="I34" s="188" t="s">
        <v>61</v>
      </c>
      <c r="J34" s="188"/>
      <c r="K34" s="188"/>
      <c r="O34" s="188" t="s">
        <v>24</v>
      </c>
      <c r="P34" s="188"/>
      <c r="Q34" s="188"/>
      <c r="R34" s="188"/>
    </row>
  </sheetData>
  <mergeCells count="67">
    <mergeCell ref="A1:R1"/>
    <mergeCell ref="A2:R2"/>
    <mergeCell ref="A4:R4"/>
    <mergeCell ref="I6:L6"/>
    <mergeCell ref="P6:R6"/>
    <mergeCell ref="B8:E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A34:D34"/>
    <mergeCell ref="I34:K34"/>
    <mergeCell ref="O34:R34"/>
  </mergeCells>
  <printOptions horizontalCentered="1" verticalCentered="1"/>
  <pageMargins left="0.3937007874015748" right="0.35433070866141736" top="0.5511811023622047" bottom="0.15748031496062992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</sheetPr>
  <dimension ref="A1:O96"/>
  <sheetViews>
    <sheetView workbookViewId="0" zoomScale="90" zoomScaleNormal="90">
      <selection activeCell="B2" sqref="B2"/>
    </sheetView>
  </sheetViews>
  <sheetFormatPr defaultRowHeight="19.2" outlineLevelRow="0" outlineLevelCol="0" x14ac:dyDescent="0" customHeight="1"/>
  <cols>
    <col min="1" max="2" width="7" style="1" customWidth="1"/>
    <col min="3" max="3" width="7.59765625" style="1" customWidth="1"/>
    <col min="4" max="4" width="5.19921875" style="2" customWidth="1"/>
    <col min="5" max="15" width="5.19921875" style="1" customWidth="1"/>
    <col min="16" max="228" width="9" style="1" customWidth="1"/>
    <col min="229" max="230" width="7" style="1" customWidth="1"/>
    <col min="231" max="231" width="9.09765625" style="1" customWidth="1"/>
    <col min="232" max="240" width="7.09765625" style="1" customWidth="1"/>
    <col min="241" max="484" width="9" style="1" customWidth="1"/>
    <col min="485" max="486" width="7" style="1" customWidth="1"/>
    <col min="487" max="487" width="9.09765625" style="1" customWidth="1"/>
    <col min="488" max="496" width="7.09765625" style="1" customWidth="1"/>
    <col min="497" max="740" width="9" style="1" customWidth="1"/>
    <col min="741" max="742" width="7" style="1" customWidth="1"/>
    <col min="743" max="743" width="9.09765625" style="1" customWidth="1"/>
    <col min="744" max="752" width="7.09765625" style="1" customWidth="1"/>
    <col min="753" max="996" width="9" style="1" customWidth="1"/>
    <col min="997" max="998" width="7" style="1" customWidth="1"/>
    <col min="999" max="999" width="9.09765625" style="1" customWidth="1"/>
    <col min="1000" max="1008" width="7.09765625" style="1" customWidth="1"/>
    <col min="1009" max="1252" width="9" style="1" customWidth="1"/>
    <col min="1253" max="1254" width="7" style="1" customWidth="1"/>
    <col min="1255" max="1255" width="9.09765625" style="1" customWidth="1"/>
    <col min="1256" max="1264" width="7.09765625" style="1" customWidth="1"/>
    <col min="1265" max="1508" width="9" style="1" customWidth="1"/>
    <col min="1509" max="1510" width="7" style="1" customWidth="1"/>
    <col min="1511" max="1511" width="9.09765625" style="1" customWidth="1"/>
    <col min="1512" max="1520" width="7.09765625" style="1" customWidth="1"/>
    <col min="1521" max="1764" width="9" style="1" customWidth="1"/>
    <col min="1765" max="1766" width="7" style="1" customWidth="1"/>
    <col min="1767" max="1767" width="9.09765625" style="1" customWidth="1"/>
    <col min="1768" max="1776" width="7.09765625" style="1" customWidth="1"/>
    <col min="1777" max="2020" width="9" style="1" customWidth="1"/>
    <col min="2021" max="2022" width="7" style="1" customWidth="1"/>
    <col min="2023" max="2023" width="9.09765625" style="1" customWidth="1"/>
    <col min="2024" max="2032" width="7.09765625" style="1" customWidth="1"/>
    <col min="2033" max="2276" width="9" style="1" customWidth="1"/>
    <col min="2277" max="2278" width="7" style="1" customWidth="1"/>
    <col min="2279" max="2279" width="9.09765625" style="1" customWidth="1"/>
    <col min="2280" max="2288" width="7.09765625" style="1" customWidth="1"/>
    <col min="2289" max="2532" width="9" style="1" customWidth="1"/>
    <col min="2533" max="2534" width="7" style="1" customWidth="1"/>
    <col min="2535" max="2535" width="9.09765625" style="1" customWidth="1"/>
    <col min="2536" max="2544" width="7.09765625" style="1" customWidth="1"/>
    <col min="2545" max="2788" width="9" style="1" customWidth="1"/>
    <col min="2789" max="2790" width="7" style="1" customWidth="1"/>
    <col min="2791" max="2791" width="9.09765625" style="1" customWidth="1"/>
    <col min="2792" max="2800" width="7.09765625" style="1" customWidth="1"/>
    <col min="2801" max="3044" width="9" style="1" customWidth="1"/>
    <col min="3045" max="3046" width="7" style="1" customWidth="1"/>
    <col min="3047" max="3047" width="9.09765625" style="1" customWidth="1"/>
    <col min="3048" max="3056" width="7.09765625" style="1" customWidth="1"/>
    <col min="3057" max="3300" width="9" style="1" customWidth="1"/>
    <col min="3301" max="3302" width="7" style="1" customWidth="1"/>
    <col min="3303" max="3303" width="9.09765625" style="1" customWidth="1"/>
    <col min="3304" max="3312" width="7.09765625" style="1" customWidth="1"/>
    <col min="3313" max="3556" width="9" style="1" customWidth="1"/>
    <col min="3557" max="3558" width="7" style="1" customWidth="1"/>
    <col min="3559" max="3559" width="9.09765625" style="1" customWidth="1"/>
    <col min="3560" max="3568" width="7.09765625" style="1" customWidth="1"/>
    <col min="3569" max="3812" width="9" style="1" customWidth="1"/>
    <col min="3813" max="3814" width="7" style="1" customWidth="1"/>
    <col min="3815" max="3815" width="9.09765625" style="1" customWidth="1"/>
    <col min="3816" max="3824" width="7.09765625" style="1" customWidth="1"/>
    <col min="3825" max="4068" width="9" style="1" customWidth="1"/>
    <col min="4069" max="4070" width="7" style="1" customWidth="1"/>
    <col min="4071" max="4071" width="9.09765625" style="1" customWidth="1"/>
    <col min="4072" max="4080" width="7.09765625" style="1" customWidth="1"/>
    <col min="4081" max="4324" width="9" style="1" customWidth="1"/>
    <col min="4325" max="4326" width="7" style="1" customWidth="1"/>
    <col min="4327" max="4327" width="9.09765625" style="1" customWidth="1"/>
    <col min="4328" max="4336" width="7.09765625" style="1" customWidth="1"/>
    <col min="4337" max="4580" width="9" style="1" customWidth="1"/>
    <col min="4581" max="4582" width="7" style="1" customWidth="1"/>
    <col min="4583" max="4583" width="9.09765625" style="1" customWidth="1"/>
    <col min="4584" max="4592" width="7.09765625" style="1" customWidth="1"/>
    <col min="4593" max="4836" width="9" style="1" customWidth="1"/>
    <col min="4837" max="4838" width="7" style="1" customWidth="1"/>
    <col min="4839" max="4839" width="9.09765625" style="1" customWidth="1"/>
    <col min="4840" max="4848" width="7.09765625" style="1" customWidth="1"/>
    <col min="4849" max="5092" width="9" style="1" customWidth="1"/>
    <col min="5093" max="5094" width="7" style="1" customWidth="1"/>
    <col min="5095" max="5095" width="9.09765625" style="1" customWidth="1"/>
    <col min="5096" max="5104" width="7.09765625" style="1" customWidth="1"/>
    <col min="5105" max="5348" width="9" style="1" customWidth="1"/>
    <col min="5349" max="5350" width="7" style="1" customWidth="1"/>
    <col min="5351" max="5351" width="9.09765625" style="1" customWidth="1"/>
    <col min="5352" max="5360" width="7.09765625" style="1" customWidth="1"/>
    <col min="5361" max="5604" width="9" style="1" customWidth="1"/>
    <col min="5605" max="5606" width="7" style="1" customWidth="1"/>
    <col min="5607" max="5607" width="9.09765625" style="1" customWidth="1"/>
    <col min="5608" max="5616" width="7.09765625" style="1" customWidth="1"/>
    <col min="5617" max="5860" width="9" style="1" customWidth="1"/>
    <col min="5861" max="5862" width="7" style="1" customWidth="1"/>
    <col min="5863" max="5863" width="9.09765625" style="1" customWidth="1"/>
    <col min="5864" max="5872" width="7.09765625" style="1" customWidth="1"/>
    <col min="5873" max="6116" width="9" style="1" customWidth="1"/>
    <col min="6117" max="6118" width="7" style="1" customWidth="1"/>
    <col min="6119" max="6119" width="9.09765625" style="1" customWidth="1"/>
    <col min="6120" max="6128" width="7.09765625" style="1" customWidth="1"/>
    <col min="6129" max="6372" width="9" style="1" customWidth="1"/>
    <col min="6373" max="6374" width="7" style="1" customWidth="1"/>
    <col min="6375" max="6375" width="9.09765625" style="1" customWidth="1"/>
    <col min="6376" max="6384" width="7.09765625" style="1" customWidth="1"/>
    <col min="6385" max="6628" width="9" style="1" customWidth="1"/>
    <col min="6629" max="6630" width="7" style="1" customWidth="1"/>
    <col min="6631" max="6631" width="9.09765625" style="1" customWidth="1"/>
    <col min="6632" max="6640" width="7.09765625" style="1" customWidth="1"/>
    <col min="6641" max="6884" width="9" style="1" customWidth="1"/>
    <col min="6885" max="6886" width="7" style="1" customWidth="1"/>
    <col min="6887" max="6887" width="9.09765625" style="1" customWidth="1"/>
    <col min="6888" max="6896" width="7.09765625" style="1" customWidth="1"/>
    <col min="6897" max="7140" width="9" style="1" customWidth="1"/>
    <col min="7141" max="7142" width="7" style="1" customWidth="1"/>
    <col min="7143" max="7143" width="9.09765625" style="1" customWidth="1"/>
    <col min="7144" max="7152" width="7.09765625" style="1" customWidth="1"/>
    <col min="7153" max="7396" width="9" style="1" customWidth="1"/>
    <col min="7397" max="7398" width="7" style="1" customWidth="1"/>
    <col min="7399" max="7399" width="9.09765625" style="1" customWidth="1"/>
    <col min="7400" max="7408" width="7.09765625" style="1" customWidth="1"/>
    <col min="7409" max="7652" width="9" style="1" customWidth="1"/>
    <col min="7653" max="7654" width="7" style="1" customWidth="1"/>
    <col min="7655" max="7655" width="9.09765625" style="1" customWidth="1"/>
    <col min="7656" max="7664" width="7.09765625" style="1" customWidth="1"/>
    <col min="7665" max="7908" width="9" style="1" customWidth="1"/>
    <col min="7909" max="7910" width="7" style="1" customWidth="1"/>
    <col min="7911" max="7911" width="9.09765625" style="1" customWidth="1"/>
    <col min="7912" max="7920" width="7.09765625" style="1" customWidth="1"/>
    <col min="7921" max="8164" width="9" style="1" customWidth="1"/>
    <col min="8165" max="8166" width="7" style="1" customWidth="1"/>
    <col min="8167" max="8167" width="9.09765625" style="1" customWidth="1"/>
    <col min="8168" max="8176" width="7.09765625" style="1" customWidth="1"/>
    <col min="8177" max="8420" width="9" style="1" customWidth="1"/>
    <col min="8421" max="8422" width="7" style="1" customWidth="1"/>
    <col min="8423" max="8423" width="9.09765625" style="1" customWidth="1"/>
    <col min="8424" max="8432" width="7.09765625" style="1" customWidth="1"/>
    <col min="8433" max="8676" width="9" style="1" customWidth="1"/>
    <col min="8677" max="8678" width="7" style="1" customWidth="1"/>
    <col min="8679" max="8679" width="9.09765625" style="1" customWidth="1"/>
    <col min="8680" max="8688" width="7.09765625" style="1" customWidth="1"/>
    <col min="8689" max="8932" width="9" style="1" customWidth="1"/>
    <col min="8933" max="8934" width="7" style="1" customWidth="1"/>
    <col min="8935" max="8935" width="9.09765625" style="1" customWidth="1"/>
    <col min="8936" max="8944" width="7.09765625" style="1" customWidth="1"/>
    <col min="8945" max="9188" width="9" style="1" customWidth="1"/>
    <col min="9189" max="9190" width="7" style="1" customWidth="1"/>
    <col min="9191" max="9191" width="9.09765625" style="1" customWidth="1"/>
    <col min="9192" max="9200" width="7.09765625" style="1" customWidth="1"/>
    <col min="9201" max="9444" width="9" style="1" customWidth="1"/>
    <col min="9445" max="9446" width="7" style="1" customWidth="1"/>
    <col min="9447" max="9447" width="9.09765625" style="1" customWidth="1"/>
    <col min="9448" max="9456" width="7.09765625" style="1" customWidth="1"/>
    <col min="9457" max="9700" width="9" style="1" customWidth="1"/>
    <col min="9701" max="9702" width="7" style="1" customWidth="1"/>
    <col min="9703" max="9703" width="9.09765625" style="1" customWidth="1"/>
    <col min="9704" max="9712" width="7.09765625" style="1" customWidth="1"/>
    <col min="9713" max="9956" width="9" style="1" customWidth="1"/>
    <col min="9957" max="9958" width="7" style="1" customWidth="1"/>
    <col min="9959" max="9959" width="9.09765625" style="1" customWidth="1"/>
    <col min="9960" max="9968" width="7.09765625" style="1" customWidth="1"/>
    <col min="9969" max="10212" width="9" style="1" customWidth="1"/>
    <col min="10213" max="10214" width="7" style="1" customWidth="1"/>
    <col min="10215" max="10215" width="9.09765625" style="1" customWidth="1"/>
    <col min="10216" max="10224" width="7.09765625" style="1" customWidth="1"/>
    <col min="10225" max="10468" width="9" style="1" customWidth="1"/>
    <col min="10469" max="10470" width="7" style="1" customWidth="1"/>
    <col min="10471" max="10471" width="9.09765625" style="1" customWidth="1"/>
    <col min="10472" max="10480" width="7.09765625" style="1" customWidth="1"/>
    <col min="10481" max="10724" width="9" style="1" customWidth="1"/>
    <col min="10725" max="10726" width="7" style="1" customWidth="1"/>
    <col min="10727" max="10727" width="9.09765625" style="1" customWidth="1"/>
    <col min="10728" max="10736" width="7.09765625" style="1" customWidth="1"/>
    <col min="10737" max="10980" width="9" style="1" customWidth="1"/>
    <col min="10981" max="10982" width="7" style="1" customWidth="1"/>
    <col min="10983" max="10983" width="9.09765625" style="1" customWidth="1"/>
    <col min="10984" max="10992" width="7.09765625" style="1" customWidth="1"/>
    <col min="10993" max="11236" width="9" style="1" customWidth="1"/>
    <col min="11237" max="11238" width="7" style="1" customWidth="1"/>
    <col min="11239" max="11239" width="9.09765625" style="1" customWidth="1"/>
    <col min="11240" max="11248" width="7.09765625" style="1" customWidth="1"/>
    <col min="11249" max="11492" width="9" style="1" customWidth="1"/>
    <col min="11493" max="11494" width="7" style="1" customWidth="1"/>
    <col min="11495" max="11495" width="9.09765625" style="1" customWidth="1"/>
    <col min="11496" max="11504" width="7.09765625" style="1" customWidth="1"/>
    <col min="11505" max="11748" width="9" style="1" customWidth="1"/>
    <col min="11749" max="11750" width="7" style="1" customWidth="1"/>
    <col min="11751" max="11751" width="9.09765625" style="1" customWidth="1"/>
    <col min="11752" max="11760" width="7.09765625" style="1" customWidth="1"/>
    <col min="11761" max="12004" width="9" style="1" customWidth="1"/>
    <col min="12005" max="12006" width="7" style="1" customWidth="1"/>
    <col min="12007" max="12007" width="9.09765625" style="1" customWidth="1"/>
    <col min="12008" max="12016" width="7.09765625" style="1" customWidth="1"/>
    <col min="12017" max="12260" width="9" style="1" customWidth="1"/>
    <col min="12261" max="12262" width="7" style="1" customWidth="1"/>
    <col min="12263" max="12263" width="9.09765625" style="1" customWidth="1"/>
    <col min="12264" max="12272" width="7.09765625" style="1" customWidth="1"/>
    <col min="12273" max="12516" width="9" style="1" customWidth="1"/>
    <col min="12517" max="12518" width="7" style="1" customWidth="1"/>
    <col min="12519" max="12519" width="9.09765625" style="1" customWidth="1"/>
    <col min="12520" max="12528" width="7.09765625" style="1" customWidth="1"/>
    <col min="12529" max="12772" width="9" style="1" customWidth="1"/>
    <col min="12773" max="12774" width="7" style="1" customWidth="1"/>
    <col min="12775" max="12775" width="9.09765625" style="1" customWidth="1"/>
    <col min="12776" max="12784" width="7.09765625" style="1" customWidth="1"/>
    <col min="12785" max="13028" width="9" style="1" customWidth="1"/>
    <col min="13029" max="13030" width="7" style="1" customWidth="1"/>
    <col min="13031" max="13031" width="9.09765625" style="1" customWidth="1"/>
    <col min="13032" max="13040" width="7.09765625" style="1" customWidth="1"/>
    <col min="13041" max="13284" width="9" style="1" customWidth="1"/>
    <col min="13285" max="13286" width="7" style="1" customWidth="1"/>
    <col min="13287" max="13287" width="9.09765625" style="1" customWidth="1"/>
    <col min="13288" max="13296" width="7.09765625" style="1" customWidth="1"/>
    <col min="13297" max="13540" width="9" style="1" customWidth="1"/>
    <col min="13541" max="13542" width="7" style="1" customWidth="1"/>
    <col min="13543" max="13543" width="9.09765625" style="1" customWidth="1"/>
    <col min="13544" max="13552" width="7.09765625" style="1" customWidth="1"/>
    <col min="13553" max="13796" width="9" style="1" customWidth="1"/>
    <col min="13797" max="13798" width="7" style="1" customWidth="1"/>
    <col min="13799" max="13799" width="9.09765625" style="1" customWidth="1"/>
    <col min="13800" max="13808" width="7.09765625" style="1" customWidth="1"/>
    <col min="13809" max="14052" width="9" style="1" customWidth="1"/>
    <col min="14053" max="14054" width="7" style="1" customWidth="1"/>
    <col min="14055" max="14055" width="9.09765625" style="1" customWidth="1"/>
    <col min="14056" max="14064" width="7.09765625" style="1" customWidth="1"/>
    <col min="14065" max="14308" width="9" style="1" customWidth="1"/>
    <col min="14309" max="14310" width="7" style="1" customWidth="1"/>
    <col min="14311" max="14311" width="9.09765625" style="1" customWidth="1"/>
    <col min="14312" max="14320" width="7.09765625" style="1" customWidth="1"/>
    <col min="14321" max="14564" width="9" style="1" customWidth="1"/>
    <col min="14565" max="14566" width="7" style="1" customWidth="1"/>
    <col min="14567" max="14567" width="9.09765625" style="1" customWidth="1"/>
    <col min="14568" max="14576" width="7.09765625" style="1" customWidth="1"/>
    <col min="14577" max="14820" width="9" style="1" customWidth="1"/>
    <col min="14821" max="14822" width="7" style="1" customWidth="1"/>
    <col min="14823" max="14823" width="9.09765625" style="1" customWidth="1"/>
    <col min="14824" max="14832" width="7.09765625" style="1" customWidth="1"/>
    <col min="14833" max="15076" width="9" style="1" customWidth="1"/>
    <col min="15077" max="15078" width="7" style="1" customWidth="1"/>
    <col min="15079" max="15079" width="9.09765625" style="1" customWidth="1"/>
    <col min="15080" max="15088" width="7.09765625" style="1" customWidth="1"/>
    <col min="15089" max="15332" width="9" style="1" customWidth="1"/>
    <col min="15333" max="15334" width="7" style="1" customWidth="1"/>
    <col min="15335" max="15335" width="9.09765625" style="1" customWidth="1"/>
    <col min="15336" max="15344" width="7.09765625" style="1" customWidth="1"/>
    <col min="15345" max="15588" width="9" style="1" customWidth="1"/>
    <col min="15589" max="15590" width="7" style="1" customWidth="1"/>
    <col min="15591" max="15591" width="9.09765625" style="1" customWidth="1"/>
    <col min="15592" max="15600" width="7.09765625" style="1" customWidth="1"/>
    <col min="15601" max="15844" width="9" style="1" customWidth="1"/>
    <col min="15845" max="15846" width="7" style="1" customWidth="1"/>
    <col min="15847" max="15847" width="9.09765625" style="1" customWidth="1"/>
    <col min="15848" max="15856" width="7.09765625" style="1" customWidth="1"/>
    <col min="15857" max="16100" width="9" style="1" customWidth="1"/>
    <col min="16101" max="16102" width="7" style="1" customWidth="1"/>
    <col min="16103" max="16103" width="9.09765625" style="1" customWidth="1"/>
    <col min="16104" max="16112" width="7.09765625" style="1" customWidth="1"/>
    <col min="16113" max="16384" width="9" style="1" customWidth="1"/>
  </cols>
  <sheetData>
    <row r="1" ht="33" customHeight="1" spans="1:1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21.75" customHeight="1" spans="2:13" x14ac:dyDescent="0.25"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ht="10.5" customHeight="1" x14ac:dyDescent="0.25"/>
    <row r="4" spans="1:15" x14ac:dyDescent="0.25">
      <c r="A4" s="8" t="s">
        <v>2</v>
      </c>
      <c r="B4" s="9" t="s">
        <v>3</v>
      </c>
      <c r="E4" s="10"/>
      <c r="F4" s="10" t="s">
        <v>4</v>
      </c>
      <c r="G4" s="11"/>
      <c r="H4" s="11"/>
      <c r="I4" s="11"/>
      <c r="J4" s="1" t="s">
        <v>5</v>
      </c>
      <c r="L4" s="12"/>
      <c r="M4" s="11"/>
      <c r="N4" s="11"/>
      <c r="O4" s="11"/>
    </row>
    <row r="5" ht="9.75" customHeight="1" spans="4:4" x14ac:dyDescent="0.25">
      <c r="D5" s="13"/>
    </row>
    <row r="6" spans="1:15" x14ac:dyDescent="0.25">
      <c r="A6" s="14" t="s">
        <v>6</v>
      </c>
      <c r="B6" s="15"/>
      <c r="E6" s="16"/>
      <c r="F6" s="16" t="s">
        <v>7</v>
      </c>
      <c r="G6" s="11"/>
      <c r="H6" s="11"/>
      <c r="I6" s="11"/>
      <c r="J6" s="1" t="s">
        <v>8</v>
      </c>
      <c r="K6" s="17"/>
      <c r="L6" s="18" t="s">
        <v>9</v>
      </c>
      <c r="M6" s="18"/>
      <c r="N6" s="18"/>
      <c r="O6" s="18"/>
    </row>
    <row r="7" ht="11.25" customHeight="1" spans="1:7" x14ac:dyDescent="0.25">
      <c r="A7" s="19"/>
      <c r="B7" s="19"/>
      <c r="C7" s="19"/>
      <c r="D7" s="20"/>
      <c r="E7" s="19"/>
      <c r="F7" s="19"/>
      <c r="G7" s="19"/>
    </row>
    <row r="8" ht="15" customHeight="1" spans="1:15" s="15" customFormat="1" x14ac:dyDescent="0.25">
      <c r="A8" s="21" t="s">
        <v>10</v>
      </c>
      <c r="B8" s="22" t="s">
        <v>11</v>
      </c>
      <c r="C8" s="23" t="s">
        <v>12</v>
      </c>
      <c r="D8" s="24" t="str">
        <f>+"DISCH ("&amp;D82+E82+F82+G82+D83+E83+F83+G83&amp;")"</f>
        <v>DISCH (146)</v>
      </c>
      <c r="E8" s="25"/>
      <c r="F8" s="25"/>
      <c r="G8" s="25"/>
      <c r="H8" s="24" t="str">
        <f>+"LOAD ("&amp;H82+I82+J82+K82+H83+I83+J83+K83&amp;")"</f>
        <v>LOAD (85)</v>
      </c>
      <c r="I8" s="25"/>
      <c r="J8" s="25"/>
      <c r="K8" s="26"/>
      <c r="L8" s="27" t="str">
        <f>+"SHIFT ("&amp;L82+M82+N82+O82+L83+M83+N83+O83&amp;")"</f>
        <v>SHIFT (0)</v>
      </c>
      <c r="M8" s="28"/>
      <c r="N8" s="29"/>
      <c r="O8" s="30"/>
    </row>
    <row r="9" ht="15" customHeight="1" spans="1:15" x14ac:dyDescent="0.25">
      <c r="A9" s="31"/>
      <c r="B9" s="32"/>
      <c r="C9" s="33" t="s">
        <v>13</v>
      </c>
      <c r="D9" s="34" t="s">
        <v>14</v>
      </c>
      <c r="E9" s="35" t="s">
        <v>15</v>
      </c>
      <c r="F9" s="35" t="s">
        <v>16</v>
      </c>
      <c r="G9" s="36" t="s">
        <v>17</v>
      </c>
      <c r="H9" s="37" t="s">
        <v>14</v>
      </c>
      <c r="I9" s="35" t="s">
        <v>15</v>
      </c>
      <c r="J9" s="35" t="s">
        <v>16</v>
      </c>
      <c r="K9" s="38" t="s">
        <v>17</v>
      </c>
      <c r="L9" s="39" t="s">
        <v>14</v>
      </c>
      <c r="M9" s="35" t="s">
        <v>15</v>
      </c>
      <c r="N9" s="35" t="s">
        <v>16</v>
      </c>
      <c r="O9" s="38" t="s">
        <v>17</v>
      </c>
    </row>
    <row r="10" ht="16.95" customHeight="1" hidden="1" spans="1:15" s="40" customFormat="1" x14ac:dyDescent="0.25">
      <c r="A10" s="41"/>
      <c r="B10" s="42"/>
      <c r="C10" s="43" t="s">
        <v>18</v>
      </c>
      <c r="D10" s="44"/>
      <c r="E10" s="45"/>
      <c r="F10" s="45"/>
      <c r="G10" s="46"/>
      <c r="H10" s="44"/>
      <c r="I10" s="45"/>
      <c r="J10" s="45"/>
      <c r="K10" s="47"/>
      <c r="L10" s="48"/>
      <c r="M10" s="45"/>
      <c r="N10" s="45"/>
      <c r="O10" s="47"/>
    </row>
    <row r="11" ht="16.95" customHeight="1" hidden="1" spans="1:15" s="40" customFormat="1" x14ac:dyDescent="0.25">
      <c r="A11" s="40"/>
      <c r="B11" s="40"/>
      <c r="C11" s="49" t="s">
        <v>19</v>
      </c>
      <c r="D11" s="50"/>
      <c r="E11" s="51"/>
      <c r="F11" s="51"/>
      <c r="G11" s="52"/>
      <c r="H11" s="50"/>
      <c r="I11" s="51"/>
      <c r="J11" s="51"/>
      <c r="K11" s="53"/>
      <c r="L11" s="54"/>
      <c r="M11" s="51"/>
      <c r="N11" s="51"/>
      <c r="O11" s="53"/>
    </row>
    <row r="12" ht="16.05" customHeight="1" spans="1:15" s="40" customFormat="1" x14ac:dyDescent="0.25">
      <c r="A12" s="40"/>
      <c r="B12" s="55"/>
      <c r="C12" s="49" t="s">
        <v>18</v>
      </c>
      <c r="D12" s="50"/>
      <c r="E12" s="51"/>
      <c r="F12" s="51"/>
      <c r="G12" s="52"/>
      <c r="H12" s="50"/>
      <c r="I12" s="51"/>
      <c r="J12" s="51"/>
      <c r="K12" s="53"/>
      <c r="L12" s="54"/>
      <c r="M12" s="51"/>
      <c r="N12" s="51"/>
      <c r="O12" s="53"/>
    </row>
    <row r="13" ht="16.05" customHeight="1" spans="1:15" s="40" customFormat="1" x14ac:dyDescent="0.25">
      <c r="A13" s="40"/>
      <c r="B13" s="40"/>
      <c r="C13" s="49" t="s">
        <v>19</v>
      </c>
      <c r="D13" s="50"/>
      <c r="E13" s="51"/>
      <c r="F13" s="51"/>
      <c r="G13" s="52"/>
      <c r="H13" s="50"/>
      <c r="I13" s="51"/>
      <c r="J13" s="51"/>
      <c r="K13" s="53"/>
      <c r="L13" s="54"/>
      <c r="M13" s="51"/>
      <c r="N13" s="51"/>
      <c r="O13" s="53"/>
    </row>
    <row r="14" ht="16.05" customHeight="1" spans="1:15" s="40" customFormat="1" x14ac:dyDescent="0.25">
      <c r="A14" s="40"/>
      <c r="B14" s="55"/>
      <c r="C14" s="56" t="s">
        <v>18</v>
      </c>
      <c r="D14" s="50"/>
      <c r="E14" s="51"/>
      <c r="F14" s="51"/>
      <c r="G14" s="52"/>
      <c r="H14" s="50"/>
      <c r="I14" s="51"/>
      <c r="J14" s="51"/>
      <c r="K14" s="53"/>
      <c r="L14" s="54"/>
      <c r="M14" s="51"/>
      <c r="N14" s="51"/>
      <c r="O14" s="53"/>
    </row>
    <row r="15" ht="16.05" customHeight="1" spans="1:15" s="40" customFormat="1" x14ac:dyDescent="0.25">
      <c r="A15" s="40"/>
      <c r="B15" s="40"/>
      <c r="C15" s="56" t="s">
        <v>19</v>
      </c>
      <c r="D15" s="50"/>
      <c r="E15" s="51"/>
      <c r="F15" s="51"/>
      <c r="G15" s="52"/>
      <c r="H15" s="50"/>
      <c r="I15" s="51"/>
      <c r="J15" s="51"/>
      <c r="K15" s="53"/>
      <c r="L15" s="54"/>
      <c r="M15" s="51"/>
      <c r="N15" s="51"/>
      <c r="O15" s="53"/>
    </row>
    <row r="16" ht="16.05" customHeight="1" spans="1:15" s="40" customFormat="1" x14ac:dyDescent="0.25">
      <c r="A16" s="40"/>
      <c r="B16" s="55"/>
      <c r="C16" s="56" t="s">
        <v>18</v>
      </c>
      <c r="D16" s="50"/>
      <c r="E16" s="51"/>
      <c r="F16" s="51"/>
      <c r="G16" s="57"/>
      <c r="H16" s="54"/>
      <c r="I16" s="51"/>
      <c r="J16" s="51"/>
      <c r="K16" s="58"/>
      <c r="L16" s="50"/>
      <c r="M16" s="51"/>
      <c r="N16" s="51"/>
      <c r="O16" s="57"/>
    </row>
    <row r="17" ht="16.05" customHeight="1" spans="1:15" s="40" customFormat="1" x14ac:dyDescent="0.25">
      <c r="A17" s="40"/>
      <c r="B17" s="40"/>
      <c r="C17" s="56" t="s">
        <v>19</v>
      </c>
      <c r="D17" s="50"/>
      <c r="E17" s="51"/>
      <c r="F17" s="51"/>
      <c r="G17" s="57"/>
      <c r="H17" s="54"/>
      <c r="I17" s="51"/>
      <c r="J17" s="51"/>
      <c r="K17" s="58"/>
      <c r="L17" s="50"/>
      <c r="M17" s="51"/>
      <c r="N17" s="51"/>
      <c r="O17" s="57"/>
    </row>
    <row r="18" ht="16.05" customHeight="1" spans="1:15" s="40" customFormat="1" x14ac:dyDescent="0.25">
      <c r="A18" s="40"/>
      <c r="B18" s="59"/>
      <c r="C18" s="49" t="s">
        <v>18</v>
      </c>
      <c r="D18" s="54"/>
      <c r="E18" s="51"/>
      <c r="F18" s="51"/>
      <c r="G18" s="57"/>
      <c r="H18" s="54"/>
      <c r="I18" s="51"/>
      <c r="J18" s="51"/>
      <c r="K18" s="57"/>
      <c r="L18" s="54"/>
      <c r="M18" s="51"/>
      <c r="N18" s="51"/>
      <c r="O18" s="57"/>
    </row>
    <row r="19" ht="16.05" customHeight="1" spans="1:15" s="40" customFormat="1" x14ac:dyDescent="0.25">
      <c r="A19" s="40"/>
      <c r="B19" s="40"/>
      <c r="C19" s="49" t="s">
        <v>19</v>
      </c>
      <c r="D19" s="54"/>
      <c r="E19" s="51"/>
      <c r="F19" s="51"/>
      <c r="G19" s="57"/>
      <c r="H19" s="54"/>
      <c r="I19" s="51"/>
      <c r="J19" s="51"/>
      <c r="K19" s="57"/>
      <c r="L19" s="54"/>
      <c r="M19" s="51"/>
      <c r="N19" s="51"/>
      <c r="O19" s="57"/>
    </row>
    <row r="20" ht="16.05" customHeight="1" spans="1:15" s="40" customFormat="1" x14ac:dyDescent="0.25">
      <c r="A20" s="40"/>
      <c r="B20" s="55"/>
      <c r="C20" s="60" t="s">
        <v>18</v>
      </c>
      <c r="D20" s="50"/>
      <c r="E20" s="51"/>
      <c r="F20" s="51"/>
      <c r="G20" s="57"/>
      <c r="H20" s="54"/>
      <c r="I20" s="51"/>
      <c r="J20" s="51"/>
      <c r="K20" s="58"/>
      <c r="L20" s="50"/>
      <c r="M20" s="51"/>
      <c r="N20" s="51"/>
      <c r="O20" s="57"/>
    </row>
    <row r="21" ht="16.05" customHeight="1" spans="1:15" s="40" customFormat="1" x14ac:dyDescent="0.25">
      <c r="A21" s="40"/>
      <c r="B21" s="40"/>
      <c r="C21" s="56" t="s">
        <v>19</v>
      </c>
      <c r="D21" s="50"/>
      <c r="E21" s="51"/>
      <c r="F21" s="51"/>
      <c r="G21" s="57"/>
      <c r="H21" s="54"/>
      <c r="I21" s="51"/>
      <c r="J21" s="51"/>
      <c r="K21" s="58"/>
      <c r="L21" s="50"/>
      <c r="M21" s="51"/>
      <c r="N21" s="51"/>
      <c r="O21" s="57"/>
    </row>
    <row r="22" ht="16.05" customHeight="1" spans="1:15" s="40" customFormat="1" x14ac:dyDescent="0.25">
      <c r="A22" s="40"/>
      <c r="B22" s="61"/>
      <c r="C22" s="62" t="s">
        <v>18</v>
      </c>
      <c r="D22" s="63"/>
      <c r="E22" s="64"/>
      <c r="F22" s="64"/>
      <c r="G22" s="65"/>
      <c r="H22" s="63"/>
      <c r="I22" s="64"/>
      <c r="J22" s="64"/>
      <c r="K22" s="66"/>
      <c r="L22" s="67"/>
      <c r="M22" s="64"/>
      <c r="N22" s="64"/>
      <c r="O22" s="66"/>
    </row>
    <row r="23" ht="16.05" customHeight="1" spans="1:15" s="40" customFormat="1" x14ac:dyDescent="0.25">
      <c r="A23" s="40"/>
      <c r="B23" s="40"/>
      <c r="C23" s="68" t="s">
        <v>19</v>
      </c>
      <c r="D23" s="69"/>
      <c r="E23" s="70"/>
      <c r="F23" s="70"/>
      <c r="G23" s="71"/>
      <c r="H23" s="69"/>
      <c r="I23" s="70"/>
      <c r="J23" s="70"/>
      <c r="K23" s="72"/>
      <c r="L23" s="73"/>
      <c r="M23" s="70"/>
      <c r="N23" s="70"/>
      <c r="O23" s="72"/>
    </row>
    <row r="24" ht="16.05" customHeight="1" spans="1:15" s="40" customFormat="1" x14ac:dyDescent="0.25">
      <c r="A24" s="74"/>
      <c r="B24" s="75"/>
      <c r="C24" s="76" t="s">
        <v>18</v>
      </c>
      <c r="D24" s="77"/>
      <c r="E24" s="78"/>
      <c r="F24" s="78"/>
      <c r="G24" s="79"/>
      <c r="H24" s="77"/>
      <c r="I24" s="78"/>
      <c r="J24" s="78"/>
      <c r="K24" s="80"/>
      <c r="L24" s="81"/>
      <c r="M24" s="78"/>
      <c r="N24" s="78"/>
      <c r="O24" s="80"/>
    </row>
    <row r="25" ht="16.05" customHeight="1" spans="1:15" s="40" customFormat="1" x14ac:dyDescent="0.25">
      <c r="A25" s="40"/>
      <c r="B25" s="40"/>
      <c r="C25" s="49" t="s">
        <v>19</v>
      </c>
      <c r="D25" s="50"/>
      <c r="E25" s="51"/>
      <c r="F25" s="51"/>
      <c r="G25" s="52"/>
      <c r="H25" s="50"/>
      <c r="I25" s="51"/>
      <c r="J25" s="51"/>
      <c r="K25" s="53"/>
      <c r="L25" s="54"/>
      <c r="M25" s="51"/>
      <c r="N25" s="51"/>
      <c r="O25" s="53"/>
    </row>
    <row r="26" ht="16.05" customHeight="1" spans="1:15" s="40" customFormat="1" x14ac:dyDescent="0.25">
      <c r="A26" s="40"/>
      <c r="B26" s="55"/>
      <c r="C26" s="56" t="s">
        <v>18</v>
      </c>
      <c r="D26" s="50"/>
      <c r="E26" s="51"/>
      <c r="F26" s="51"/>
      <c r="G26" s="52"/>
      <c r="H26" s="50"/>
      <c r="I26" s="51"/>
      <c r="J26" s="51"/>
      <c r="K26" s="53"/>
      <c r="L26" s="54"/>
      <c r="M26" s="51"/>
      <c r="N26" s="51"/>
      <c r="O26" s="53"/>
    </row>
    <row r="27" ht="16.05" customHeight="1" spans="1:15" s="40" customFormat="1" x14ac:dyDescent="0.25">
      <c r="A27" s="40"/>
      <c r="B27" s="40"/>
      <c r="C27" s="56" t="s">
        <v>19</v>
      </c>
      <c r="D27" s="50"/>
      <c r="E27" s="51"/>
      <c r="F27" s="51"/>
      <c r="G27" s="52"/>
      <c r="H27" s="50"/>
      <c r="I27" s="51"/>
      <c r="J27" s="51"/>
      <c r="K27" s="53"/>
      <c r="L27" s="54"/>
      <c r="M27" s="51"/>
      <c r="N27" s="51"/>
      <c r="O27" s="53"/>
    </row>
    <row r="28" ht="16.05" customHeight="1" spans="1:15" s="40" customFormat="1" x14ac:dyDescent="0.25">
      <c r="A28" s="40"/>
      <c r="B28" s="55"/>
      <c r="C28" s="56" t="s">
        <v>18</v>
      </c>
      <c r="D28" s="50"/>
      <c r="E28" s="51"/>
      <c r="F28" s="51"/>
      <c r="G28" s="57"/>
      <c r="H28" s="54"/>
      <c r="I28" s="51"/>
      <c r="J28" s="51"/>
      <c r="K28" s="58"/>
      <c r="L28" s="50"/>
      <c r="M28" s="51"/>
      <c r="N28" s="51"/>
      <c r="O28" s="57"/>
    </row>
    <row r="29" ht="16.05" customHeight="1" spans="1:15" s="40" customFormat="1" x14ac:dyDescent="0.25">
      <c r="A29" s="40"/>
      <c r="B29" s="40"/>
      <c r="C29" s="56" t="s">
        <v>19</v>
      </c>
      <c r="D29" s="50"/>
      <c r="E29" s="51"/>
      <c r="F29" s="51"/>
      <c r="G29" s="57"/>
      <c r="H29" s="54"/>
      <c r="I29" s="51"/>
      <c r="J29" s="51"/>
      <c r="K29" s="58"/>
      <c r="L29" s="50"/>
      <c r="M29" s="51"/>
      <c r="N29" s="51"/>
      <c r="O29" s="57"/>
    </row>
    <row r="30" ht="16.05" customHeight="1" spans="1:15" s="40" customFormat="1" x14ac:dyDescent="0.25">
      <c r="A30" s="40"/>
      <c r="B30" s="59"/>
      <c r="C30" s="49" t="s">
        <v>18</v>
      </c>
      <c r="D30" s="54"/>
      <c r="E30" s="51"/>
      <c r="F30" s="51"/>
      <c r="G30" s="57"/>
      <c r="H30" s="54"/>
      <c r="I30" s="51"/>
      <c r="J30" s="51"/>
      <c r="K30" s="57"/>
      <c r="L30" s="54"/>
      <c r="M30" s="51"/>
      <c r="N30" s="51"/>
      <c r="O30" s="57"/>
    </row>
    <row r="31" ht="16.05" customHeight="1" spans="1:15" s="40" customFormat="1" x14ac:dyDescent="0.25">
      <c r="A31" s="40"/>
      <c r="B31" s="40"/>
      <c r="C31" s="49" t="s">
        <v>19</v>
      </c>
      <c r="D31" s="54"/>
      <c r="E31" s="51"/>
      <c r="F31" s="51"/>
      <c r="G31" s="57"/>
      <c r="H31" s="54"/>
      <c r="I31" s="51"/>
      <c r="J31" s="51"/>
      <c r="K31" s="57"/>
      <c r="L31" s="54"/>
      <c r="M31" s="51"/>
      <c r="N31" s="51"/>
      <c r="O31" s="57"/>
    </row>
    <row r="32" ht="16.05" customHeight="1" spans="1:15" s="40" customFormat="1" x14ac:dyDescent="0.25">
      <c r="A32" s="40"/>
      <c r="B32" s="55"/>
      <c r="C32" s="60" t="s">
        <v>18</v>
      </c>
      <c r="D32" s="50"/>
      <c r="E32" s="51"/>
      <c r="F32" s="51"/>
      <c r="G32" s="57"/>
      <c r="H32" s="54"/>
      <c r="I32" s="51"/>
      <c r="J32" s="51"/>
      <c r="K32" s="58"/>
      <c r="L32" s="50"/>
      <c r="M32" s="51"/>
      <c r="N32" s="51"/>
      <c r="O32" s="57"/>
    </row>
    <row r="33" ht="16.05" customHeight="1" spans="1:15" s="40" customFormat="1" x14ac:dyDescent="0.25">
      <c r="A33" s="40"/>
      <c r="B33" s="40"/>
      <c r="C33" s="56" t="s">
        <v>19</v>
      </c>
      <c r="D33" s="50"/>
      <c r="E33" s="51"/>
      <c r="F33" s="51"/>
      <c r="G33" s="57"/>
      <c r="H33" s="54"/>
      <c r="I33" s="51"/>
      <c r="J33" s="51"/>
      <c r="K33" s="58"/>
      <c r="L33" s="50"/>
      <c r="M33" s="51"/>
      <c r="N33" s="51"/>
      <c r="O33" s="57"/>
    </row>
    <row r="34" ht="16.05" customHeight="1" spans="1:15" s="40" customFormat="1" x14ac:dyDescent="0.25">
      <c r="A34" s="40"/>
      <c r="B34" s="61"/>
      <c r="C34" s="62" t="s">
        <v>18</v>
      </c>
      <c r="D34" s="63"/>
      <c r="E34" s="64"/>
      <c r="F34" s="64"/>
      <c r="G34" s="65"/>
      <c r="H34" s="63"/>
      <c r="I34" s="64"/>
      <c r="J34" s="64"/>
      <c r="K34" s="66"/>
      <c r="L34" s="67"/>
      <c r="M34" s="64"/>
      <c r="N34" s="64"/>
      <c r="O34" s="66"/>
    </row>
    <row r="35" ht="16.05" customHeight="1" spans="1:15" s="40" customFormat="1" x14ac:dyDescent="0.25">
      <c r="A35" s="40"/>
      <c r="B35" s="40"/>
      <c r="C35" s="68" t="s">
        <v>19</v>
      </c>
      <c r="D35" s="69"/>
      <c r="E35" s="70"/>
      <c r="F35" s="70"/>
      <c r="G35" s="71"/>
      <c r="H35" s="69"/>
      <c r="I35" s="70"/>
      <c r="J35" s="70"/>
      <c r="K35" s="72"/>
      <c r="L35" s="73"/>
      <c r="M35" s="70"/>
      <c r="N35" s="70"/>
      <c r="O35" s="72"/>
    </row>
    <row r="36" ht="19.95" customHeight="1" hidden="1" spans="1:15" s="40" customFormat="1" x14ac:dyDescent="0.25">
      <c r="A36" s="82"/>
      <c r="B36" s="61"/>
      <c r="C36" s="62" t="s">
        <v>18</v>
      </c>
      <c r="D36" s="63"/>
      <c r="E36" s="64"/>
      <c r="F36" s="64"/>
      <c r="G36" s="65"/>
      <c r="H36" s="63"/>
      <c r="I36" s="64"/>
      <c r="J36" s="64"/>
      <c r="K36" s="66"/>
      <c r="L36" s="67"/>
      <c r="M36" s="64"/>
      <c r="N36" s="64"/>
      <c r="O36" s="66"/>
    </row>
    <row r="37" ht="19.95" customHeight="1" hidden="1" spans="1:15" s="40" customFormat="1" x14ac:dyDescent="0.25">
      <c r="A37" s="82"/>
      <c r="B37" s="40"/>
      <c r="C37" s="49" t="s">
        <v>19</v>
      </c>
      <c r="D37" s="50"/>
      <c r="E37" s="51"/>
      <c r="F37" s="51"/>
      <c r="G37" s="52"/>
      <c r="H37" s="50"/>
      <c r="I37" s="51"/>
      <c r="J37" s="51"/>
      <c r="K37" s="53"/>
      <c r="L37" s="54"/>
      <c r="M37" s="51"/>
      <c r="N37" s="51"/>
      <c r="O37" s="53"/>
    </row>
    <row r="38" ht="19.95" customHeight="1" hidden="1" spans="1:15" s="40" customFormat="1" x14ac:dyDescent="0.25">
      <c r="A38" s="82"/>
      <c r="B38" s="55"/>
      <c r="C38" s="49" t="s">
        <v>18</v>
      </c>
      <c r="D38" s="50"/>
      <c r="E38" s="51"/>
      <c r="F38" s="51"/>
      <c r="G38" s="52"/>
      <c r="H38" s="50"/>
      <c r="I38" s="51"/>
      <c r="J38" s="51"/>
      <c r="K38" s="53"/>
      <c r="L38" s="54"/>
      <c r="M38" s="51"/>
      <c r="N38" s="51"/>
      <c r="O38" s="53"/>
    </row>
    <row r="39" ht="19.95" customHeight="1" hidden="1" spans="1:15" s="40" customFormat="1" x14ac:dyDescent="0.25">
      <c r="A39" s="82"/>
      <c r="B39" s="40"/>
      <c r="C39" s="49" t="s">
        <v>19</v>
      </c>
      <c r="D39" s="50"/>
      <c r="E39" s="51"/>
      <c r="F39" s="51"/>
      <c r="G39" s="52"/>
      <c r="H39" s="50"/>
      <c r="I39" s="51"/>
      <c r="J39" s="51"/>
      <c r="K39" s="53"/>
      <c r="L39" s="54"/>
      <c r="M39" s="51"/>
      <c r="N39" s="51"/>
      <c r="O39" s="53"/>
    </row>
    <row r="40" ht="16.95" customHeight="1" hidden="1" spans="1:15" s="40" customFormat="1" x14ac:dyDescent="0.25">
      <c r="A40" s="82"/>
      <c r="B40" s="55"/>
      <c r="C40" s="56" t="s">
        <v>18</v>
      </c>
      <c r="D40" s="50"/>
      <c r="E40" s="51"/>
      <c r="F40" s="51"/>
      <c r="G40" s="52"/>
      <c r="H40" s="50"/>
      <c r="I40" s="51"/>
      <c r="J40" s="51"/>
      <c r="K40" s="53"/>
      <c r="L40" s="54"/>
      <c r="M40" s="51"/>
      <c r="N40" s="51"/>
      <c r="O40" s="53"/>
    </row>
    <row r="41" ht="16.95" customHeight="1" hidden="1" spans="1:15" s="40" customFormat="1" x14ac:dyDescent="0.25">
      <c r="A41" s="82"/>
      <c r="B41" s="40"/>
      <c r="C41" s="56" t="s">
        <v>19</v>
      </c>
      <c r="D41" s="50"/>
      <c r="E41" s="51"/>
      <c r="F41" s="51"/>
      <c r="G41" s="52"/>
      <c r="H41" s="50"/>
      <c r="I41" s="51"/>
      <c r="J41" s="51"/>
      <c r="K41" s="53"/>
      <c r="L41" s="54"/>
      <c r="M41" s="51"/>
      <c r="N41" s="51"/>
      <c r="O41" s="53"/>
    </row>
    <row r="42" ht="19.95" customHeight="1" hidden="1" spans="1:15" s="40" customFormat="1" x14ac:dyDescent="0.25">
      <c r="A42" s="82"/>
      <c r="B42" s="59"/>
      <c r="C42" s="56" t="s">
        <v>18</v>
      </c>
      <c r="D42" s="50"/>
      <c r="E42" s="51"/>
      <c r="F42" s="51"/>
      <c r="G42" s="57"/>
      <c r="H42" s="54"/>
      <c r="I42" s="51"/>
      <c r="J42" s="51"/>
      <c r="K42" s="58"/>
      <c r="L42" s="50"/>
      <c r="M42" s="51"/>
      <c r="N42" s="51"/>
      <c r="O42" s="57"/>
    </row>
    <row r="43" ht="19.95" customHeight="1" hidden="1" spans="1:15" s="40" customFormat="1" x14ac:dyDescent="0.25">
      <c r="A43" s="82"/>
      <c r="B43" s="40"/>
      <c r="C43" s="56" t="s">
        <v>19</v>
      </c>
      <c r="D43" s="50"/>
      <c r="E43" s="51"/>
      <c r="F43" s="51"/>
      <c r="G43" s="57"/>
      <c r="H43" s="54"/>
      <c r="I43" s="51"/>
      <c r="J43" s="51"/>
      <c r="K43" s="58"/>
      <c r="L43" s="50"/>
      <c r="M43" s="51"/>
      <c r="N43" s="51"/>
      <c r="O43" s="57"/>
    </row>
    <row r="44" ht="16.95" customHeight="1" hidden="1" spans="1:15" s="40" customFormat="1" x14ac:dyDescent="0.25">
      <c r="A44" s="82"/>
      <c r="B44" s="61"/>
      <c r="C44" s="83" t="s">
        <v>18</v>
      </c>
      <c r="D44" s="63"/>
      <c r="E44" s="64"/>
      <c r="F44" s="64"/>
      <c r="G44" s="84"/>
      <c r="H44" s="67"/>
      <c r="I44" s="64"/>
      <c r="J44" s="64"/>
      <c r="K44" s="85"/>
      <c r="L44" s="63"/>
      <c r="M44" s="64"/>
      <c r="N44" s="64"/>
      <c r="O44" s="84"/>
    </row>
    <row r="45" ht="16.95" customHeight="1" hidden="1" spans="1:15" s="40" customFormat="1" x14ac:dyDescent="0.25">
      <c r="A45" s="86"/>
      <c r="B45" s="40"/>
      <c r="C45" s="60" t="s">
        <v>19</v>
      </c>
      <c r="D45" s="87"/>
      <c r="E45" s="88"/>
      <c r="F45" s="88"/>
      <c r="G45" s="89"/>
      <c r="H45" s="90"/>
      <c r="I45" s="88"/>
      <c r="J45" s="88"/>
      <c r="K45" s="91"/>
      <c r="L45" s="87"/>
      <c r="M45" s="88"/>
      <c r="N45" s="88"/>
      <c r="O45" s="89"/>
    </row>
    <row r="46" ht="16.95" customHeight="1" hidden="1" spans="1:15" s="40" customFormat="1" x14ac:dyDescent="0.25">
      <c r="A46" s="74"/>
      <c r="B46" s="92"/>
      <c r="C46" s="76"/>
      <c r="D46" s="77"/>
      <c r="E46" s="78"/>
      <c r="F46" s="78"/>
      <c r="G46" s="79"/>
      <c r="H46" s="77"/>
      <c r="I46" s="78"/>
      <c r="J46" s="78"/>
      <c r="K46" s="80"/>
      <c r="L46" s="81"/>
      <c r="M46" s="78"/>
      <c r="N46" s="78"/>
      <c r="O46" s="80"/>
    </row>
    <row r="47" ht="16.95" customHeight="1" hidden="1" spans="1:15" s="40" customFormat="1" x14ac:dyDescent="0.25">
      <c r="A47" s="40"/>
      <c r="B47" s="40"/>
      <c r="C47" s="49"/>
      <c r="D47" s="50"/>
      <c r="E47" s="51"/>
      <c r="F47" s="51"/>
      <c r="G47" s="52"/>
      <c r="H47" s="50"/>
      <c r="I47" s="51"/>
      <c r="J47" s="51"/>
      <c r="K47" s="53"/>
      <c r="L47" s="54"/>
      <c r="M47" s="51"/>
      <c r="N47" s="51"/>
      <c r="O47" s="53"/>
    </row>
    <row r="48" ht="16.95" customHeight="1" hidden="1" spans="1:15" s="40" customFormat="1" x14ac:dyDescent="0.25">
      <c r="A48" s="93"/>
      <c r="B48" s="59"/>
      <c r="C48" s="49"/>
      <c r="D48" s="50"/>
      <c r="E48" s="51"/>
      <c r="F48" s="51"/>
      <c r="G48" s="52"/>
      <c r="H48" s="50"/>
      <c r="I48" s="51"/>
      <c r="J48" s="51"/>
      <c r="K48" s="53"/>
      <c r="L48" s="54"/>
      <c r="M48" s="51"/>
      <c r="N48" s="51"/>
      <c r="O48" s="53"/>
    </row>
    <row r="49" ht="16.95" customHeight="1" hidden="1" spans="1:15" s="40" customFormat="1" x14ac:dyDescent="0.25">
      <c r="A49" s="40"/>
      <c r="B49" s="40"/>
      <c r="C49" s="49"/>
      <c r="D49" s="50"/>
      <c r="E49" s="51"/>
      <c r="F49" s="51"/>
      <c r="G49" s="52"/>
      <c r="H49" s="50"/>
      <c r="I49" s="51"/>
      <c r="J49" s="51"/>
      <c r="K49" s="53"/>
      <c r="L49" s="54"/>
      <c r="M49" s="51"/>
      <c r="N49" s="51"/>
      <c r="O49" s="53"/>
    </row>
    <row r="50" ht="16.95" customHeight="1" hidden="1" spans="1:15" s="40" customFormat="1" x14ac:dyDescent="0.25">
      <c r="A50" s="93"/>
      <c r="B50" s="55"/>
      <c r="C50" s="49"/>
      <c r="D50" s="50"/>
      <c r="E50" s="51"/>
      <c r="F50" s="51"/>
      <c r="G50" s="52"/>
      <c r="H50" s="50"/>
      <c r="I50" s="51"/>
      <c r="J50" s="51"/>
      <c r="K50" s="53"/>
      <c r="L50" s="54"/>
      <c r="M50" s="51"/>
      <c r="N50" s="51"/>
      <c r="O50" s="53"/>
    </row>
    <row r="51" ht="16.95" customHeight="1" hidden="1" spans="1:15" s="40" customFormat="1" x14ac:dyDescent="0.25">
      <c r="A51" s="40"/>
      <c r="B51" s="40"/>
      <c r="C51" s="49"/>
      <c r="D51" s="50"/>
      <c r="E51" s="51"/>
      <c r="F51" s="51"/>
      <c r="G51" s="52"/>
      <c r="H51" s="50"/>
      <c r="I51" s="51"/>
      <c r="J51" s="51"/>
      <c r="K51" s="53"/>
      <c r="L51" s="54"/>
      <c r="M51" s="51"/>
      <c r="N51" s="51"/>
      <c r="O51" s="53"/>
    </row>
    <row r="52" ht="16.95" customHeight="1" hidden="1" spans="1:15" s="40" customFormat="1" x14ac:dyDescent="0.25">
      <c r="A52" s="93"/>
      <c r="B52" s="55"/>
      <c r="C52" s="56"/>
      <c r="D52" s="50"/>
      <c r="E52" s="51"/>
      <c r="F52" s="51"/>
      <c r="G52" s="52"/>
      <c r="H52" s="50"/>
      <c r="I52" s="51"/>
      <c r="J52" s="51"/>
      <c r="K52" s="53"/>
      <c r="L52" s="54"/>
      <c r="M52" s="51"/>
      <c r="N52" s="51"/>
      <c r="O52" s="53"/>
    </row>
    <row r="53" ht="16.95" customHeight="1" hidden="1" spans="1:15" s="40" customFormat="1" x14ac:dyDescent="0.25">
      <c r="A53" s="40"/>
      <c r="B53" s="40"/>
      <c r="C53" s="56"/>
      <c r="D53" s="50"/>
      <c r="E53" s="51"/>
      <c r="F53" s="51"/>
      <c r="G53" s="52"/>
      <c r="H53" s="50"/>
      <c r="I53" s="51"/>
      <c r="J53" s="51"/>
      <c r="K53" s="53"/>
      <c r="L53" s="54"/>
      <c r="M53" s="51"/>
      <c r="N53" s="51"/>
      <c r="O53" s="53"/>
    </row>
    <row r="54" ht="16.95" customHeight="1" hidden="1" spans="1:15" s="40" customFormat="1" x14ac:dyDescent="0.25">
      <c r="A54" s="93"/>
      <c r="B54" s="59"/>
      <c r="C54" s="56"/>
      <c r="D54" s="50"/>
      <c r="E54" s="51"/>
      <c r="F54" s="51"/>
      <c r="G54" s="57"/>
      <c r="H54" s="54"/>
      <c r="I54" s="51"/>
      <c r="J54" s="51"/>
      <c r="K54" s="58"/>
      <c r="L54" s="50"/>
      <c r="M54" s="51"/>
      <c r="N54" s="51"/>
      <c r="O54" s="57"/>
    </row>
    <row r="55" ht="16.95" customHeight="1" hidden="1" spans="1:15" s="40" customFormat="1" x14ac:dyDescent="0.25">
      <c r="A55" s="40"/>
      <c r="B55" s="40"/>
      <c r="C55" s="56"/>
      <c r="D55" s="50"/>
      <c r="E55" s="51"/>
      <c r="F55" s="51"/>
      <c r="G55" s="57"/>
      <c r="H55" s="54"/>
      <c r="I55" s="51"/>
      <c r="J55" s="51"/>
      <c r="K55" s="58"/>
      <c r="L55" s="50"/>
      <c r="M55" s="51"/>
      <c r="N55" s="51"/>
      <c r="O55" s="57"/>
    </row>
    <row r="56" ht="16.95" customHeight="1" hidden="1" spans="1:15" s="40" customFormat="1" x14ac:dyDescent="0.25">
      <c r="A56" s="93"/>
      <c r="B56" s="61"/>
      <c r="C56" s="83"/>
      <c r="D56" s="63"/>
      <c r="E56" s="64"/>
      <c r="F56" s="64"/>
      <c r="G56" s="84"/>
      <c r="H56" s="67"/>
      <c r="I56" s="64"/>
      <c r="J56" s="64"/>
      <c r="K56" s="85"/>
      <c r="L56" s="63"/>
      <c r="M56" s="64"/>
      <c r="N56" s="64"/>
      <c r="O56" s="84"/>
    </row>
    <row r="57" ht="16.95" customHeight="1" hidden="1" spans="1:15" s="40" customFormat="1" x14ac:dyDescent="0.25">
      <c r="A57" s="40"/>
      <c r="B57" s="40"/>
      <c r="C57" s="94"/>
      <c r="D57" s="69"/>
      <c r="E57" s="70"/>
      <c r="F57" s="70"/>
      <c r="G57" s="95"/>
      <c r="H57" s="73"/>
      <c r="I57" s="70"/>
      <c r="J57" s="70"/>
      <c r="K57" s="96"/>
      <c r="L57" s="69"/>
      <c r="M57" s="70"/>
      <c r="N57" s="70"/>
      <c r="O57" s="95"/>
    </row>
    <row r="58" ht="16.95" customHeight="1" hidden="1" spans="1:15" s="40" customFormat="1" x14ac:dyDescent="0.25">
      <c r="A58" s="74"/>
      <c r="B58" s="61"/>
      <c r="C58" s="76"/>
      <c r="D58" s="77"/>
      <c r="E58" s="78"/>
      <c r="F58" s="78"/>
      <c r="G58" s="79"/>
      <c r="H58" s="77"/>
      <c r="I58" s="78"/>
      <c r="J58" s="78"/>
      <c r="K58" s="80"/>
      <c r="L58" s="81"/>
      <c r="M58" s="78"/>
      <c r="N58" s="78"/>
      <c r="O58" s="80"/>
    </row>
    <row r="59" ht="16.95" customHeight="1" hidden="1" spans="1:15" s="40" customFormat="1" x14ac:dyDescent="0.25">
      <c r="A59" s="40"/>
      <c r="B59" s="40"/>
      <c r="C59" s="49"/>
      <c r="D59" s="50"/>
      <c r="E59" s="51"/>
      <c r="F59" s="51"/>
      <c r="G59" s="52"/>
      <c r="H59" s="50"/>
      <c r="I59" s="51"/>
      <c r="J59" s="51"/>
      <c r="K59" s="53"/>
      <c r="L59" s="54"/>
      <c r="M59" s="51"/>
      <c r="N59" s="51"/>
      <c r="O59" s="53"/>
    </row>
    <row r="60" ht="16.95" customHeight="1" hidden="1" spans="1:15" s="40" customFormat="1" x14ac:dyDescent="0.25">
      <c r="A60" s="93"/>
      <c r="B60" s="55"/>
      <c r="C60" s="62"/>
      <c r="D60" s="63"/>
      <c r="E60" s="64"/>
      <c r="F60" s="64"/>
      <c r="G60" s="65"/>
      <c r="H60" s="63"/>
      <c r="I60" s="64"/>
      <c r="J60" s="64"/>
      <c r="K60" s="66"/>
      <c r="L60" s="67"/>
      <c r="M60" s="64"/>
      <c r="N60" s="64"/>
      <c r="O60" s="66"/>
    </row>
    <row r="61" ht="16.95" customHeight="1" hidden="1" spans="1:15" s="40" customFormat="1" x14ac:dyDescent="0.25">
      <c r="A61" s="40"/>
      <c r="B61" s="40"/>
      <c r="C61" s="49"/>
      <c r="D61" s="50"/>
      <c r="E61" s="51"/>
      <c r="F61" s="51"/>
      <c r="G61" s="52"/>
      <c r="H61" s="50"/>
      <c r="I61" s="51"/>
      <c r="J61" s="51"/>
      <c r="K61" s="53"/>
      <c r="L61" s="54"/>
      <c r="M61" s="51"/>
      <c r="N61" s="51"/>
      <c r="O61" s="53"/>
    </row>
    <row r="62" ht="16.95" customHeight="1" hidden="1" spans="1:15" s="40" customFormat="1" x14ac:dyDescent="0.25">
      <c r="A62" s="93"/>
      <c r="B62" s="55"/>
      <c r="C62" s="49"/>
      <c r="D62" s="50"/>
      <c r="E62" s="51"/>
      <c r="F62" s="51"/>
      <c r="G62" s="52"/>
      <c r="H62" s="50"/>
      <c r="I62" s="51"/>
      <c r="J62" s="51"/>
      <c r="K62" s="53"/>
      <c r="L62" s="54"/>
      <c r="M62" s="51"/>
      <c r="N62" s="51"/>
      <c r="O62" s="53"/>
    </row>
    <row r="63" ht="16.95" customHeight="1" hidden="1" spans="1:15" s="40" customFormat="1" x14ac:dyDescent="0.25">
      <c r="A63" s="40"/>
      <c r="B63" s="40"/>
      <c r="C63" s="49"/>
      <c r="D63" s="50"/>
      <c r="E63" s="51"/>
      <c r="F63" s="51"/>
      <c r="G63" s="52"/>
      <c r="H63" s="50"/>
      <c r="I63" s="51"/>
      <c r="J63" s="51"/>
      <c r="K63" s="53"/>
      <c r="L63" s="54"/>
      <c r="M63" s="51"/>
      <c r="N63" s="51"/>
      <c r="O63" s="53"/>
    </row>
    <row r="64" ht="16.95" customHeight="1" hidden="1" spans="1:15" s="40" customFormat="1" x14ac:dyDescent="0.25">
      <c r="A64" s="93"/>
      <c r="B64" s="55"/>
      <c r="C64" s="56"/>
      <c r="D64" s="50"/>
      <c r="E64" s="51"/>
      <c r="F64" s="51"/>
      <c r="G64" s="52"/>
      <c r="H64" s="50"/>
      <c r="I64" s="51"/>
      <c r="J64" s="51"/>
      <c r="K64" s="53"/>
      <c r="L64" s="54"/>
      <c r="M64" s="51"/>
      <c r="N64" s="51"/>
      <c r="O64" s="53"/>
    </row>
    <row r="65" ht="16.95" customHeight="1" hidden="1" spans="1:15" s="40" customFormat="1" x14ac:dyDescent="0.25">
      <c r="A65" s="40"/>
      <c r="B65" s="40"/>
      <c r="C65" s="56"/>
      <c r="D65" s="50"/>
      <c r="E65" s="51"/>
      <c r="F65" s="51"/>
      <c r="G65" s="52"/>
      <c r="H65" s="50"/>
      <c r="I65" s="51"/>
      <c r="J65" s="51"/>
      <c r="K65" s="53"/>
      <c r="L65" s="54"/>
      <c r="M65" s="51"/>
      <c r="N65" s="51"/>
      <c r="O65" s="53"/>
    </row>
    <row r="66" ht="16.95" customHeight="1" hidden="1" spans="1:15" s="40" customFormat="1" x14ac:dyDescent="0.25">
      <c r="A66" s="93"/>
      <c r="B66" s="59"/>
      <c r="C66" s="56"/>
      <c r="D66" s="50"/>
      <c r="E66" s="51"/>
      <c r="F66" s="51"/>
      <c r="G66" s="57"/>
      <c r="H66" s="54"/>
      <c r="I66" s="51"/>
      <c r="J66" s="51"/>
      <c r="K66" s="58"/>
      <c r="L66" s="50"/>
      <c r="M66" s="51"/>
      <c r="N66" s="51"/>
      <c r="O66" s="57"/>
    </row>
    <row r="67" ht="16.95" customHeight="1" hidden="1" spans="1:15" s="40" customFormat="1" x14ac:dyDescent="0.25">
      <c r="A67" s="40"/>
      <c r="B67" s="40"/>
      <c r="C67" s="56"/>
      <c r="D67" s="50"/>
      <c r="E67" s="51"/>
      <c r="F67" s="51"/>
      <c r="G67" s="57"/>
      <c r="H67" s="54"/>
      <c r="I67" s="51"/>
      <c r="J67" s="51"/>
      <c r="K67" s="58"/>
      <c r="L67" s="50"/>
      <c r="M67" s="51"/>
      <c r="N67" s="51"/>
      <c r="O67" s="57"/>
    </row>
    <row r="68" ht="16.95" customHeight="1" hidden="1" spans="1:15" s="40" customFormat="1" x14ac:dyDescent="0.25">
      <c r="A68" s="93"/>
      <c r="B68" s="61"/>
      <c r="C68" s="83"/>
      <c r="D68" s="63"/>
      <c r="E68" s="64"/>
      <c r="F68" s="64"/>
      <c r="G68" s="84"/>
      <c r="H68" s="67"/>
      <c r="I68" s="64"/>
      <c r="J68" s="64"/>
      <c r="K68" s="85"/>
      <c r="L68" s="63"/>
      <c r="M68" s="64"/>
      <c r="N68" s="64"/>
      <c r="O68" s="84"/>
    </row>
    <row r="69" ht="16.95" customHeight="1" hidden="1" spans="1:15" s="40" customFormat="1" x14ac:dyDescent="0.25">
      <c r="A69" s="40"/>
      <c r="B69" s="40"/>
      <c r="C69" s="94"/>
      <c r="D69" s="69"/>
      <c r="E69" s="70"/>
      <c r="F69" s="70"/>
      <c r="G69" s="95"/>
      <c r="H69" s="73"/>
      <c r="I69" s="70"/>
      <c r="J69" s="70"/>
      <c r="K69" s="96"/>
      <c r="L69" s="69"/>
      <c r="M69" s="70"/>
      <c r="N69" s="70"/>
      <c r="O69" s="95"/>
    </row>
    <row r="70" ht="16.95" customHeight="1" hidden="1" spans="1:15" s="40" customFormat="1" x14ac:dyDescent="0.25">
      <c r="A70" s="74"/>
      <c r="B70" s="61"/>
      <c r="C70" s="62"/>
      <c r="D70" s="63"/>
      <c r="E70" s="64"/>
      <c r="F70" s="64"/>
      <c r="G70" s="65"/>
      <c r="H70" s="63"/>
      <c r="I70" s="64"/>
      <c r="J70" s="64"/>
      <c r="K70" s="66"/>
      <c r="L70" s="67"/>
      <c r="M70" s="64"/>
      <c r="N70" s="64"/>
      <c r="O70" s="66"/>
    </row>
    <row r="71" ht="16.95" customHeight="1" hidden="1" spans="1:15" s="40" customFormat="1" x14ac:dyDescent="0.25">
      <c r="A71" s="40"/>
      <c r="B71" s="40"/>
      <c r="C71" s="49"/>
      <c r="D71" s="50"/>
      <c r="E71" s="51"/>
      <c r="F71" s="51"/>
      <c r="G71" s="52"/>
      <c r="H71" s="50"/>
      <c r="I71" s="51"/>
      <c r="J71" s="51"/>
      <c r="K71" s="53"/>
      <c r="L71" s="54"/>
      <c r="M71" s="51"/>
      <c r="N71" s="51"/>
      <c r="O71" s="53"/>
    </row>
    <row r="72" ht="16.95" customHeight="1" hidden="1" spans="1:15" s="40" customFormat="1" x14ac:dyDescent="0.25">
      <c r="A72" s="93"/>
      <c r="B72" s="55"/>
      <c r="C72" s="62"/>
      <c r="D72" s="63"/>
      <c r="E72" s="64"/>
      <c r="F72" s="64"/>
      <c r="G72" s="65"/>
      <c r="H72" s="63"/>
      <c r="I72" s="64"/>
      <c r="J72" s="64"/>
      <c r="K72" s="66"/>
      <c r="L72" s="67"/>
      <c r="M72" s="64"/>
      <c r="N72" s="64"/>
      <c r="O72" s="66"/>
    </row>
    <row r="73" ht="16.95" customHeight="1" hidden="1" spans="1:15" s="40" customFormat="1" x14ac:dyDescent="0.25">
      <c r="A73" s="40"/>
      <c r="B73" s="40"/>
      <c r="C73" s="49"/>
      <c r="D73" s="50"/>
      <c r="E73" s="51"/>
      <c r="F73" s="51"/>
      <c r="G73" s="52"/>
      <c r="H73" s="50"/>
      <c r="I73" s="51"/>
      <c r="J73" s="51"/>
      <c r="K73" s="53"/>
      <c r="L73" s="54"/>
      <c r="M73" s="51"/>
      <c r="N73" s="51"/>
      <c r="O73" s="53"/>
    </row>
    <row r="74" ht="16.95" customHeight="1" hidden="1" spans="1:15" s="40" customFormat="1" x14ac:dyDescent="0.25">
      <c r="A74" s="93"/>
      <c r="B74" s="55"/>
      <c r="C74" s="49"/>
      <c r="D74" s="50"/>
      <c r="E74" s="51"/>
      <c r="F74" s="51"/>
      <c r="G74" s="52"/>
      <c r="H74" s="50"/>
      <c r="I74" s="51"/>
      <c r="J74" s="51"/>
      <c r="K74" s="53"/>
      <c r="L74" s="54"/>
      <c r="M74" s="51"/>
      <c r="N74" s="51"/>
      <c r="O74" s="53"/>
    </row>
    <row r="75" ht="16.95" customHeight="1" hidden="1" spans="1:15" s="40" customFormat="1" x14ac:dyDescent="0.25">
      <c r="A75" s="40"/>
      <c r="B75" s="40"/>
      <c r="C75" s="49"/>
      <c r="D75" s="50"/>
      <c r="E75" s="51"/>
      <c r="F75" s="51"/>
      <c r="G75" s="52"/>
      <c r="H75" s="50"/>
      <c r="I75" s="51"/>
      <c r="J75" s="51"/>
      <c r="K75" s="53"/>
      <c r="L75" s="54"/>
      <c r="M75" s="51"/>
      <c r="N75" s="51"/>
      <c r="O75" s="53"/>
    </row>
    <row r="76" ht="16.95" customHeight="1" hidden="1" spans="1:15" s="40" customFormat="1" x14ac:dyDescent="0.25">
      <c r="A76" s="93"/>
      <c r="B76" s="55"/>
      <c r="C76" s="56"/>
      <c r="D76" s="50"/>
      <c r="E76" s="51"/>
      <c r="F76" s="51"/>
      <c r="G76" s="52"/>
      <c r="H76" s="50"/>
      <c r="I76" s="51"/>
      <c r="J76" s="51"/>
      <c r="K76" s="53"/>
      <c r="L76" s="54"/>
      <c r="M76" s="51"/>
      <c r="N76" s="51"/>
      <c r="O76" s="53"/>
    </row>
    <row r="77" ht="16.95" customHeight="1" hidden="1" spans="1:15" s="40" customFormat="1" x14ac:dyDescent="0.25">
      <c r="A77" s="40"/>
      <c r="B77" s="40"/>
      <c r="C77" s="56"/>
      <c r="D77" s="50"/>
      <c r="E77" s="51"/>
      <c r="F77" s="51"/>
      <c r="G77" s="52"/>
      <c r="H77" s="50"/>
      <c r="I77" s="51"/>
      <c r="J77" s="51"/>
      <c r="K77" s="53"/>
      <c r="L77" s="54"/>
      <c r="M77" s="51"/>
      <c r="N77" s="51"/>
      <c r="O77" s="53"/>
    </row>
    <row r="78" ht="16.95" customHeight="1" hidden="1" spans="1:15" s="40" customFormat="1" x14ac:dyDescent="0.25">
      <c r="A78" s="93"/>
      <c r="B78" s="59"/>
      <c r="C78" s="56"/>
      <c r="D78" s="50"/>
      <c r="E78" s="51"/>
      <c r="F78" s="51"/>
      <c r="G78" s="57"/>
      <c r="H78" s="54"/>
      <c r="I78" s="51"/>
      <c r="J78" s="51"/>
      <c r="K78" s="58"/>
      <c r="L78" s="50"/>
      <c r="M78" s="51"/>
      <c r="N78" s="51"/>
      <c r="O78" s="57"/>
    </row>
    <row r="79" ht="16.95" customHeight="1" hidden="1" spans="1:15" s="40" customFormat="1" x14ac:dyDescent="0.25">
      <c r="A79" s="40"/>
      <c r="B79" s="40"/>
      <c r="C79" s="56"/>
      <c r="D79" s="50"/>
      <c r="E79" s="51"/>
      <c r="F79" s="51"/>
      <c r="G79" s="57"/>
      <c r="H79" s="54"/>
      <c r="I79" s="51"/>
      <c r="J79" s="51"/>
      <c r="K79" s="58"/>
      <c r="L79" s="50"/>
      <c r="M79" s="51"/>
      <c r="N79" s="51"/>
      <c r="O79" s="57"/>
    </row>
    <row r="80" ht="16.95" customHeight="1" hidden="1" spans="1:15" s="40" customFormat="1" x14ac:dyDescent="0.25">
      <c r="A80" s="93"/>
      <c r="B80" s="61"/>
      <c r="C80" s="83"/>
      <c r="D80" s="63"/>
      <c r="E80" s="64"/>
      <c r="F80" s="64"/>
      <c r="G80" s="84"/>
      <c r="H80" s="67"/>
      <c r="I80" s="64"/>
      <c r="J80" s="64"/>
      <c r="K80" s="85"/>
      <c r="L80" s="63"/>
      <c r="M80" s="64"/>
      <c r="N80" s="64"/>
      <c r="O80" s="84"/>
    </row>
    <row r="81" ht="16.95" customHeight="1" hidden="1" spans="1:15" s="40" customFormat="1" x14ac:dyDescent="0.25">
      <c r="A81" s="40"/>
      <c r="B81" s="40"/>
      <c r="C81" s="94"/>
      <c r="D81" s="87"/>
      <c r="E81" s="88"/>
      <c r="F81" s="88"/>
      <c r="G81" s="89"/>
      <c r="H81" s="90"/>
      <c r="I81" s="88"/>
      <c r="J81" s="88"/>
      <c r="K81" s="91"/>
      <c r="L81" s="87"/>
      <c r="M81" s="88"/>
      <c r="N81" s="88"/>
      <c r="O81" s="89"/>
    </row>
    <row r="82" ht="16.95" customHeight="1" spans="1:15" s="40" customFormat="1" x14ac:dyDescent="0.25">
      <c r="A82" s="97" t="s">
        <v>20</v>
      </c>
      <c r="B82" s="98"/>
      <c r="C82" s="99"/>
      <c r="D82" s="100">
        <f>SUM(D10,D12,D14,D16,D18,D20,D22,D24,D26,D28,D30,D32,D34,D36,D38,D40,D42,D44,D46,D48,D50,D52,D54,D56,D58,D60,D62,D64,D66,D68,D70,D72,D74,D76,D78,D80)</f>
        <v>21</v>
      </c>
      <c r="E82" s="101">
        <f t="shared" ref="E82:O82" si="0">SUM(E10,E12,E14,E16,E18,E20,E22,E24,E26,E28,E30,E32,E34,E36,E38,E40,E42,E44,E46,E48,E50,E52,E54,E56,E58,E60,E62,E64,E66,E68,E70,E72,E74,E76,E78,E80)</f>
        <v>0</v>
      </c>
      <c r="F82" s="101">
        <f t="shared" si="0"/>
        <v>125</v>
      </c>
      <c r="G82" s="102">
        <f t="shared" si="0"/>
        <v>0</v>
      </c>
      <c r="H82" s="100">
        <f t="shared" si="0"/>
        <v>29</v>
      </c>
      <c r="I82" s="101">
        <f t="shared" si="0"/>
        <v>0</v>
      </c>
      <c r="J82" s="101">
        <f t="shared" si="0"/>
        <v>26</v>
      </c>
      <c r="K82" s="103">
        <f t="shared" si="0"/>
        <v>0</v>
      </c>
      <c r="L82" s="104">
        <f t="shared" si="0"/>
        <v>0</v>
      </c>
      <c r="M82" s="101">
        <f t="shared" si="0"/>
        <v>0</v>
      </c>
      <c r="N82" s="101">
        <f t="shared" si="0"/>
        <v>0</v>
      </c>
      <c r="O82" s="103">
        <f t="shared" si="0"/>
        <v>0</v>
      </c>
    </row>
    <row r="83" ht="16.95" customHeight="1" spans="1:15" s="40" customFormat="1" x14ac:dyDescent="0.25">
      <c r="A83" s="105"/>
      <c r="B83" s="106"/>
      <c r="C83" s="107"/>
      <c r="D83" s="108">
        <f>SUM(D11,D13,D15,D17,D19,D21,D23,D25,D27,D29,D31,D33,D35,D37,D39,D41,D43,D45,D47,D49,D51,D53,D55,D57,D59,D61,D63,D65,D67,D69,D71,D73,D75,D77,D79,D81)</f>
        <v>0</v>
      </c>
      <c r="E83" s="109">
        <f t="shared" ref="E83:O83" si="1">SUM(E11,E13,E15,E17,E19,E21,E23,E25,E27,E29,E31,E33,E35,E37,E39,E41,E43,E45,E47,E49,E51,E53,E55,E57,E59,E61,E63,E65,E67,E69,E71,E73,E75,E77,E79,E81)</f>
        <v>0</v>
      </c>
      <c r="F83" s="109">
        <f t="shared" si="1"/>
        <v>0</v>
      </c>
      <c r="G83" s="110">
        <f t="shared" si="1"/>
        <v>0</v>
      </c>
      <c r="H83" s="108">
        <f t="shared" si="1"/>
        <v>30</v>
      </c>
      <c r="I83" s="109">
        <f t="shared" si="1"/>
        <v>0</v>
      </c>
      <c r="J83" s="109">
        <f t="shared" si="1"/>
        <v>0</v>
      </c>
      <c r="K83" s="111">
        <f t="shared" si="1"/>
        <v>0</v>
      </c>
      <c r="L83" s="112">
        <f t="shared" si="1"/>
        <v>0</v>
      </c>
      <c r="M83" s="109">
        <f t="shared" si="1"/>
        <v>0</v>
      </c>
      <c r="N83" s="109">
        <f t="shared" si="1"/>
        <v>0</v>
      </c>
      <c r="O83" s="111">
        <f t="shared" si="1"/>
        <v>0</v>
      </c>
    </row>
    <row r="84" ht="9.75" customHeight="1" spans="1:15" x14ac:dyDescent="0.25">
      <c r="A84" s="113"/>
      <c r="B84" s="113"/>
      <c r="C84" s="114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</row>
    <row r="85" ht="16.95" customHeight="1" spans="1:15" x14ac:dyDescent="0.25">
      <c r="A85" s="116" t="s">
        <v>21</v>
      </c>
      <c r="B85" s="117"/>
      <c r="C85" s="117"/>
      <c r="D85" s="117"/>
      <c r="E85" s="117"/>
      <c r="F85" s="117"/>
      <c r="G85" s="118"/>
      <c r="H85" s="119" t="s">
        <v>22</v>
      </c>
      <c r="I85" s="120"/>
      <c r="J85" s="120"/>
      <c r="K85" s="120"/>
      <c r="L85" s="120"/>
      <c r="M85" s="120"/>
      <c r="N85" s="120"/>
      <c r="O85" s="121"/>
    </row>
    <row r="86" ht="16.95" customHeight="1" spans="1:15" x14ac:dyDescent="0.25">
      <c r="A86" s="122"/>
      <c r="B86" s="123"/>
      <c r="C86" s="123"/>
      <c r="D86" s="123"/>
      <c r="E86" s="123"/>
      <c r="F86" s="123"/>
      <c r="G86" s="124"/>
      <c r="H86" s="122"/>
      <c r="I86" s="123"/>
      <c r="J86" s="123"/>
      <c r="K86" s="123"/>
      <c r="L86" s="123"/>
      <c r="M86" s="123"/>
      <c r="N86" s="123"/>
      <c r="O86" s="124"/>
    </row>
    <row r="87" ht="16.95" customHeight="1" spans="1:15" x14ac:dyDescent="0.25">
      <c r="A87" s="125"/>
      <c r="B87" s="126"/>
      <c r="C87" s="126"/>
      <c r="D87" s="126"/>
      <c r="E87" s="126"/>
      <c r="F87" s="126"/>
      <c r="G87" s="127"/>
      <c r="H87" s="128"/>
      <c r="I87" s="129"/>
      <c r="J87" s="129"/>
      <c r="K87" s="129"/>
      <c r="L87" s="129"/>
      <c r="M87" s="129"/>
      <c r="N87" s="129"/>
      <c r="O87" s="130"/>
    </row>
    <row r="88" ht="16.95" customHeight="1" spans="1:15" x14ac:dyDescent="0.25">
      <c r="A88" s="122"/>
      <c r="B88" s="123"/>
      <c r="C88" s="123"/>
      <c r="D88" s="123"/>
      <c r="E88" s="123"/>
      <c r="F88" s="123"/>
      <c r="G88" s="124"/>
      <c r="H88" s="131"/>
      <c r="I88" s="132"/>
      <c r="J88" s="132"/>
      <c r="K88" s="132"/>
      <c r="L88" s="132"/>
      <c r="M88" s="132"/>
      <c r="N88" s="132"/>
      <c r="O88" s="133"/>
    </row>
    <row r="89" ht="16.95" customHeight="1" spans="1:15" x14ac:dyDescent="0.25">
      <c r="A89" s="122"/>
      <c r="B89" s="123"/>
      <c r="C89" s="123"/>
      <c r="D89" s="123"/>
      <c r="E89" s="123"/>
      <c r="F89" s="123"/>
      <c r="G89" s="124"/>
      <c r="H89" s="122"/>
      <c r="I89" s="123"/>
      <c r="J89" s="123"/>
      <c r="K89" s="123"/>
      <c r="L89" s="123"/>
      <c r="M89" s="123"/>
      <c r="N89" s="123"/>
      <c r="O89" s="124"/>
    </row>
    <row r="90" ht="16.95" customHeight="1" spans="1:15" x14ac:dyDescent="0.25">
      <c r="A90" s="122"/>
      <c r="B90" s="123"/>
      <c r="C90" s="123"/>
      <c r="D90" s="123"/>
      <c r="E90" s="123"/>
      <c r="F90" s="123"/>
      <c r="G90" s="124"/>
      <c r="H90" s="131"/>
      <c r="I90" s="132"/>
      <c r="J90" s="132"/>
      <c r="K90" s="132"/>
      <c r="L90" s="132"/>
      <c r="M90" s="132"/>
      <c r="N90" s="132"/>
      <c r="O90" s="133"/>
    </row>
    <row r="91" ht="16.95" customHeight="1" spans="1:15" x14ac:dyDescent="0.25">
      <c r="A91" s="134"/>
      <c r="B91" s="135"/>
      <c r="C91" s="135"/>
      <c r="D91" s="135"/>
      <c r="E91" s="135"/>
      <c r="F91" s="135"/>
      <c r="G91" s="136"/>
      <c r="H91" s="134"/>
      <c r="I91" s="135"/>
      <c r="J91" s="135"/>
      <c r="K91" s="135"/>
      <c r="L91" s="135"/>
      <c r="M91" s="135"/>
      <c r="N91" s="135"/>
      <c r="O91" s="136"/>
    </row>
    <row r="92" ht="13.95" customHeight="1" spans="1: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ht="13.95" customHeight="1" spans="1: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ht="13.95" customHeight="1" spans="1:15" x14ac:dyDescent="0.25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ht="13.95" customHeight="1" spans="1:15" x14ac:dyDescent="0.25">
      <c r="A95" s="137"/>
      <c r="B95" s="137"/>
      <c r="C95" s="137"/>
      <c r="D95" s="138"/>
      <c r="E95" s="1"/>
      <c r="F95" s="1"/>
      <c r="G95" s="1"/>
      <c r="H95" s="1"/>
      <c r="I95" s="1"/>
      <c r="J95" s="137"/>
      <c r="K95" s="137"/>
      <c r="L95" s="137"/>
      <c r="M95" s="137"/>
      <c r="N95" s="137"/>
      <c r="O95" s="137"/>
    </row>
    <row r="96" ht="19.5" customHeight="1" spans="1:15" x14ac:dyDescent="0.25">
      <c r="A96" s="139" t="s">
        <v>23</v>
      </c>
      <c r="B96" s="139"/>
      <c r="C96" s="139"/>
      <c r="D96" s="139"/>
      <c r="E96" s="140"/>
      <c r="F96" s="140"/>
      <c r="G96" s="140"/>
      <c r="H96" s="140"/>
      <c r="I96" s="1"/>
      <c r="J96" s="139" t="s">
        <v>24</v>
      </c>
      <c r="K96" s="139"/>
      <c r="L96" s="139"/>
      <c r="M96" s="139"/>
      <c r="N96" s="139"/>
      <c r="O96" s="139"/>
    </row>
  </sheetData>
  <mergeCells count="28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A82:C83"/>
    <mergeCell ref="A85:G85"/>
    <mergeCell ref="H85:O85"/>
    <mergeCell ref="A86:G86"/>
    <mergeCell ref="H86:O86"/>
    <mergeCell ref="A87:G87"/>
    <mergeCell ref="H87:O87"/>
    <mergeCell ref="A88:G88"/>
    <mergeCell ref="H88:O88"/>
    <mergeCell ref="A89:G89"/>
    <mergeCell ref="H89:O89"/>
    <mergeCell ref="A90:G90"/>
    <mergeCell ref="H90:O90"/>
    <mergeCell ref="A91:G91"/>
    <mergeCell ref="H91:O91"/>
    <mergeCell ref="A96:D96"/>
    <mergeCell ref="J96:O96"/>
  </mergeCells>
  <printOptions horizontalCentered="1" verticalCentered="1"/>
  <pageMargins left="0" right="0" top="0.5511811023622047" bottom="0.15748031496062992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</sheetPr>
  <dimension ref="A1:N36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9" style="3" customWidth="1"/>
    <col min="2" max="2" width="7" style="3" customWidth="1"/>
    <col min="3" max="3" width="7.59765625" style="3" customWidth="1"/>
    <col min="4" max="6" width="8.59765625" style="3" customWidth="1"/>
    <col min="7" max="7" width="10.09765625" style="3" customWidth="1"/>
    <col min="8" max="9" width="7.8984375" style="3" customWidth="1"/>
    <col min="10" max="10" width="15" style="3" customWidth="1"/>
    <col min="11" max="12" width="9.59765625" style="3" customWidth="1"/>
    <col min="13" max="13" width="19.09765625" style="3" customWidth="1"/>
    <col min="14" max="256" width="8.69921875" style="3" customWidth="1"/>
    <col min="257" max="257" width="9.19921875" style="3" customWidth="1"/>
    <col min="258" max="258" width="7" style="3" customWidth="1"/>
    <col min="259" max="259" width="7.59765625" style="3" customWidth="1"/>
    <col min="260" max="262" width="9.09765625" style="3" customWidth="1"/>
    <col min="263" max="263" width="10.09765625" style="3" customWidth="1"/>
    <col min="264" max="265" width="7.8984375" style="3" customWidth="1"/>
    <col min="266" max="266" width="15" style="3" customWidth="1"/>
    <col min="267" max="268" width="9.8984375" style="3" customWidth="1"/>
    <col min="269" max="269" width="18.69921875" style="3" customWidth="1"/>
    <col min="270" max="512" width="8.69921875" style="3" customWidth="1"/>
    <col min="513" max="513" width="9.19921875" style="3" customWidth="1"/>
    <col min="514" max="514" width="7" style="3" customWidth="1"/>
    <col min="515" max="515" width="7.59765625" style="3" customWidth="1"/>
    <col min="516" max="518" width="9.09765625" style="3" customWidth="1"/>
    <col min="519" max="519" width="10.09765625" style="3" customWidth="1"/>
    <col min="520" max="521" width="7.8984375" style="3" customWidth="1"/>
    <col min="522" max="522" width="15" style="3" customWidth="1"/>
    <col min="523" max="524" width="9.8984375" style="3" customWidth="1"/>
    <col min="525" max="525" width="18.69921875" style="3" customWidth="1"/>
    <col min="526" max="768" width="8.69921875" style="3" customWidth="1"/>
    <col min="769" max="769" width="9.19921875" style="3" customWidth="1"/>
    <col min="770" max="770" width="7" style="3" customWidth="1"/>
    <col min="771" max="771" width="7.59765625" style="3" customWidth="1"/>
    <col min="772" max="774" width="9.09765625" style="3" customWidth="1"/>
    <col min="775" max="775" width="10.09765625" style="3" customWidth="1"/>
    <col min="776" max="777" width="7.8984375" style="3" customWidth="1"/>
    <col min="778" max="778" width="15" style="3" customWidth="1"/>
    <col min="779" max="780" width="9.8984375" style="3" customWidth="1"/>
    <col min="781" max="781" width="18.69921875" style="3" customWidth="1"/>
    <col min="782" max="1024" width="8.69921875" style="3" customWidth="1"/>
    <col min="1025" max="1025" width="9.19921875" style="3" customWidth="1"/>
    <col min="1026" max="1026" width="7" style="3" customWidth="1"/>
    <col min="1027" max="1027" width="7.59765625" style="3" customWidth="1"/>
    <col min="1028" max="1030" width="9.09765625" style="3" customWidth="1"/>
    <col min="1031" max="1031" width="10.09765625" style="3" customWidth="1"/>
    <col min="1032" max="1033" width="7.8984375" style="3" customWidth="1"/>
    <col min="1034" max="1034" width="15" style="3" customWidth="1"/>
    <col min="1035" max="1036" width="9.8984375" style="3" customWidth="1"/>
    <col min="1037" max="1037" width="18.69921875" style="3" customWidth="1"/>
    <col min="1038" max="1280" width="8.69921875" style="3" customWidth="1"/>
    <col min="1281" max="1281" width="9.19921875" style="3" customWidth="1"/>
    <col min="1282" max="1282" width="7" style="3" customWidth="1"/>
    <col min="1283" max="1283" width="7.59765625" style="3" customWidth="1"/>
    <col min="1284" max="1286" width="9.09765625" style="3" customWidth="1"/>
    <col min="1287" max="1287" width="10.09765625" style="3" customWidth="1"/>
    <col min="1288" max="1289" width="7.8984375" style="3" customWidth="1"/>
    <col min="1290" max="1290" width="15" style="3" customWidth="1"/>
    <col min="1291" max="1292" width="9.8984375" style="3" customWidth="1"/>
    <col min="1293" max="1293" width="18.69921875" style="3" customWidth="1"/>
    <col min="1294" max="1536" width="8.69921875" style="3" customWidth="1"/>
    <col min="1537" max="1537" width="9.19921875" style="3" customWidth="1"/>
    <col min="1538" max="1538" width="7" style="3" customWidth="1"/>
    <col min="1539" max="1539" width="7.59765625" style="3" customWidth="1"/>
    <col min="1540" max="1542" width="9.09765625" style="3" customWidth="1"/>
    <col min="1543" max="1543" width="10.09765625" style="3" customWidth="1"/>
    <col min="1544" max="1545" width="7.8984375" style="3" customWidth="1"/>
    <col min="1546" max="1546" width="15" style="3" customWidth="1"/>
    <col min="1547" max="1548" width="9.8984375" style="3" customWidth="1"/>
    <col min="1549" max="1549" width="18.69921875" style="3" customWidth="1"/>
    <col min="1550" max="1792" width="8.69921875" style="3" customWidth="1"/>
    <col min="1793" max="1793" width="9.19921875" style="3" customWidth="1"/>
    <col min="1794" max="1794" width="7" style="3" customWidth="1"/>
    <col min="1795" max="1795" width="7.59765625" style="3" customWidth="1"/>
    <col min="1796" max="1798" width="9.09765625" style="3" customWidth="1"/>
    <col min="1799" max="1799" width="10.09765625" style="3" customWidth="1"/>
    <col min="1800" max="1801" width="7.8984375" style="3" customWidth="1"/>
    <col min="1802" max="1802" width="15" style="3" customWidth="1"/>
    <col min="1803" max="1804" width="9.8984375" style="3" customWidth="1"/>
    <col min="1805" max="1805" width="18.69921875" style="3" customWidth="1"/>
    <col min="1806" max="2048" width="8.69921875" style="3" customWidth="1"/>
    <col min="2049" max="2049" width="9.19921875" style="3" customWidth="1"/>
    <col min="2050" max="2050" width="7" style="3" customWidth="1"/>
    <col min="2051" max="2051" width="7.59765625" style="3" customWidth="1"/>
    <col min="2052" max="2054" width="9.09765625" style="3" customWidth="1"/>
    <col min="2055" max="2055" width="10.09765625" style="3" customWidth="1"/>
    <col min="2056" max="2057" width="7.8984375" style="3" customWidth="1"/>
    <col min="2058" max="2058" width="15" style="3" customWidth="1"/>
    <col min="2059" max="2060" width="9.8984375" style="3" customWidth="1"/>
    <col min="2061" max="2061" width="18.69921875" style="3" customWidth="1"/>
    <col min="2062" max="2304" width="8.69921875" style="3" customWidth="1"/>
    <col min="2305" max="2305" width="9.19921875" style="3" customWidth="1"/>
    <col min="2306" max="2306" width="7" style="3" customWidth="1"/>
    <col min="2307" max="2307" width="7.59765625" style="3" customWidth="1"/>
    <col min="2308" max="2310" width="9.09765625" style="3" customWidth="1"/>
    <col min="2311" max="2311" width="10.09765625" style="3" customWidth="1"/>
    <col min="2312" max="2313" width="7.8984375" style="3" customWidth="1"/>
    <col min="2314" max="2314" width="15" style="3" customWidth="1"/>
    <col min="2315" max="2316" width="9.8984375" style="3" customWidth="1"/>
    <col min="2317" max="2317" width="18.69921875" style="3" customWidth="1"/>
    <col min="2318" max="2560" width="8.69921875" style="3" customWidth="1"/>
    <col min="2561" max="2561" width="9.19921875" style="3" customWidth="1"/>
    <col min="2562" max="2562" width="7" style="3" customWidth="1"/>
    <col min="2563" max="2563" width="7.59765625" style="3" customWidth="1"/>
    <col min="2564" max="2566" width="9.09765625" style="3" customWidth="1"/>
    <col min="2567" max="2567" width="10.09765625" style="3" customWidth="1"/>
    <col min="2568" max="2569" width="7.8984375" style="3" customWidth="1"/>
    <col min="2570" max="2570" width="15" style="3" customWidth="1"/>
    <col min="2571" max="2572" width="9.8984375" style="3" customWidth="1"/>
    <col min="2573" max="2573" width="18.69921875" style="3" customWidth="1"/>
    <col min="2574" max="2816" width="8.69921875" style="3" customWidth="1"/>
    <col min="2817" max="2817" width="9.19921875" style="3" customWidth="1"/>
    <col min="2818" max="2818" width="7" style="3" customWidth="1"/>
    <col min="2819" max="2819" width="7.59765625" style="3" customWidth="1"/>
    <col min="2820" max="2822" width="9.09765625" style="3" customWidth="1"/>
    <col min="2823" max="2823" width="10.09765625" style="3" customWidth="1"/>
    <col min="2824" max="2825" width="7.8984375" style="3" customWidth="1"/>
    <col min="2826" max="2826" width="15" style="3" customWidth="1"/>
    <col min="2827" max="2828" width="9.8984375" style="3" customWidth="1"/>
    <col min="2829" max="2829" width="18.69921875" style="3" customWidth="1"/>
    <col min="2830" max="3072" width="8.69921875" style="3" customWidth="1"/>
    <col min="3073" max="3073" width="9.19921875" style="3" customWidth="1"/>
    <col min="3074" max="3074" width="7" style="3" customWidth="1"/>
    <col min="3075" max="3075" width="7.59765625" style="3" customWidth="1"/>
    <col min="3076" max="3078" width="9.09765625" style="3" customWidth="1"/>
    <col min="3079" max="3079" width="10.09765625" style="3" customWidth="1"/>
    <col min="3080" max="3081" width="7.8984375" style="3" customWidth="1"/>
    <col min="3082" max="3082" width="15" style="3" customWidth="1"/>
    <col min="3083" max="3084" width="9.8984375" style="3" customWidth="1"/>
    <col min="3085" max="3085" width="18.69921875" style="3" customWidth="1"/>
    <col min="3086" max="3328" width="8.69921875" style="3" customWidth="1"/>
    <col min="3329" max="3329" width="9.19921875" style="3" customWidth="1"/>
    <col min="3330" max="3330" width="7" style="3" customWidth="1"/>
    <col min="3331" max="3331" width="7.59765625" style="3" customWidth="1"/>
    <col min="3332" max="3334" width="9.09765625" style="3" customWidth="1"/>
    <col min="3335" max="3335" width="10.09765625" style="3" customWidth="1"/>
    <col min="3336" max="3337" width="7.8984375" style="3" customWidth="1"/>
    <col min="3338" max="3338" width="15" style="3" customWidth="1"/>
    <col min="3339" max="3340" width="9.8984375" style="3" customWidth="1"/>
    <col min="3341" max="3341" width="18.69921875" style="3" customWidth="1"/>
    <col min="3342" max="3584" width="8.69921875" style="3" customWidth="1"/>
    <col min="3585" max="3585" width="9.19921875" style="3" customWidth="1"/>
    <col min="3586" max="3586" width="7" style="3" customWidth="1"/>
    <col min="3587" max="3587" width="7.59765625" style="3" customWidth="1"/>
    <col min="3588" max="3590" width="9.09765625" style="3" customWidth="1"/>
    <col min="3591" max="3591" width="10.09765625" style="3" customWidth="1"/>
    <col min="3592" max="3593" width="7.8984375" style="3" customWidth="1"/>
    <col min="3594" max="3594" width="15" style="3" customWidth="1"/>
    <col min="3595" max="3596" width="9.8984375" style="3" customWidth="1"/>
    <col min="3597" max="3597" width="18.69921875" style="3" customWidth="1"/>
    <col min="3598" max="3840" width="8.69921875" style="3" customWidth="1"/>
    <col min="3841" max="3841" width="9.19921875" style="3" customWidth="1"/>
    <col min="3842" max="3842" width="7" style="3" customWidth="1"/>
    <col min="3843" max="3843" width="7.59765625" style="3" customWidth="1"/>
    <col min="3844" max="3846" width="9.09765625" style="3" customWidth="1"/>
    <col min="3847" max="3847" width="10.09765625" style="3" customWidth="1"/>
    <col min="3848" max="3849" width="7.8984375" style="3" customWidth="1"/>
    <col min="3850" max="3850" width="15" style="3" customWidth="1"/>
    <col min="3851" max="3852" width="9.8984375" style="3" customWidth="1"/>
    <col min="3853" max="3853" width="18.69921875" style="3" customWidth="1"/>
    <col min="3854" max="4096" width="8.69921875" style="3" customWidth="1"/>
    <col min="4097" max="4097" width="9.19921875" style="3" customWidth="1"/>
    <col min="4098" max="4098" width="7" style="3" customWidth="1"/>
    <col min="4099" max="4099" width="7.59765625" style="3" customWidth="1"/>
    <col min="4100" max="4102" width="9.09765625" style="3" customWidth="1"/>
    <col min="4103" max="4103" width="10.09765625" style="3" customWidth="1"/>
    <col min="4104" max="4105" width="7.8984375" style="3" customWidth="1"/>
    <col min="4106" max="4106" width="15" style="3" customWidth="1"/>
    <col min="4107" max="4108" width="9.8984375" style="3" customWidth="1"/>
    <col min="4109" max="4109" width="18.69921875" style="3" customWidth="1"/>
    <col min="4110" max="4352" width="8.69921875" style="3" customWidth="1"/>
    <col min="4353" max="4353" width="9.19921875" style="3" customWidth="1"/>
    <col min="4354" max="4354" width="7" style="3" customWidth="1"/>
    <col min="4355" max="4355" width="7.59765625" style="3" customWidth="1"/>
    <col min="4356" max="4358" width="9.09765625" style="3" customWidth="1"/>
    <col min="4359" max="4359" width="10.09765625" style="3" customWidth="1"/>
    <col min="4360" max="4361" width="7.8984375" style="3" customWidth="1"/>
    <col min="4362" max="4362" width="15" style="3" customWidth="1"/>
    <col min="4363" max="4364" width="9.8984375" style="3" customWidth="1"/>
    <col min="4365" max="4365" width="18.69921875" style="3" customWidth="1"/>
    <col min="4366" max="4608" width="8.69921875" style="3" customWidth="1"/>
    <col min="4609" max="4609" width="9.19921875" style="3" customWidth="1"/>
    <col min="4610" max="4610" width="7" style="3" customWidth="1"/>
    <col min="4611" max="4611" width="7.59765625" style="3" customWidth="1"/>
    <col min="4612" max="4614" width="9.09765625" style="3" customWidth="1"/>
    <col min="4615" max="4615" width="10.09765625" style="3" customWidth="1"/>
    <col min="4616" max="4617" width="7.8984375" style="3" customWidth="1"/>
    <col min="4618" max="4618" width="15" style="3" customWidth="1"/>
    <col min="4619" max="4620" width="9.8984375" style="3" customWidth="1"/>
    <col min="4621" max="4621" width="18.69921875" style="3" customWidth="1"/>
    <col min="4622" max="4864" width="8.69921875" style="3" customWidth="1"/>
    <col min="4865" max="4865" width="9.19921875" style="3" customWidth="1"/>
    <col min="4866" max="4866" width="7" style="3" customWidth="1"/>
    <col min="4867" max="4867" width="7.59765625" style="3" customWidth="1"/>
    <col min="4868" max="4870" width="9.09765625" style="3" customWidth="1"/>
    <col min="4871" max="4871" width="10.09765625" style="3" customWidth="1"/>
    <col min="4872" max="4873" width="7.8984375" style="3" customWidth="1"/>
    <col min="4874" max="4874" width="15" style="3" customWidth="1"/>
    <col min="4875" max="4876" width="9.8984375" style="3" customWidth="1"/>
    <col min="4877" max="4877" width="18.69921875" style="3" customWidth="1"/>
    <col min="4878" max="5120" width="8.69921875" style="3" customWidth="1"/>
    <col min="5121" max="5121" width="9.19921875" style="3" customWidth="1"/>
    <col min="5122" max="5122" width="7" style="3" customWidth="1"/>
    <col min="5123" max="5123" width="7.59765625" style="3" customWidth="1"/>
    <col min="5124" max="5126" width="9.09765625" style="3" customWidth="1"/>
    <col min="5127" max="5127" width="10.09765625" style="3" customWidth="1"/>
    <col min="5128" max="5129" width="7.8984375" style="3" customWidth="1"/>
    <col min="5130" max="5130" width="15" style="3" customWidth="1"/>
    <col min="5131" max="5132" width="9.8984375" style="3" customWidth="1"/>
    <col min="5133" max="5133" width="18.69921875" style="3" customWidth="1"/>
    <col min="5134" max="5376" width="8.69921875" style="3" customWidth="1"/>
    <col min="5377" max="5377" width="9.19921875" style="3" customWidth="1"/>
    <col min="5378" max="5378" width="7" style="3" customWidth="1"/>
    <col min="5379" max="5379" width="7.59765625" style="3" customWidth="1"/>
    <col min="5380" max="5382" width="9.09765625" style="3" customWidth="1"/>
    <col min="5383" max="5383" width="10.09765625" style="3" customWidth="1"/>
    <col min="5384" max="5385" width="7.8984375" style="3" customWidth="1"/>
    <col min="5386" max="5386" width="15" style="3" customWidth="1"/>
    <col min="5387" max="5388" width="9.8984375" style="3" customWidth="1"/>
    <col min="5389" max="5389" width="18.69921875" style="3" customWidth="1"/>
    <col min="5390" max="5632" width="8.69921875" style="3" customWidth="1"/>
    <col min="5633" max="5633" width="9.19921875" style="3" customWidth="1"/>
    <col min="5634" max="5634" width="7" style="3" customWidth="1"/>
    <col min="5635" max="5635" width="7.59765625" style="3" customWidth="1"/>
    <col min="5636" max="5638" width="9.09765625" style="3" customWidth="1"/>
    <col min="5639" max="5639" width="10.09765625" style="3" customWidth="1"/>
    <col min="5640" max="5641" width="7.8984375" style="3" customWidth="1"/>
    <col min="5642" max="5642" width="15" style="3" customWidth="1"/>
    <col min="5643" max="5644" width="9.8984375" style="3" customWidth="1"/>
    <col min="5645" max="5645" width="18.69921875" style="3" customWidth="1"/>
    <col min="5646" max="5888" width="8.69921875" style="3" customWidth="1"/>
    <col min="5889" max="5889" width="9.19921875" style="3" customWidth="1"/>
    <col min="5890" max="5890" width="7" style="3" customWidth="1"/>
    <col min="5891" max="5891" width="7.59765625" style="3" customWidth="1"/>
    <col min="5892" max="5894" width="9.09765625" style="3" customWidth="1"/>
    <col min="5895" max="5895" width="10.09765625" style="3" customWidth="1"/>
    <col min="5896" max="5897" width="7.8984375" style="3" customWidth="1"/>
    <col min="5898" max="5898" width="15" style="3" customWidth="1"/>
    <col min="5899" max="5900" width="9.8984375" style="3" customWidth="1"/>
    <col min="5901" max="5901" width="18.69921875" style="3" customWidth="1"/>
    <col min="5902" max="6144" width="8.69921875" style="3" customWidth="1"/>
    <col min="6145" max="6145" width="9.19921875" style="3" customWidth="1"/>
    <col min="6146" max="6146" width="7" style="3" customWidth="1"/>
    <col min="6147" max="6147" width="7.59765625" style="3" customWidth="1"/>
    <col min="6148" max="6150" width="9.09765625" style="3" customWidth="1"/>
    <col min="6151" max="6151" width="10.09765625" style="3" customWidth="1"/>
    <col min="6152" max="6153" width="7.8984375" style="3" customWidth="1"/>
    <col min="6154" max="6154" width="15" style="3" customWidth="1"/>
    <col min="6155" max="6156" width="9.8984375" style="3" customWidth="1"/>
    <col min="6157" max="6157" width="18.69921875" style="3" customWidth="1"/>
    <col min="6158" max="6400" width="8.69921875" style="3" customWidth="1"/>
    <col min="6401" max="6401" width="9.19921875" style="3" customWidth="1"/>
    <col min="6402" max="6402" width="7" style="3" customWidth="1"/>
    <col min="6403" max="6403" width="7.59765625" style="3" customWidth="1"/>
    <col min="6404" max="6406" width="9.09765625" style="3" customWidth="1"/>
    <col min="6407" max="6407" width="10.09765625" style="3" customWidth="1"/>
    <col min="6408" max="6409" width="7.8984375" style="3" customWidth="1"/>
    <col min="6410" max="6410" width="15" style="3" customWidth="1"/>
    <col min="6411" max="6412" width="9.8984375" style="3" customWidth="1"/>
    <col min="6413" max="6413" width="18.69921875" style="3" customWidth="1"/>
    <col min="6414" max="6656" width="8.69921875" style="3" customWidth="1"/>
    <col min="6657" max="6657" width="9.19921875" style="3" customWidth="1"/>
    <col min="6658" max="6658" width="7" style="3" customWidth="1"/>
    <col min="6659" max="6659" width="7.59765625" style="3" customWidth="1"/>
    <col min="6660" max="6662" width="9.09765625" style="3" customWidth="1"/>
    <col min="6663" max="6663" width="10.09765625" style="3" customWidth="1"/>
    <col min="6664" max="6665" width="7.8984375" style="3" customWidth="1"/>
    <col min="6666" max="6666" width="15" style="3" customWidth="1"/>
    <col min="6667" max="6668" width="9.8984375" style="3" customWidth="1"/>
    <col min="6669" max="6669" width="18.69921875" style="3" customWidth="1"/>
    <col min="6670" max="6912" width="8.69921875" style="3" customWidth="1"/>
    <col min="6913" max="6913" width="9.19921875" style="3" customWidth="1"/>
    <col min="6914" max="6914" width="7" style="3" customWidth="1"/>
    <col min="6915" max="6915" width="7.59765625" style="3" customWidth="1"/>
    <col min="6916" max="6918" width="9.09765625" style="3" customWidth="1"/>
    <col min="6919" max="6919" width="10.09765625" style="3" customWidth="1"/>
    <col min="6920" max="6921" width="7.8984375" style="3" customWidth="1"/>
    <col min="6922" max="6922" width="15" style="3" customWidth="1"/>
    <col min="6923" max="6924" width="9.8984375" style="3" customWidth="1"/>
    <col min="6925" max="6925" width="18.69921875" style="3" customWidth="1"/>
    <col min="6926" max="7168" width="8.69921875" style="3" customWidth="1"/>
    <col min="7169" max="7169" width="9.19921875" style="3" customWidth="1"/>
    <col min="7170" max="7170" width="7" style="3" customWidth="1"/>
    <col min="7171" max="7171" width="7.59765625" style="3" customWidth="1"/>
    <col min="7172" max="7174" width="9.09765625" style="3" customWidth="1"/>
    <col min="7175" max="7175" width="10.09765625" style="3" customWidth="1"/>
    <col min="7176" max="7177" width="7.8984375" style="3" customWidth="1"/>
    <col min="7178" max="7178" width="15" style="3" customWidth="1"/>
    <col min="7179" max="7180" width="9.8984375" style="3" customWidth="1"/>
    <col min="7181" max="7181" width="18.69921875" style="3" customWidth="1"/>
    <col min="7182" max="7424" width="8.69921875" style="3" customWidth="1"/>
    <col min="7425" max="7425" width="9.19921875" style="3" customWidth="1"/>
    <col min="7426" max="7426" width="7" style="3" customWidth="1"/>
    <col min="7427" max="7427" width="7.59765625" style="3" customWidth="1"/>
    <col min="7428" max="7430" width="9.09765625" style="3" customWidth="1"/>
    <col min="7431" max="7431" width="10.09765625" style="3" customWidth="1"/>
    <col min="7432" max="7433" width="7.8984375" style="3" customWidth="1"/>
    <col min="7434" max="7434" width="15" style="3" customWidth="1"/>
    <col min="7435" max="7436" width="9.8984375" style="3" customWidth="1"/>
    <col min="7437" max="7437" width="18.69921875" style="3" customWidth="1"/>
    <col min="7438" max="7680" width="8.69921875" style="3" customWidth="1"/>
    <col min="7681" max="7681" width="9.19921875" style="3" customWidth="1"/>
    <col min="7682" max="7682" width="7" style="3" customWidth="1"/>
    <col min="7683" max="7683" width="7.59765625" style="3" customWidth="1"/>
    <col min="7684" max="7686" width="9.09765625" style="3" customWidth="1"/>
    <col min="7687" max="7687" width="10.09765625" style="3" customWidth="1"/>
    <col min="7688" max="7689" width="7.8984375" style="3" customWidth="1"/>
    <col min="7690" max="7690" width="15" style="3" customWidth="1"/>
    <col min="7691" max="7692" width="9.8984375" style="3" customWidth="1"/>
    <col min="7693" max="7693" width="18.69921875" style="3" customWidth="1"/>
    <col min="7694" max="7936" width="8.69921875" style="3" customWidth="1"/>
    <col min="7937" max="7937" width="9.19921875" style="3" customWidth="1"/>
    <col min="7938" max="7938" width="7" style="3" customWidth="1"/>
    <col min="7939" max="7939" width="7.59765625" style="3" customWidth="1"/>
    <col min="7940" max="7942" width="9.09765625" style="3" customWidth="1"/>
    <col min="7943" max="7943" width="10.09765625" style="3" customWidth="1"/>
    <col min="7944" max="7945" width="7.8984375" style="3" customWidth="1"/>
    <col min="7946" max="7946" width="15" style="3" customWidth="1"/>
    <col min="7947" max="7948" width="9.8984375" style="3" customWidth="1"/>
    <col min="7949" max="7949" width="18.69921875" style="3" customWidth="1"/>
    <col min="7950" max="8192" width="8.69921875" style="3" customWidth="1"/>
    <col min="8193" max="8193" width="9.19921875" style="3" customWidth="1"/>
    <col min="8194" max="8194" width="7" style="3" customWidth="1"/>
    <col min="8195" max="8195" width="7.59765625" style="3" customWidth="1"/>
    <col min="8196" max="8198" width="9.09765625" style="3" customWidth="1"/>
    <col min="8199" max="8199" width="10.09765625" style="3" customWidth="1"/>
    <col min="8200" max="8201" width="7.8984375" style="3" customWidth="1"/>
    <col min="8202" max="8202" width="15" style="3" customWidth="1"/>
    <col min="8203" max="8204" width="9.8984375" style="3" customWidth="1"/>
    <col min="8205" max="8205" width="18.69921875" style="3" customWidth="1"/>
    <col min="8206" max="8448" width="8.69921875" style="3" customWidth="1"/>
    <col min="8449" max="8449" width="9.19921875" style="3" customWidth="1"/>
    <col min="8450" max="8450" width="7" style="3" customWidth="1"/>
    <col min="8451" max="8451" width="7.59765625" style="3" customWidth="1"/>
    <col min="8452" max="8454" width="9.09765625" style="3" customWidth="1"/>
    <col min="8455" max="8455" width="10.09765625" style="3" customWidth="1"/>
    <col min="8456" max="8457" width="7.8984375" style="3" customWidth="1"/>
    <col min="8458" max="8458" width="15" style="3" customWidth="1"/>
    <col min="8459" max="8460" width="9.8984375" style="3" customWidth="1"/>
    <col min="8461" max="8461" width="18.69921875" style="3" customWidth="1"/>
    <col min="8462" max="8704" width="8.69921875" style="3" customWidth="1"/>
    <col min="8705" max="8705" width="9.19921875" style="3" customWidth="1"/>
    <col min="8706" max="8706" width="7" style="3" customWidth="1"/>
    <col min="8707" max="8707" width="7.59765625" style="3" customWidth="1"/>
    <col min="8708" max="8710" width="9.09765625" style="3" customWidth="1"/>
    <col min="8711" max="8711" width="10.09765625" style="3" customWidth="1"/>
    <col min="8712" max="8713" width="7.8984375" style="3" customWidth="1"/>
    <col min="8714" max="8714" width="15" style="3" customWidth="1"/>
    <col min="8715" max="8716" width="9.8984375" style="3" customWidth="1"/>
    <col min="8717" max="8717" width="18.69921875" style="3" customWidth="1"/>
    <col min="8718" max="8960" width="8.69921875" style="3" customWidth="1"/>
    <col min="8961" max="8961" width="9.19921875" style="3" customWidth="1"/>
    <col min="8962" max="8962" width="7" style="3" customWidth="1"/>
    <col min="8963" max="8963" width="7.59765625" style="3" customWidth="1"/>
    <col min="8964" max="8966" width="9.09765625" style="3" customWidth="1"/>
    <col min="8967" max="8967" width="10.09765625" style="3" customWidth="1"/>
    <col min="8968" max="8969" width="7.8984375" style="3" customWidth="1"/>
    <col min="8970" max="8970" width="15" style="3" customWidth="1"/>
    <col min="8971" max="8972" width="9.8984375" style="3" customWidth="1"/>
    <col min="8973" max="8973" width="18.69921875" style="3" customWidth="1"/>
    <col min="8974" max="9216" width="8.69921875" style="3" customWidth="1"/>
    <col min="9217" max="9217" width="9.19921875" style="3" customWidth="1"/>
    <col min="9218" max="9218" width="7" style="3" customWidth="1"/>
    <col min="9219" max="9219" width="7.59765625" style="3" customWidth="1"/>
    <col min="9220" max="9222" width="9.09765625" style="3" customWidth="1"/>
    <col min="9223" max="9223" width="10.09765625" style="3" customWidth="1"/>
    <col min="9224" max="9225" width="7.8984375" style="3" customWidth="1"/>
    <col min="9226" max="9226" width="15" style="3" customWidth="1"/>
    <col min="9227" max="9228" width="9.8984375" style="3" customWidth="1"/>
    <col min="9229" max="9229" width="18.69921875" style="3" customWidth="1"/>
    <col min="9230" max="9472" width="8.69921875" style="3" customWidth="1"/>
    <col min="9473" max="9473" width="9.19921875" style="3" customWidth="1"/>
    <col min="9474" max="9474" width="7" style="3" customWidth="1"/>
    <col min="9475" max="9475" width="7.59765625" style="3" customWidth="1"/>
    <col min="9476" max="9478" width="9.09765625" style="3" customWidth="1"/>
    <col min="9479" max="9479" width="10.09765625" style="3" customWidth="1"/>
    <col min="9480" max="9481" width="7.8984375" style="3" customWidth="1"/>
    <col min="9482" max="9482" width="15" style="3" customWidth="1"/>
    <col min="9483" max="9484" width="9.8984375" style="3" customWidth="1"/>
    <col min="9485" max="9485" width="18.69921875" style="3" customWidth="1"/>
    <col min="9486" max="9728" width="8.69921875" style="3" customWidth="1"/>
    <col min="9729" max="9729" width="9.19921875" style="3" customWidth="1"/>
    <col min="9730" max="9730" width="7" style="3" customWidth="1"/>
    <col min="9731" max="9731" width="7.59765625" style="3" customWidth="1"/>
    <col min="9732" max="9734" width="9.09765625" style="3" customWidth="1"/>
    <col min="9735" max="9735" width="10.09765625" style="3" customWidth="1"/>
    <col min="9736" max="9737" width="7.8984375" style="3" customWidth="1"/>
    <col min="9738" max="9738" width="15" style="3" customWidth="1"/>
    <col min="9739" max="9740" width="9.8984375" style="3" customWidth="1"/>
    <col min="9741" max="9741" width="18.69921875" style="3" customWidth="1"/>
    <col min="9742" max="9984" width="8.69921875" style="3" customWidth="1"/>
    <col min="9985" max="9985" width="9.19921875" style="3" customWidth="1"/>
    <col min="9986" max="9986" width="7" style="3" customWidth="1"/>
    <col min="9987" max="9987" width="7.59765625" style="3" customWidth="1"/>
    <col min="9988" max="9990" width="9.09765625" style="3" customWidth="1"/>
    <col min="9991" max="9991" width="10.09765625" style="3" customWidth="1"/>
    <col min="9992" max="9993" width="7.8984375" style="3" customWidth="1"/>
    <col min="9994" max="9994" width="15" style="3" customWidth="1"/>
    <col min="9995" max="9996" width="9.8984375" style="3" customWidth="1"/>
    <col min="9997" max="9997" width="18.69921875" style="3" customWidth="1"/>
    <col min="9998" max="10240" width="8.69921875" style="3" customWidth="1"/>
    <col min="10241" max="10241" width="9.19921875" style="3" customWidth="1"/>
    <col min="10242" max="10242" width="7" style="3" customWidth="1"/>
    <col min="10243" max="10243" width="7.59765625" style="3" customWidth="1"/>
    <col min="10244" max="10246" width="9.09765625" style="3" customWidth="1"/>
    <col min="10247" max="10247" width="10.09765625" style="3" customWidth="1"/>
    <col min="10248" max="10249" width="7.8984375" style="3" customWidth="1"/>
    <col min="10250" max="10250" width="15" style="3" customWidth="1"/>
    <col min="10251" max="10252" width="9.8984375" style="3" customWidth="1"/>
    <col min="10253" max="10253" width="18.69921875" style="3" customWidth="1"/>
    <col min="10254" max="10496" width="8.69921875" style="3" customWidth="1"/>
    <col min="10497" max="10497" width="9.19921875" style="3" customWidth="1"/>
    <col min="10498" max="10498" width="7" style="3" customWidth="1"/>
    <col min="10499" max="10499" width="7.59765625" style="3" customWidth="1"/>
    <col min="10500" max="10502" width="9.09765625" style="3" customWidth="1"/>
    <col min="10503" max="10503" width="10.09765625" style="3" customWidth="1"/>
    <col min="10504" max="10505" width="7.8984375" style="3" customWidth="1"/>
    <col min="10506" max="10506" width="15" style="3" customWidth="1"/>
    <col min="10507" max="10508" width="9.8984375" style="3" customWidth="1"/>
    <col min="10509" max="10509" width="18.69921875" style="3" customWidth="1"/>
    <col min="10510" max="10752" width="8.69921875" style="3" customWidth="1"/>
    <col min="10753" max="10753" width="9.19921875" style="3" customWidth="1"/>
    <col min="10754" max="10754" width="7" style="3" customWidth="1"/>
    <col min="10755" max="10755" width="7.59765625" style="3" customWidth="1"/>
    <col min="10756" max="10758" width="9.09765625" style="3" customWidth="1"/>
    <col min="10759" max="10759" width="10.09765625" style="3" customWidth="1"/>
    <col min="10760" max="10761" width="7.8984375" style="3" customWidth="1"/>
    <col min="10762" max="10762" width="15" style="3" customWidth="1"/>
    <col min="10763" max="10764" width="9.8984375" style="3" customWidth="1"/>
    <col min="10765" max="10765" width="18.69921875" style="3" customWidth="1"/>
    <col min="10766" max="11008" width="8.69921875" style="3" customWidth="1"/>
    <col min="11009" max="11009" width="9.19921875" style="3" customWidth="1"/>
    <col min="11010" max="11010" width="7" style="3" customWidth="1"/>
    <col min="11011" max="11011" width="7.59765625" style="3" customWidth="1"/>
    <col min="11012" max="11014" width="9.09765625" style="3" customWidth="1"/>
    <col min="11015" max="11015" width="10.09765625" style="3" customWidth="1"/>
    <col min="11016" max="11017" width="7.8984375" style="3" customWidth="1"/>
    <col min="11018" max="11018" width="15" style="3" customWidth="1"/>
    <col min="11019" max="11020" width="9.8984375" style="3" customWidth="1"/>
    <col min="11021" max="11021" width="18.69921875" style="3" customWidth="1"/>
    <col min="11022" max="11264" width="8.69921875" style="3" customWidth="1"/>
    <col min="11265" max="11265" width="9.19921875" style="3" customWidth="1"/>
    <col min="11266" max="11266" width="7" style="3" customWidth="1"/>
    <col min="11267" max="11267" width="7.59765625" style="3" customWidth="1"/>
    <col min="11268" max="11270" width="9.09765625" style="3" customWidth="1"/>
    <col min="11271" max="11271" width="10.09765625" style="3" customWidth="1"/>
    <col min="11272" max="11273" width="7.8984375" style="3" customWidth="1"/>
    <col min="11274" max="11274" width="15" style="3" customWidth="1"/>
    <col min="11275" max="11276" width="9.8984375" style="3" customWidth="1"/>
    <col min="11277" max="11277" width="18.69921875" style="3" customWidth="1"/>
    <col min="11278" max="11520" width="8.69921875" style="3" customWidth="1"/>
    <col min="11521" max="11521" width="9.19921875" style="3" customWidth="1"/>
    <col min="11522" max="11522" width="7" style="3" customWidth="1"/>
    <col min="11523" max="11523" width="7.59765625" style="3" customWidth="1"/>
    <col min="11524" max="11526" width="9.09765625" style="3" customWidth="1"/>
    <col min="11527" max="11527" width="10.09765625" style="3" customWidth="1"/>
    <col min="11528" max="11529" width="7.8984375" style="3" customWidth="1"/>
    <col min="11530" max="11530" width="15" style="3" customWidth="1"/>
    <col min="11531" max="11532" width="9.8984375" style="3" customWidth="1"/>
    <col min="11533" max="11533" width="18.69921875" style="3" customWidth="1"/>
    <col min="11534" max="11776" width="8.69921875" style="3" customWidth="1"/>
    <col min="11777" max="11777" width="9.19921875" style="3" customWidth="1"/>
    <col min="11778" max="11778" width="7" style="3" customWidth="1"/>
    <col min="11779" max="11779" width="7.59765625" style="3" customWidth="1"/>
    <col min="11780" max="11782" width="9.09765625" style="3" customWidth="1"/>
    <col min="11783" max="11783" width="10.09765625" style="3" customWidth="1"/>
    <col min="11784" max="11785" width="7.8984375" style="3" customWidth="1"/>
    <col min="11786" max="11786" width="15" style="3" customWidth="1"/>
    <col min="11787" max="11788" width="9.8984375" style="3" customWidth="1"/>
    <col min="11789" max="11789" width="18.69921875" style="3" customWidth="1"/>
    <col min="11790" max="12032" width="8.69921875" style="3" customWidth="1"/>
    <col min="12033" max="12033" width="9.19921875" style="3" customWidth="1"/>
    <col min="12034" max="12034" width="7" style="3" customWidth="1"/>
    <col min="12035" max="12035" width="7.59765625" style="3" customWidth="1"/>
    <col min="12036" max="12038" width="9.09765625" style="3" customWidth="1"/>
    <col min="12039" max="12039" width="10.09765625" style="3" customWidth="1"/>
    <col min="12040" max="12041" width="7.8984375" style="3" customWidth="1"/>
    <col min="12042" max="12042" width="15" style="3" customWidth="1"/>
    <col min="12043" max="12044" width="9.8984375" style="3" customWidth="1"/>
    <col min="12045" max="12045" width="18.69921875" style="3" customWidth="1"/>
    <col min="12046" max="12288" width="8.69921875" style="3" customWidth="1"/>
    <col min="12289" max="12289" width="9.19921875" style="3" customWidth="1"/>
    <col min="12290" max="12290" width="7" style="3" customWidth="1"/>
    <col min="12291" max="12291" width="7.59765625" style="3" customWidth="1"/>
    <col min="12292" max="12294" width="9.09765625" style="3" customWidth="1"/>
    <col min="12295" max="12295" width="10.09765625" style="3" customWidth="1"/>
    <col min="12296" max="12297" width="7.8984375" style="3" customWidth="1"/>
    <col min="12298" max="12298" width="15" style="3" customWidth="1"/>
    <col min="12299" max="12300" width="9.8984375" style="3" customWidth="1"/>
    <col min="12301" max="12301" width="18.69921875" style="3" customWidth="1"/>
    <col min="12302" max="12544" width="8.69921875" style="3" customWidth="1"/>
    <col min="12545" max="12545" width="9.19921875" style="3" customWidth="1"/>
    <col min="12546" max="12546" width="7" style="3" customWidth="1"/>
    <col min="12547" max="12547" width="7.59765625" style="3" customWidth="1"/>
    <col min="12548" max="12550" width="9.09765625" style="3" customWidth="1"/>
    <col min="12551" max="12551" width="10.09765625" style="3" customWidth="1"/>
    <col min="12552" max="12553" width="7.8984375" style="3" customWidth="1"/>
    <col min="12554" max="12554" width="15" style="3" customWidth="1"/>
    <col min="12555" max="12556" width="9.8984375" style="3" customWidth="1"/>
    <col min="12557" max="12557" width="18.69921875" style="3" customWidth="1"/>
    <col min="12558" max="12800" width="8.69921875" style="3" customWidth="1"/>
    <col min="12801" max="12801" width="9.19921875" style="3" customWidth="1"/>
    <col min="12802" max="12802" width="7" style="3" customWidth="1"/>
    <col min="12803" max="12803" width="7.59765625" style="3" customWidth="1"/>
    <col min="12804" max="12806" width="9.09765625" style="3" customWidth="1"/>
    <col min="12807" max="12807" width="10.09765625" style="3" customWidth="1"/>
    <col min="12808" max="12809" width="7.8984375" style="3" customWidth="1"/>
    <col min="12810" max="12810" width="15" style="3" customWidth="1"/>
    <col min="12811" max="12812" width="9.8984375" style="3" customWidth="1"/>
    <col min="12813" max="12813" width="18.69921875" style="3" customWidth="1"/>
    <col min="12814" max="13056" width="8.69921875" style="3" customWidth="1"/>
    <col min="13057" max="13057" width="9.19921875" style="3" customWidth="1"/>
    <col min="13058" max="13058" width="7" style="3" customWidth="1"/>
    <col min="13059" max="13059" width="7.59765625" style="3" customWidth="1"/>
    <col min="13060" max="13062" width="9.09765625" style="3" customWidth="1"/>
    <col min="13063" max="13063" width="10.09765625" style="3" customWidth="1"/>
    <col min="13064" max="13065" width="7.8984375" style="3" customWidth="1"/>
    <col min="13066" max="13066" width="15" style="3" customWidth="1"/>
    <col min="13067" max="13068" width="9.8984375" style="3" customWidth="1"/>
    <col min="13069" max="13069" width="18.69921875" style="3" customWidth="1"/>
    <col min="13070" max="13312" width="8.69921875" style="3" customWidth="1"/>
    <col min="13313" max="13313" width="9.19921875" style="3" customWidth="1"/>
    <col min="13314" max="13314" width="7" style="3" customWidth="1"/>
    <col min="13315" max="13315" width="7.59765625" style="3" customWidth="1"/>
    <col min="13316" max="13318" width="9.09765625" style="3" customWidth="1"/>
    <col min="13319" max="13319" width="10.09765625" style="3" customWidth="1"/>
    <col min="13320" max="13321" width="7.8984375" style="3" customWidth="1"/>
    <col min="13322" max="13322" width="15" style="3" customWidth="1"/>
    <col min="13323" max="13324" width="9.8984375" style="3" customWidth="1"/>
    <col min="13325" max="13325" width="18.69921875" style="3" customWidth="1"/>
    <col min="13326" max="13568" width="8.69921875" style="3" customWidth="1"/>
    <col min="13569" max="13569" width="9.19921875" style="3" customWidth="1"/>
    <col min="13570" max="13570" width="7" style="3" customWidth="1"/>
    <col min="13571" max="13571" width="7.59765625" style="3" customWidth="1"/>
    <col min="13572" max="13574" width="9.09765625" style="3" customWidth="1"/>
    <col min="13575" max="13575" width="10.09765625" style="3" customWidth="1"/>
    <col min="13576" max="13577" width="7.8984375" style="3" customWidth="1"/>
    <col min="13578" max="13578" width="15" style="3" customWidth="1"/>
    <col min="13579" max="13580" width="9.8984375" style="3" customWidth="1"/>
    <col min="13581" max="13581" width="18.69921875" style="3" customWidth="1"/>
    <col min="13582" max="13824" width="8.69921875" style="3" customWidth="1"/>
    <col min="13825" max="13825" width="9.19921875" style="3" customWidth="1"/>
    <col min="13826" max="13826" width="7" style="3" customWidth="1"/>
    <col min="13827" max="13827" width="7.59765625" style="3" customWidth="1"/>
    <col min="13828" max="13830" width="9.09765625" style="3" customWidth="1"/>
    <col min="13831" max="13831" width="10.09765625" style="3" customWidth="1"/>
    <col min="13832" max="13833" width="7.8984375" style="3" customWidth="1"/>
    <col min="13834" max="13834" width="15" style="3" customWidth="1"/>
    <col min="13835" max="13836" width="9.8984375" style="3" customWidth="1"/>
    <col min="13837" max="13837" width="18.69921875" style="3" customWidth="1"/>
    <col min="13838" max="14080" width="8.69921875" style="3" customWidth="1"/>
    <col min="14081" max="14081" width="9.19921875" style="3" customWidth="1"/>
    <col min="14082" max="14082" width="7" style="3" customWidth="1"/>
    <col min="14083" max="14083" width="7.59765625" style="3" customWidth="1"/>
    <col min="14084" max="14086" width="9.09765625" style="3" customWidth="1"/>
    <col min="14087" max="14087" width="10.09765625" style="3" customWidth="1"/>
    <col min="14088" max="14089" width="7.8984375" style="3" customWidth="1"/>
    <col min="14090" max="14090" width="15" style="3" customWidth="1"/>
    <col min="14091" max="14092" width="9.8984375" style="3" customWidth="1"/>
    <col min="14093" max="14093" width="18.69921875" style="3" customWidth="1"/>
    <col min="14094" max="14336" width="8.69921875" style="3" customWidth="1"/>
    <col min="14337" max="14337" width="9.19921875" style="3" customWidth="1"/>
    <col min="14338" max="14338" width="7" style="3" customWidth="1"/>
    <col min="14339" max="14339" width="7.59765625" style="3" customWidth="1"/>
    <col min="14340" max="14342" width="9.09765625" style="3" customWidth="1"/>
    <col min="14343" max="14343" width="10.09765625" style="3" customWidth="1"/>
    <col min="14344" max="14345" width="7.8984375" style="3" customWidth="1"/>
    <col min="14346" max="14346" width="15" style="3" customWidth="1"/>
    <col min="14347" max="14348" width="9.8984375" style="3" customWidth="1"/>
    <col min="14349" max="14349" width="18.69921875" style="3" customWidth="1"/>
    <col min="14350" max="14592" width="8.69921875" style="3" customWidth="1"/>
    <col min="14593" max="14593" width="9.19921875" style="3" customWidth="1"/>
    <col min="14594" max="14594" width="7" style="3" customWidth="1"/>
    <col min="14595" max="14595" width="7.59765625" style="3" customWidth="1"/>
    <col min="14596" max="14598" width="9.09765625" style="3" customWidth="1"/>
    <col min="14599" max="14599" width="10.09765625" style="3" customWidth="1"/>
    <col min="14600" max="14601" width="7.8984375" style="3" customWidth="1"/>
    <col min="14602" max="14602" width="15" style="3" customWidth="1"/>
    <col min="14603" max="14604" width="9.8984375" style="3" customWidth="1"/>
    <col min="14605" max="14605" width="18.69921875" style="3" customWidth="1"/>
    <col min="14606" max="14848" width="8.69921875" style="3" customWidth="1"/>
    <col min="14849" max="14849" width="9.19921875" style="3" customWidth="1"/>
    <col min="14850" max="14850" width="7" style="3" customWidth="1"/>
    <col min="14851" max="14851" width="7.59765625" style="3" customWidth="1"/>
    <col min="14852" max="14854" width="9.09765625" style="3" customWidth="1"/>
    <col min="14855" max="14855" width="10.09765625" style="3" customWidth="1"/>
    <col min="14856" max="14857" width="7.8984375" style="3" customWidth="1"/>
    <col min="14858" max="14858" width="15" style="3" customWidth="1"/>
    <col min="14859" max="14860" width="9.8984375" style="3" customWidth="1"/>
    <col min="14861" max="14861" width="18.69921875" style="3" customWidth="1"/>
    <col min="14862" max="15104" width="8.69921875" style="3" customWidth="1"/>
    <col min="15105" max="15105" width="9.19921875" style="3" customWidth="1"/>
    <col min="15106" max="15106" width="7" style="3" customWidth="1"/>
    <col min="15107" max="15107" width="7.59765625" style="3" customWidth="1"/>
    <col min="15108" max="15110" width="9.09765625" style="3" customWidth="1"/>
    <col min="15111" max="15111" width="10.09765625" style="3" customWidth="1"/>
    <col min="15112" max="15113" width="7.8984375" style="3" customWidth="1"/>
    <col min="15114" max="15114" width="15" style="3" customWidth="1"/>
    <col min="15115" max="15116" width="9.8984375" style="3" customWidth="1"/>
    <col min="15117" max="15117" width="18.69921875" style="3" customWidth="1"/>
    <col min="15118" max="15360" width="8.69921875" style="3" customWidth="1"/>
    <col min="15361" max="15361" width="9.19921875" style="3" customWidth="1"/>
    <col min="15362" max="15362" width="7" style="3" customWidth="1"/>
    <col min="15363" max="15363" width="7.59765625" style="3" customWidth="1"/>
    <col min="15364" max="15366" width="9.09765625" style="3" customWidth="1"/>
    <col min="15367" max="15367" width="10.09765625" style="3" customWidth="1"/>
    <col min="15368" max="15369" width="7.8984375" style="3" customWidth="1"/>
    <col min="15370" max="15370" width="15" style="3" customWidth="1"/>
    <col min="15371" max="15372" width="9.8984375" style="3" customWidth="1"/>
    <col min="15373" max="15373" width="18.69921875" style="3" customWidth="1"/>
    <col min="15374" max="15616" width="8.69921875" style="3" customWidth="1"/>
    <col min="15617" max="15617" width="9.19921875" style="3" customWidth="1"/>
    <col min="15618" max="15618" width="7" style="3" customWidth="1"/>
    <col min="15619" max="15619" width="7.59765625" style="3" customWidth="1"/>
    <col min="15620" max="15622" width="9.09765625" style="3" customWidth="1"/>
    <col min="15623" max="15623" width="10.09765625" style="3" customWidth="1"/>
    <col min="15624" max="15625" width="7.8984375" style="3" customWidth="1"/>
    <col min="15626" max="15626" width="15" style="3" customWidth="1"/>
    <col min="15627" max="15628" width="9.8984375" style="3" customWidth="1"/>
    <col min="15629" max="15629" width="18.69921875" style="3" customWidth="1"/>
    <col min="15630" max="15872" width="8.69921875" style="3" customWidth="1"/>
    <col min="15873" max="15873" width="9.19921875" style="3" customWidth="1"/>
    <col min="15874" max="15874" width="7" style="3" customWidth="1"/>
    <col min="15875" max="15875" width="7.59765625" style="3" customWidth="1"/>
    <col min="15876" max="15878" width="9.09765625" style="3" customWidth="1"/>
    <col min="15879" max="15879" width="10.09765625" style="3" customWidth="1"/>
    <col min="15880" max="15881" width="7.8984375" style="3" customWidth="1"/>
    <col min="15882" max="15882" width="15" style="3" customWidth="1"/>
    <col min="15883" max="15884" width="9.8984375" style="3" customWidth="1"/>
    <col min="15885" max="15885" width="18.69921875" style="3" customWidth="1"/>
    <col min="15886" max="16128" width="8.69921875" style="3" customWidth="1"/>
    <col min="16129" max="16129" width="9.19921875" style="3" customWidth="1"/>
    <col min="16130" max="16130" width="7" style="3" customWidth="1"/>
    <col min="16131" max="16131" width="7.59765625" style="3" customWidth="1"/>
    <col min="16132" max="16134" width="9.09765625" style="3" customWidth="1"/>
    <col min="16135" max="16135" width="10.09765625" style="3" customWidth="1"/>
    <col min="16136" max="16137" width="7.8984375" style="3" customWidth="1"/>
    <col min="16138" max="16138" width="15" style="3" customWidth="1"/>
    <col min="16139" max="16140" width="9.8984375" style="3" customWidth="1"/>
    <col min="16141" max="16141" width="18.69921875" style="3" customWidth="1"/>
    <col min="16142" max="16384" width="8.69921875" style="3" customWidth="1"/>
  </cols>
  <sheetData>
    <row r="1" ht="27.9" customHeight="1" spans="1:13" x14ac:dyDescent="0.25">
      <c r="A1" s="190" t="s">
        <v>25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</row>
    <row r="2" ht="12" customHeight="1" spans="1:13" x14ac:dyDescent="0.25">
      <c r="A2" s="179" t="s">
        <v>26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</row>
    <row r="3" ht="9.75" customHeight="1" x14ac:dyDescent="0.25"/>
    <row r="4" ht="20.25" customHeight="1" spans="1:13" x14ac:dyDescent="0.25">
      <c r="A4" s="191" t="s">
        <v>40</v>
      </c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</row>
    <row r="5" ht="10.5" customHeight="1" x14ac:dyDescent="0.25"/>
    <row r="6" spans="1:14" x14ac:dyDescent="0.25">
      <c r="A6" s="3" t="s">
        <v>41</v>
      </c>
      <c r="B6" s="192" t="str">
        <f>'Final Work'!B4</f>
        <v>STARSHIP DRACO</v>
      </c>
      <c r="G6" s="3" t="s">
        <v>42</v>
      </c>
      <c r="H6" s="179"/>
      <c r="I6" s="179"/>
      <c r="K6" s="3" t="s">
        <v>43</v>
      </c>
      <c r="L6" s="193"/>
      <c r="M6" s="179"/>
      <c r="N6" s="1"/>
    </row>
    <row r="7" ht="5.25" customHeight="1" spans="8:9" x14ac:dyDescent="0.25">
      <c r="H7" s="194"/>
      <c r="I7" s="194"/>
    </row>
    <row r="8" spans="1:13" x14ac:dyDescent="0.25">
      <c r="A8" s="192" t="s">
        <v>44</v>
      </c>
      <c r="B8" s="3" t="s">
        <v>26</v>
      </c>
      <c r="G8" s="3" t="s">
        <v>45</v>
      </c>
      <c r="H8" s="179"/>
      <c r="I8" s="179"/>
      <c r="K8" s="192" t="s">
        <v>46</v>
      </c>
      <c r="L8" s="179"/>
      <c r="M8" s="179"/>
    </row>
    <row r="9" ht="8.25" customHeight="1" x14ac:dyDescent="0.25"/>
    <row r="10" ht="14.4" customHeight="1" spans="1:13" x14ac:dyDescent="0.25">
      <c r="A10" s="195" t="s">
        <v>47</v>
      </c>
      <c r="B10" s="196" t="s">
        <v>48</v>
      </c>
      <c r="C10" s="196"/>
      <c r="D10" s="195" t="s">
        <v>49</v>
      </c>
      <c r="E10" s="195"/>
      <c r="F10" s="195"/>
      <c r="G10" s="197" t="s">
        <v>50</v>
      </c>
      <c r="H10" s="195" t="s">
        <v>51</v>
      </c>
      <c r="I10" s="195"/>
      <c r="J10" s="197" t="s">
        <v>52</v>
      </c>
      <c r="K10" s="195" t="s">
        <v>53</v>
      </c>
      <c r="L10" s="195" t="s">
        <v>54</v>
      </c>
      <c r="M10" s="195" t="s">
        <v>55</v>
      </c>
    </row>
    <row r="11" ht="14.4" customHeight="1" spans="1:13" x14ac:dyDescent="0.25">
      <c r="A11" s="198"/>
      <c r="B11" s="199"/>
      <c r="C11" s="199"/>
      <c r="D11" s="198"/>
      <c r="E11" s="198"/>
      <c r="F11" s="198"/>
      <c r="G11" s="200" t="s">
        <v>56</v>
      </c>
      <c r="H11" s="198"/>
      <c r="I11" s="198"/>
      <c r="J11" s="200"/>
      <c r="K11" s="198"/>
      <c r="L11" s="198"/>
      <c r="M11" s="198"/>
    </row>
    <row r="12" ht="18" customHeight="1" hidden="1" spans="1:13" x14ac:dyDescent="0.25">
      <c r="A12" s="201"/>
      <c r="B12" s="202"/>
      <c r="C12" s="3"/>
      <c r="D12" s="203"/>
      <c r="E12" s="204"/>
      <c r="F12" s="205"/>
      <c r="G12" s="206"/>
      <c r="H12" s="207"/>
      <c r="I12" s="3"/>
      <c r="J12" s="208"/>
      <c r="K12" s="206"/>
      <c r="L12" s="206"/>
      <c r="M12" s="209"/>
    </row>
    <row r="13" ht="18" customHeight="1" hidden="1" spans="1:13" x14ac:dyDescent="0.25">
      <c r="A13" s="210"/>
      <c r="B13" s="196"/>
      <c r="C13" s="3"/>
      <c r="D13" s="211"/>
      <c r="E13" s="212"/>
      <c r="F13" s="213"/>
      <c r="G13" s="196"/>
      <c r="H13" s="214"/>
      <c r="I13" s="3"/>
      <c r="J13" s="214"/>
      <c r="K13" s="196"/>
      <c r="L13" s="196"/>
      <c r="M13" s="215"/>
    </row>
    <row r="14" ht="19.95" customHeight="1" spans="1:13" x14ac:dyDescent="0.25">
      <c r="A14" s="201"/>
      <c r="B14" s="202"/>
      <c r="C14" s="3"/>
      <c r="D14" s="202"/>
      <c r="E14" s="216"/>
      <c r="F14" s="205"/>
      <c r="G14" s="206"/>
      <c r="H14" s="207"/>
      <c r="I14" s="3"/>
      <c r="J14" s="208"/>
      <c r="K14" s="206"/>
      <c r="L14" s="206"/>
      <c r="M14" s="217"/>
    </row>
    <row r="15" ht="19.95" customHeight="1" spans="1:13" x14ac:dyDescent="0.25">
      <c r="A15" s="201"/>
      <c r="B15" s="196"/>
      <c r="C15" s="3"/>
      <c r="D15" s="218"/>
      <c r="E15" s="219"/>
      <c r="F15" s="213"/>
      <c r="G15" s="196"/>
      <c r="H15" s="220"/>
      <c r="I15" s="3"/>
      <c r="J15" s="208"/>
      <c r="K15" s="206"/>
      <c r="L15" s="206"/>
      <c r="M15" s="217"/>
    </row>
    <row r="16" ht="19.95" customHeight="1" spans="1:13" x14ac:dyDescent="0.25">
      <c r="A16" s="210"/>
      <c r="B16" s="196"/>
      <c r="C16" s="3"/>
      <c r="D16" s="218"/>
      <c r="E16" s="219"/>
      <c r="F16" s="213"/>
      <c r="G16" s="196"/>
      <c r="H16" s="214"/>
      <c r="I16" s="3"/>
      <c r="J16" s="214"/>
      <c r="K16" s="196"/>
      <c r="L16" s="196"/>
      <c r="M16" s="221"/>
    </row>
    <row r="17" ht="19.95" customHeight="1" spans="1:13" x14ac:dyDescent="0.25">
      <c r="A17" s="210"/>
      <c r="B17" s="196"/>
      <c r="C17" s="3"/>
      <c r="D17" s="218"/>
      <c r="E17" s="219"/>
      <c r="F17" s="213"/>
      <c r="G17" s="196"/>
      <c r="H17" s="214"/>
      <c r="I17" s="3"/>
      <c r="J17" s="214"/>
      <c r="K17" s="196"/>
      <c r="L17" s="196"/>
      <c r="M17" s="221"/>
    </row>
    <row r="18" ht="19.95" customHeight="1" spans="1:13" x14ac:dyDescent="0.25">
      <c r="A18" s="210"/>
      <c r="B18" s="196"/>
      <c r="C18" s="3"/>
      <c r="D18" s="218"/>
      <c r="E18" s="219"/>
      <c r="F18" s="213"/>
      <c r="G18" s="196"/>
      <c r="H18" s="214"/>
      <c r="I18" s="3"/>
      <c r="J18" s="214"/>
      <c r="K18" s="196"/>
      <c r="L18" s="196"/>
      <c r="M18" s="221"/>
    </row>
    <row r="19" ht="19.95" customHeight="1" spans="1:13" x14ac:dyDescent="0.25">
      <c r="A19" s="222"/>
      <c r="B19" s="223"/>
      <c r="C19" s="223"/>
      <c r="D19" s="224" t="s">
        <v>57</v>
      </c>
      <c r="E19" s="225"/>
      <c r="F19" s="226"/>
      <c r="G19" s="227" t="s">
        <v>58</v>
      </c>
      <c r="H19" s="228">
        <f>SUM(H12:I18)</f>
        <v>146</v>
      </c>
      <c r="I19" s="228"/>
      <c r="J19" s="228">
        <f>SUM(J12:J18)</f>
        <v>146</v>
      </c>
      <c r="K19" s="229" t="s">
        <v>59</v>
      </c>
      <c r="L19" s="229" t="s">
        <v>59</v>
      </c>
      <c r="M19" s="230"/>
    </row>
    <row r="20" ht="19.95" customHeight="1" spans="1:13" x14ac:dyDescent="0.25">
      <c r="A20" s="231"/>
      <c r="B20" s="232"/>
      <c r="C20" s="232"/>
      <c r="D20" s="233"/>
      <c r="E20" s="233"/>
      <c r="F20" s="233"/>
      <c r="G20" s="232"/>
      <c r="H20" s="234"/>
      <c r="I20" s="234"/>
      <c r="J20" s="234"/>
      <c r="K20" s="235"/>
      <c r="L20" s="235"/>
      <c r="M20" s="231"/>
    </row>
    <row r="21" ht="19.95" customHeight="1" hidden="1" spans="1:13" x14ac:dyDescent="0.25">
      <c r="A21" s="231"/>
      <c r="B21" s="235"/>
      <c r="C21" s="235"/>
      <c r="D21" s="233"/>
      <c r="E21" s="233"/>
      <c r="F21" s="233"/>
      <c r="G21" s="235"/>
      <c r="H21" s="236"/>
      <c r="I21" s="236"/>
      <c r="J21" s="236"/>
      <c r="K21" s="235"/>
      <c r="L21" s="235"/>
      <c r="M21" s="231"/>
    </row>
    <row r="22" ht="19.95" customHeight="1" spans="1:13" x14ac:dyDescent="0.25">
      <c r="A22" s="231"/>
      <c r="B22" s="235"/>
      <c r="C22" s="235"/>
      <c r="D22" s="233"/>
      <c r="E22" s="233"/>
      <c r="F22" s="233"/>
      <c r="G22" s="235"/>
      <c r="H22" s="236"/>
      <c r="I22" s="236"/>
      <c r="J22" s="236"/>
      <c r="K22" s="235"/>
      <c r="L22" s="235"/>
      <c r="M22" s="231"/>
    </row>
    <row r="23" ht="19.95" customHeight="1" spans="1:13" x14ac:dyDescent="0.25">
      <c r="A23" s="231"/>
      <c r="B23" s="235"/>
      <c r="C23" s="235"/>
      <c r="D23" s="233"/>
      <c r="E23" s="233"/>
      <c r="F23" s="233"/>
      <c r="G23" s="235"/>
      <c r="H23" s="236"/>
      <c r="I23" s="236"/>
      <c r="J23" s="236"/>
      <c r="K23" s="235"/>
      <c r="L23" s="235"/>
      <c r="M23" s="231"/>
    </row>
    <row r="24" ht="19.95" customHeight="1" spans="1:13" x14ac:dyDescent="0.25">
      <c r="A24" s="231"/>
      <c r="B24" s="235"/>
      <c r="C24" s="235"/>
      <c r="D24" s="233"/>
      <c r="E24" s="233"/>
      <c r="F24" s="233"/>
      <c r="G24" s="235"/>
      <c r="H24" s="236"/>
      <c r="I24" s="236"/>
      <c r="J24" s="236"/>
      <c r="K24" s="235"/>
      <c r="L24" s="235"/>
      <c r="M24" s="231"/>
    </row>
    <row r="25" ht="15.9" customHeight="1" spans="1:13" x14ac:dyDescent="0.25">
      <c r="A25" s="237" t="s">
        <v>60</v>
      </c>
      <c r="B25" s="238"/>
      <c r="C25" s="238"/>
      <c r="D25" s="238"/>
      <c r="E25" s="238"/>
      <c r="F25" s="238"/>
      <c r="G25" s="238"/>
      <c r="H25" s="238"/>
      <c r="I25" s="238"/>
      <c r="J25" s="238"/>
      <c r="K25" s="238"/>
      <c r="L25" s="238"/>
      <c r="M25" s="239"/>
    </row>
    <row r="26" ht="15.9" customHeight="1" spans="1:13" x14ac:dyDescent="0.25">
      <c r="A26" s="240"/>
      <c r="B26" s="241"/>
      <c r="C26" s="241"/>
      <c r="D26" s="241"/>
      <c r="E26" s="241"/>
      <c r="F26" s="241"/>
      <c r="G26" s="241"/>
      <c r="H26" s="241"/>
      <c r="I26" s="241"/>
      <c r="J26" s="241"/>
      <c r="K26" s="241"/>
      <c r="L26" s="241"/>
      <c r="M26" s="242"/>
    </row>
    <row r="27" ht="15.9" customHeight="1" spans="1:13" x14ac:dyDescent="0.25">
      <c r="A27" s="243"/>
      <c r="B27" s="241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2"/>
    </row>
    <row r="28" ht="15.9" customHeight="1" spans="1:13" x14ac:dyDescent="0.25">
      <c r="A28" s="243"/>
      <c r="B28" s="241"/>
      <c r="C28" s="241"/>
      <c r="D28" s="241"/>
      <c r="E28" s="241"/>
      <c r="F28" s="241"/>
      <c r="G28" s="241"/>
      <c r="H28" s="241"/>
      <c r="I28" s="241"/>
      <c r="J28" s="241"/>
      <c r="K28" s="241"/>
      <c r="L28" s="241"/>
      <c r="M28" s="242"/>
    </row>
    <row r="29" ht="15.9" customHeight="1" spans="1:13" x14ac:dyDescent="0.25">
      <c r="A29" s="243"/>
      <c r="B29" s="241"/>
      <c r="C29" s="241"/>
      <c r="D29" s="241"/>
      <c r="E29" s="241"/>
      <c r="F29" s="241"/>
      <c r="G29" s="241"/>
      <c r="H29" s="241"/>
      <c r="I29" s="241"/>
      <c r="J29" s="241"/>
      <c r="K29" s="241"/>
      <c r="L29" s="241"/>
      <c r="M29" s="242"/>
    </row>
    <row r="30" ht="15.9" customHeight="1" spans="1:13" x14ac:dyDescent="0.25">
      <c r="A30" s="243"/>
      <c r="B30" s="241"/>
      <c r="C30" s="241"/>
      <c r="D30" s="241"/>
      <c r="E30" s="241"/>
      <c r="F30" s="241"/>
      <c r="G30" s="241"/>
      <c r="H30" s="241"/>
      <c r="I30" s="241"/>
      <c r="J30" s="241"/>
      <c r="K30" s="241"/>
      <c r="L30" s="241"/>
      <c r="M30" s="242"/>
    </row>
    <row r="31" ht="15.9" customHeight="1" spans="1:13" x14ac:dyDescent="0.25">
      <c r="A31" s="244"/>
      <c r="B31" s="245"/>
      <c r="C31" s="245"/>
      <c r="D31" s="245"/>
      <c r="E31" s="245"/>
      <c r="F31" s="245"/>
      <c r="G31" s="245"/>
      <c r="H31" s="245"/>
      <c r="I31" s="245"/>
      <c r="J31" s="245"/>
      <c r="K31" s="245"/>
      <c r="L31" s="245"/>
      <c r="M31" s="246"/>
    </row>
    <row r="32" ht="12.9" customHeight="1" spans="1:13" x14ac:dyDescent="0.25">
      <c r="A32" s="40"/>
      <c r="B32" s="241"/>
      <c r="C32" s="241"/>
      <c r="D32" s="241"/>
      <c r="E32" s="241"/>
      <c r="F32" s="241"/>
      <c r="G32" s="241"/>
      <c r="H32" s="241"/>
      <c r="I32" s="241"/>
      <c r="J32" s="241"/>
      <c r="K32" s="241"/>
      <c r="L32" s="241"/>
      <c r="M32" s="241"/>
    </row>
    <row r="33" ht="12.9" customHeight="1" spans="1:13" x14ac:dyDescent="0.25">
      <c r="A33" s="40"/>
      <c r="B33" s="241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</row>
    <row r="34" ht="12.9" customHeight="1" spans="1:8" x14ac:dyDescent="0.25">
      <c r="A34" s="3"/>
      <c r="B34" s="3"/>
      <c r="C34" s="3"/>
      <c r="D34" s="3"/>
      <c r="E34" s="3"/>
      <c r="F34" s="3"/>
      <c r="G34" s="3"/>
      <c r="H34" s="3"/>
    </row>
    <row r="35" ht="12.9" customHeight="1" spans="1:13" x14ac:dyDescent="0.25">
      <c r="A35" s="187"/>
      <c r="B35" s="187"/>
      <c r="C35" s="187"/>
      <c r="G35" s="187"/>
      <c r="H35" s="187"/>
      <c r="I35" s="187"/>
      <c r="L35" s="187"/>
      <c r="M35" s="187"/>
    </row>
    <row r="36" spans="1:13" x14ac:dyDescent="0.25">
      <c r="A36" s="188" t="s">
        <v>23</v>
      </c>
      <c r="B36" s="188"/>
      <c r="C36" s="188"/>
      <c r="G36" s="188" t="s">
        <v>61</v>
      </c>
      <c r="H36" s="188"/>
      <c r="I36" s="188"/>
      <c r="L36" s="188" t="s">
        <v>24</v>
      </c>
      <c r="M36" s="188"/>
    </row>
  </sheetData>
  <mergeCells count="43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9:C19"/>
    <mergeCell ref="D19:F19"/>
    <mergeCell ref="H19:I19"/>
    <mergeCell ref="B20:C20"/>
    <mergeCell ref="D20:F20"/>
    <mergeCell ref="H20:I20"/>
    <mergeCell ref="B21:C21"/>
    <mergeCell ref="D21:F21"/>
    <mergeCell ref="H21:I21"/>
    <mergeCell ref="B22:C22"/>
    <mergeCell ref="D22:F22"/>
    <mergeCell ref="H22:I22"/>
    <mergeCell ref="B23:C23"/>
    <mergeCell ref="D23:F23"/>
    <mergeCell ref="H23:I23"/>
    <mergeCell ref="B24:C24"/>
    <mergeCell ref="D24:F24"/>
    <mergeCell ref="H24:I24"/>
    <mergeCell ref="A25:M25"/>
    <mergeCell ref="B26:M26"/>
    <mergeCell ref="B27:M27"/>
    <mergeCell ref="B28:M28"/>
    <mergeCell ref="B29:M29"/>
    <mergeCell ref="B30:M30"/>
    <mergeCell ref="B31:M31"/>
    <mergeCell ref="A36:C36"/>
    <mergeCell ref="G36:I36"/>
    <mergeCell ref="L36:M36"/>
  </mergeCells>
  <printOptions horizontalCentered="1" verticalCentered="1"/>
  <pageMargins left="0.1968503937007874" right="0.1968503937007874" top="0.5511811023622047" bottom="0.15748031496062992" header="0" footer="0"/>
  <pageSetup paperSize="9" orientation="landscape" horizontalDpi="4294967295" verticalDpi="4294967295" scale="100" fitToWidth="0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</sheetPr>
  <dimension ref="A1:R34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7.5" style="3" customWidth="1"/>
    <col min="2" max="2" width="9.5" style="3" customWidth="1"/>
    <col min="3" max="5" width="5.59765625" style="3" customWidth="1"/>
    <col min="6" max="9" width="6" style="3" customWidth="1"/>
    <col min="10" max="10" width="8.69921875" style="3" customWidth="1"/>
    <col min="11" max="18" width="7.59765625" style="3" customWidth="1"/>
    <col min="19" max="19" width="6.69921875" style="3" hidden="1" customWidth="1"/>
    <col min="20" max="256" width="8.69921875" style="3" customWidth="1"/>
    <col min="257" max="257" width="7.5" style="3" customWidth="1"/>
    <col min="258" max="258" width="9.5" style="3" customWidth="1"/>
    <col min="259" max="261" width="5.59765625" style="3" customWidth="1"/>
    <col min="262" max="265" width="6" style="3" customWidth="1"/>
    <col min="266" max="266" width="8.69921875" style="3" customWidth="1"/>
    <col min="267" max="267" width="7.59765625" style="3" customWidth="1"/>
    <col min="268" max="274" width="8" style="3" customWidth="1"/>
    <col min="275" max="275" style="3" hidden="1" customWidth="1"/>
    <col min="276" max="512" width="8.69921875" style="3" customWidth="1"/>
    <col min="513" max="513" width="7.5" style="3" customWidth="1"/>
    <col min="514" max="514" width="9.5" style="3" customWidth="1"/>
    <col min="515" max="517" width="5.59765625" style="3" customWidth="1"/>
    <col min="518" max="521" width="6" style="3" customWidth="1"/>
    <col min="522" max="522" width="8.69921875" style="3" customWidth="1"/>
    <col min="523" max="523" width="7.59765625" style="3" customWidth="1"/>
    <col min="524" max="530" width="8" style="3" customWidth="1"/>
    <col min="531" max="531" style="3" hidden="1" customWidth="1"/>
    <col min="532" max="768" width="8.69921875" style="3" customWidth="1"/>
    <col min="769" max="769" width="7.5" style="3" customWidth="1"/>
    <col min="770" max="770" width="9.5" style="3" customWidth="1"/>
    <col min="771" max="773" width="5.59765625" style="3" customWidth="1"/>
    <col min="774" max="777" width="6" style="3" customWidth="1"/>
    <col min="778" max="778" width="8.69921875" style="3" customWidth="1"/>
    <col min="779" max="779" width="7.59765625" style="3" customWidth="1"/>
    <col min="780" max="786" width="8" style="3" customWidth="1"/>
    <col min="787" max="787" style="3" hidden="1" customWidth="1"/>
    <col min="788" max="1024" width="8.69921875" style="3" customWidth="1"/>
    <col min="1025" max="1025" width="7.5" style="3" customWidth="1"/>
    <col min="1026" max="1026" width="9.5" style="3" customWidth="1"/>
    <col min="1027" max="1029" width="5.59765625" style="3" customWidth="1"/>
    <col min="1030" max="1033" width="6" style="3" customWidth="1"/>
    <col min="1034" max="1034" width="8.69921875" style="3" customWidth="1"/>
    <col min="1035" max="1035" width="7.59765625" style="3" customWidth="1"/>
    <col min="1036" max="1042" width="8" style="3" customWidth="1"/>
    <col min="1043" max="1043" style="3" hidden="1" customWidth="1"/>
    <col min="1044" max="1280" width="8.69921875" style="3" customWidth="1"/>
    <col min="1281" max="1281" width="7.5" style="3" customWidth="1"/>
    <col min="1282" max="1282" width="9.5" style="3" customWidth="1"/>
    <col min="1283" max="1285" width="5.59765625" style="3" customWidth="1"/>
    <col min="1286" max="1289" width="6" style="3" customWidth="1"/>
    <col min="1290" max="1290" width="8.69921875" style="3" customWidth="1"/>
    <col min="1291" max="1291" width="7.59765625" style="3" customWidth="1"/>
    <col min="1292" max="1298" width="8" style="3" customWidth="1"/>
    <col min="1299" max="1299" style="3" hidden="1" customWidth="1"/>
    <col min="1300" max="1536" width="8.69921875" style="3" customWidth="1"/>
    <col min="1537" max="1537" width="7.5" style="3" customWidth="1"/>
    <col min="1538" max="1538" width="9.5" style="3" customWidth="1"/>
    <col min="1539" max="1541" width="5.59765625" style="3" customWidth="1"/>
    <col min="1542" max="1545" width="6" style="3" customWidth="1"/>
    <col min="1546" max="1546" width="8.69921875" style="3" customWidth="1"/>
    <col min="1547" max="1547" width="7.59765625" style="3" customWidth="1"/>
    <col min="1548" max="1554" width="8" style="3" customWidth="1"/>
    <col min="1555" max="1555" style="3" hidden="1" customWidth="1"/>
    <col min="1556" max="1792" width="8.69921875" style="3" customWidth="1"/>
    <col min="1793" max="1793" width="7.5" style="3" customWidth="1"/>
    <col min="1794" max="1794" width="9.5" style="3" customWidth="1"/>
    <col min="1795" max="1797" width="5.59765625" style="3" customWidth="1"/>
    <col min="1798" max="1801" width="6" style="3" customWidth="1"/>
    <col min="1802" max="1802" width="8.69921875" style="3" customWidth="1"/>
    <col min="1803" max="1803" width="7.59765625" style="3" customWidth="1"/>
    <col min="1804" max="1810" width="8" style="3" customWidth="1"/>
    <col min="1811" max="1811" style="3" hidden="1" customWidth="1"/>
    <col min="1812" max="2048" width="8.69921875" style="3" customWidth="1"/>
    <col min="2049" max="2049" width="7.5" style="3" customWidth="1"/>
    <col min="2050" max="2050" width="9.5" style="3" customWidth="1"/>
    <col min="2051" max="2053" width="5.59765625" style="3" customWidth="1"/>
    <col min="2054" max="2057" width="6" style="3" customWidth="1"/>
    <col min="2058" max="2058" width="8.69921875" style="3" customWidth="1"/>
    <col min="2059" max="2059" width="7.59765625" style="3" customWidth="1"/>
    <col min="2060" max="2066" width="8" style="3" customWidth="1"/>
    <col min="2067" max="2067" style="3" hidden="1" customWidth="1"/>
    <col min="2068" max="2304" width="8.69921875" style="3" customWidth="1"/>
    <col min="2305" max="2305" width="7.5" style="3" customWidth="1"/>
    <col min="2306" max="2306" width="9.5" style="3" customWidth="1"/>
    <col min="2307" max="2309" width="5.59765625" style="3" customWidth="1"/>
    <col min="2310" max="2313" width="6" style="3" customWidth="1"/>
    <col min="2314" max="2314" width="8.69921875" style="3" customWidth="1"/>
    <col min="2315" max="2315" width="7.59765625" style="3" customWidth="1"/>
    <col min="2316" max="2322" width="8" style="3" customWidth="1"/>
    <col min="2323" max="2323" style="3" hidden="1" customWidth="1"/>
    <col min="2324" max="2560" width="8.69921875" style="3" customWidth="1"/>
    <col min="2561" max="2561" width="7.5" style="3" customWidth="1"/>
    <col min="2562" max="2562" width="9.5" style="3" customWidth="1"/>
    <col min="2563" max="2565" width="5.59765625" style="3" customWidth="1"/>
    <col min="2566" max="2569" width="6" style="3" customWidth="1"/>
    <col min="2570" max="2570" width="8.69921875" style="3" customWidth="1"/>
    <col min="2571" max="2571" width="7.59765625" style="3" customWidth="1"/>
    <col min="2572" max="2578" width="8" style="3" customWidth="1"/>
    <col min="2579" max="2579" style="3" hidden="1" customWidth="1"/>
    <col min="2580" max="2816" width="8.69921875" style="3" customWidth="1"/>
    <col min="2817" max="2817" width="7.5" style="3" customWidth="1"/>
    <col min="2818" max="2818" width="9.5" style="3" customWidth="1"/>
    <col min="2819" max="2821" width="5.59765625" style="3" customWidth="1"/>
    <col min="2822" max="2825" width="6" style="3" customWidth="1"/>
    <col min="2826" max="2826" width="8.69921875" style="3" customWidth="1"/>
    <col min="2827" max="2827" width="7.59765625" style="3" customWidth="1"/>
    <col min="2828" max="2834" width="8" style="3" customWidth="1"/>
    <col min="2835" max="2835" style="3" hidden="1" customWidth="1"/>
    <col min="2836" max="3072" width="8.69921875" style="3" customWidth="1"/>
    <col min="3073" max="3073" width="7.5" style="3" customWidth="1"/>
    <col min="3074" max="3074" width="9.5" style="3" customWidth="1"/>
    <col min="3075" max="3077" width="5.59765625" style="3" customWidth="1"/>
    <col min="3078" max="3081" width="6" style="3" customWidth="1"/>
    <col min="3082" max="3082" width="8.69921875" style="3" customWidth="1"/>
    <col min="3083" max="3083" width="7.59765625" style="3" customWidth="1"/>
    <col min="3084" max="3090" width="8" style="3" customWidth="1"/>
    <col min="3091" max="3091" style="3" hidden="1" customWidth="1"/>
    <col min="3092" max="3328" width="8.69921875" style="3" customWidth="1"/>
    <col min="3329" max="3329" width="7.5" style="3" customWidth="1"/>
    <col min="3330" max="3330" width="9.5" style="3" customWidth="1"/>
    <col min="3331" max="3333" width="5.59765625" style="3" customWidth="1"/>
    <col min="3334" max="3337" width="6" style="3" customWidth="1"/>
    <col min="3338" max="3338" width="8.69921875" style="3" customWidth="1"/>
    <col min="3339" max="3339" width="7.59765625" style="3" customWidth="1"/>
    <col min="3340" max="3346" width="8" style="3" customWidth="1"/>
    <col min="3347" max="3347" style="3" hidden="1" customWidth="1"/>
    <col min="3348" max="3584" width="8.69921875" style="3" customWidth="1"/>
    <col min="3585" max="3585" width="7.5" style="3" customWidth="1"/>
    <col min="3586" max="3586" width="9.5" style="3" customWidth="1"/>
    <col min="3587" max="3589" width="5.59765625" style="3" customWidth="1"/>
    <col min="3590" max="3593" width="6" style="3" customWidth="1"/>
    <col min="3594" max="3594" width="8.69921875" style="3" customWidth="1"/>
    <col min="3595" max="3595" width="7.59765625" style="3" customWidth="1"/>
    <col min="3596" max="3602" width="8" style="3" customWidth="1"/>
    <col min="3603" max="3603" style="3" hidden="1" customWidth="1"/>
    <col min="3604" max="3840" width="8.69921875" style="3" customWidth="1"/>
    <col min="3841" max="3841" width="7.5" style="3" customWidth="1"/>
    <col min="3842" max="3842" width="9.5" style="3" customWidth="1"/>
    <col min="3843" max="3845" width="5.59765625" style="3" customWidth="1"/>
    <col min="3846" max="3849" width="6" style="3" customWidth="1"/>
    <col min="3850" max="3850" width="8.69921875" style="3" customWidth="1"/>
    <col min="3851" max="3851" width="7.59765625" style="3" customWidth="1"/>
    <col min="3852" max="3858" width="8" style="3" customWidth="1"/>
    <col min="3859" max="3859" style="3" hidden="1" customWidth="1"/>
    <col min="3860" max="4096" width="8.69921875" style="3" customWidth="1"/>
    <col min="4097" max="4097" width="7.5" style="3" customWidth="1"/>
    <col min="4098" max="4098" width="9.5" style="3" customWidth="1"/>
    <col min="4099" max="4101" width="5.59765625" style="3" customWidth="1"/>
    <col min="4102" max="4105" width="6" style="3" customWidth="1"/>
    <col min="4106" max="4106" width="8.69921875" style="3" customWidth="1"/>
    <col min="4107" max="4107" width="7.59765625" style="3" customWidth="1"/>
    <col min="4108" max="4114" width="8" style="3" customWidth="1"/>
    <col min="4115" max="4115" style="3" hidden="1" customWidth="1"/>
    <col min="4116" max="4352" width="8.69921875" style="3" customWidth="1"/>
    <col min="4353" max="4353" width="7.5" style="3" customWidth="1"/>
    <col min="4354" max="4354" width="9.5" style="3" customWidth="1"/>
    <col min="4355" max="4357" width="5.59765625" style="3" customWidth="1"/>
    <col min="4358" max="4361" width="6" style="3" customWidth="1"/>
    <col min="4362" max="4362" width="8.69921875" style="3" customWidth="1"/>
    <col min="4363" max="4363" width="7.59765625" style="3" customWidth="1"/>
    <col min="4364" max="4370" width="8" style="3" customWidth="1"/>
    <col min="4371" max="4371" style="3" hidden="1" customWidth="1"/>
    <col min="4372" max="4608" width="8.69921875" style="3" customWidth="1"/>
    <col min="4609" max="4609" width="7.5" style="3" customWidth="1"/>
    <col min="4610" max="4610" width="9.5" style="3" customWidth="1"/>
    <col min="4611" max="4613" width="5.59765625" style="3" customWidth="1"/>
    <col min="4614" max="4617" width="6" style="3" customWidth="1"/>
    <col min="4618" max="4618" width="8.69921875" style="3" customWidth="1"/>
    <col min="4619" max="4619" width="7.59765625" style="3" customWidth="1"/>
    <col min="4620" max="4626" width="8" style="3" customWidth="1"/>
    <col min="4627" max="4627" style="3" hidden="1" customWidth="1"/>
    <col min="4628" max="4864" width="8.69921875" style="3" customWidth="1"/>
    <col min="4865" max="4865" width="7.5" style="3" customWidth="1"/>
    <col min="4866" max="4866" width="9.5" style="3" customWidth="1"/>
    <col min="4867" max="4869" width="5.59765625" style="3" customWidth="1"/>
    <col min="4870" max="4873" width="6" style="3" customWidth="1"/>
    <col min="4874" max="4874" width="8.69921875" style="3" customWidth="1"/>
    <col min="4875" max="4875" width="7.59765625" style="3" customWidth="1"/>
    <col min="4876" max="4882" width="8" style="3" customWidth="1"/>
    <col min="4883" max="4883" style="3" hidden="1" customWidth="1"/>
    <col min="4884" max="5120" width="8.69921875" style="3" customWidth="1"/>
    <col min="5121" max="5121" width="7.5" style="3" customWidth="1"/>
    <col min="5122" max="5122" width="9.5" style="3" customWidth="1"/>
    <col min="5123" max="5125" width="5.59765625" style="3" customWidth="1"/>
    <col min="5126" max="5129" width="6" style="3" customWidth="1"/>
    <col min="5130" max="5130" width="8.69921875" style="3" customWidth="1"/>
    <col min="5131" max="5131" width="7.59765625" style="3" customWidth="1"/>
    <col min="5132" max="5138" width="8" style="3" customWidth="1"/>
    <col min="5139" max="5139" style="3" hidden="1" customWidth="1"/>
    <col min="5140" max="5376" width="8.69921875" style="3" customWidth="1"/>
    <col min="5377" max="5377" width="7.5" style="3" customWidth="1"/>
    <col min="5378" max="5378" width="9.5" style="3" customWidth="1"/>
    <col min="5379" max="5381" width="5.59765625" style="3" customWidth="1"/>
    <col min="5382" max="5385" width="6" style="3" customWidth="1"/>
    <col min="5386" max="5386" width="8.69921875" style="3" customWidth="1"/>
    <col min="5387" max="5387" width="7.59765625" style="3" customWidth="1"/>
    <col min="5388" max="5394" width="8" style="3" customWidth="1"/>
    <col min="5395" max="5395" style="3" hidden="1" customWidth="1"/>
    <col min="5396" max="5632" width="8.69921875" style="3" customWidth="1"/>
    <col min="5633" max="5633" width="7.5" style="3" customWidth="1"/>
    <col min="5634" max="5634" width="9.5" style="3" customWidth="1"/>
    <col min="5635" max="5637" width="5.59765625" style="3" customWidth="1"/>
    <col min="5638" max="5641" width="6" style="3" customWidth="1"/>
    <col min="5642" max="5642" width="8.69921875" style="3" customWidth="1"/>
    <col min="5643" max="5643" width="7.59765625" style="3" customWidth="1"/>
    <col min="5644" max="5650" width="8" style="3" customWidth="1"/>
    <col min="5651" max="5651" style="3" hidden="1" customWidth="1"/>
    <col min="5652" max="5888" width="8.69921875" style="3" customWidth="1"/>
    <col min="5889" max="5889" width="7.5" style="3" customWidth="1"/>
    <col min="5890" max="5890" width="9.5" style="3" customWidth="1"/>
    <col min="5891" max="5893" width="5.59765625" style="3" customWidth="1"/>
    <col min="5894" max="5897" width="6" style="3" customWidth="1"/>
    <col min="5898" max="5898" width="8.69921875" style="3" customWidth="1"/>
    <col min="5899" max="5899" width="7.59765625" style="3" customWidth="1"/>
    <col min="5900" max="5906" width="8" style="3" customWidth="1"/>
    <col min="5907" max="5907" style="3" hidden="1" customWidth="1"/>
    <col min="5908" max="6144" width="8.69921875" style="3" customWidth="1"/>
    <col min="6145" max="6145" width="7.5" style="3" customWidth="1"/>
    <col min="6146" max="6146" width="9.5" style="3" customWidth="1"/>
    <col min="6147" max="6149" width="5.59765625" style="3" customWidth="1"/>
    <col min="6150" max="6153" width="6" style="3" customWidth="1"/>
    <col min="6154" max="6154" width="8.69921875" style="3" customWidth="1"/>
    <col min="6155" max="6155" width="7.59765625" style="3" customWidth="1"/>
    <col min="6156" max="6162" width="8" style="3" customWidth="1"/>
    <col min="6163" max="6163" style="3" hidden="1" customWidth="1"/>
    <col min="6164" max="6400" width="8.69921875" style="3" customWidth="1"/>
    <col min="6401" max="6401" width="7.5" style="3" customWidth="1"/>
    <col min="6402" max="6402" width="9.5" style="3" customWidth="1"/>
    <col min="6403" max="6405" width="5.59765625" style="3" customWidth="1"/>
    <col min="6406" max="6409" width="6" style="3" customWidth="1"/>
    <col min="6410" max="6410" width="8.69921875" style="3" customWidth="1"/>
    <col min="6411" max="6411" width="7.59765625" style="3" customWidth="1"/>
    <col min="6412" max="6418" width="8" style="3" customWidth="1"/>
    <col min="6419" max="6419" style="3" hidden="1" customWidth="1"/>
    <col min="6420" max="6656" width="8.69921875" style="3" customWidth="1"/>
    <col min="6657" max="6657" width="7.5" style="3" customWidth="1"/>
    <col min="6658" max="6658" width="9.5" style="3" customWidth="1"/>
    <col min="6659" max="6661" width="5.59765625" style="3" customWidth="1"/>
    <col min="6662" max="6665" width="6" style="3" customWidth="1"/>
    <col min="6666" max="6666" width="8.69921875" style="3" customWidth="1"/>
    <col min="6667" max="6667" width="7.59765625" style="3" customWidth="1"/>
    <col min="6668" max="6674" width="8" style="3" customWidth="1"/>
    <col min="6675" max="6675" style="3" hidden="1" customWidth="1"/>
    <col min="6676" max="6912" width="8.69921875" style="3" customWidth="1"/>
    <col min="6913" max="6913" width="7.5" style="3" customWidth="1"/>
    <col min="6914" max="6914" width="9.5" style="3" customWidth="1"/>
    <col min="6915" max="6917" width="5.59765625" style="3" customWidth="1"/>
    <col min="6918" max="6921" width="6" style="3" customWidth="1"/>
    <col min="6922" max="6922" width="8.69921875" style="3" customWidth="1"/>
    <col min="6923" max="6923" width="7.59765625" style="3" customWidth="1"/>
    <col min="6924" max="6930" width="8" style="3" customWidth="1"/>
    <col min="6931" max="6931" style="3" hidden="1" customWidth="1"/>
    <col min="6932" max="7168" width="8.69921875" style="3" customWidth="1"/>
    <col min="7169" max="7169" width="7.5" style="3" customWidth="1"/>
    <col min="7170" max="7170" width="9.5" style="3" customWidth="1"/>
    <col min="7171" max="7173" width="5.59765625" style="3" customWidth="1"/>
    <col min="7174" max="7177" width="6" style="3" customWidth="1"/>
    <col min="7178" max="7178" width="8.69921875" style="3" customWidth="1"/>
    <col min="7179" max="7179" width="7.59765625" style="3" customWidth="1"/>
    <col min="7180" max="7186" width="8" style="3" customWidth="1"/>
    <col min="7187" max="7187" style="3" hidden="1" customWidth="1"/>
    <col min="7188" max="7424" width="8.69921875" style="3" customWidth="1"/>
    <col min="7425" max="7425" width="7.5" style="3" customWidth="1"/>
    <col min="7426" max="7426" width="9.5" style="3" customWidth="1"/>
    <col min="7427" max="7429" width="5.59765625" style="3" customWidth="1"/>
    <col min="7430" max="7433" width="6" style="3" customWidth="1"/>
    <col min="7434" max="7434" width="8.69921875" style="3" customWidth="1"/>
    <col min="7435" max="7435" width="7.59765625" style="3" customWidth="1"/>
    <col min="7436" max="7442" width="8" style="3" customWidth="1"/>
    <col min="7443" max="7443" style="3" hidden="1" customWidth="1"/>
    <col min="7444" max="7680" width="8.69921875" style="3" customWidth="1"/>
    <col min="7681" max="7681" width="7.5" style="3" customWidth="1"/>
    <col min="7682" max="7682" width="9.5" style="3" customWidth="1"/>
    <col min="7683" max="7685" width="5.59765625" style="3" customWidth="1"/>
    <col min="7686" max="7689" width="6" style="3" customWidth="1"/>
    <col min="7690" max="7690" width="8.69921875" style="3" customWidth="1"/>
    <col min="7691" max="7691" width="7.59765625" style="3" customWidth="1"/>
    <col min="7692" max="7698" width="8" style="3" customWidth="1"/>
    <col min="7699" max="7699" style="3" hidden="1" customWidth="1"/>
    <col min="7700" max="7936" width="8.69921875" style="3" customWidth="1"/>
    <col min="7937" max="7937" width="7.5" style="3" customWidth="1"/>
    <col min="7938" max="7938" width="9.5" style="3" customWidth="1"/>
    <col min="7939" max="7941" width="5.59765625" style="3" customWidth="1"/>
    <col min="7942" max="7945" width="6" style="3" customWidth="1"/>
    <col min="7946" max="7946" width="8.69921875" style="3" customWidth="1"/>
    <col min="7947" max="7947" width="7.59765625" style="3" customWidth="1"/>
    <col min="7948" max="7954" width="8" style="3" customWidth="1"/>
    <col min="7955" max="7955" style="3" hidden="1" customWidth="1"/>
    <col min="7956" max="8192" width="8.69921875" style="3" customWidth="1"/>
    <col min="8193" max="8193" width="7.5" style="3" customWidth="1"/>
    <col min="8194" max="8194" width="9.5" style="3" customWidth="1"/>
    <col min="8195" max="8197" width="5.59765625" style="3" customWidth="1"/>
    <col min="8198" max="8201" width="6" style="3" customWidth="1"/>
    <col min="8202" max="8202" width="8.69921875" style="3" customWidth="1"/>
    <col min="8203" max="8203" width="7.59765625" style="3" customWidth="1"/>
    <col min="8204" max="8210" width="8" style="3" customWidth="1"/>
    <col min="8211" max="8211" style="3" hidden="1" customWidth="1"/>
    <col min="8212" max="8448" width="8.69921875" style="3" customWidth="1"/>
    <col min="8449" max="8449" width="7.5" style="3" customWidth="1"/>
    <col min="8450" max="8450" width="9.5" style="3" customWidth="1"/>
    <col min="8451" max="8453" width="5.59765625" style="3" customWidth="1"/>
    <col min="8454" max="8457" width="6" style="3" customWidth="1"/>
    <col min="8458" max="8458" width="8.69921875" style="3" customWidth="1"/>
    <col min="8459" max="8459" width="7.59765625" style="3" customWidth="1"/>
    <col min="8460" max="8466" width="8" style="3" customWidth="1"/>
    <col min="8467" max="8467" style="3" hidden="1" customWidth="1"/>
    <col min="8468" max="8704" width="8.69921875" style="3" customWidth="1"/>
    <col min="8705" max="8705" width="7.5" style="3" customWidth="1"/>
    <col min="8706" max="8706" width="9.5" style="3" customWidth="1"/>
    <col min="8707" max="8709" width="5.59765625" style="3" customWidth="1"/>
    <col min="8710" max="8713" width="6" style="3" customWidth="1"/>
    <col min="8714" max="8714" width="8.69921875" style="3" customWidth="1"/>
    <col min="8715" max="8715" width="7.59765625" style="3" customWidth="1"/>
    <col min="8716" max="8722" width="8" style="3" customWidth="1"/>
    <col min="8723" max="8723" style="3" hidden="1" customWidth="1"/>
    <col min="8724" max="8960" width="8.69921875" style="3" customWidth="1"/>
    <col min="8961" max="8961" width="7.5" style="3" customWidth="1"/>
    <col min="8962" max="8962" width="9.5" style="3" customWidth="1"/>
    <col min="8963" max="8965" width="5.59765625" style="3" customWidth="1"/>
    <col min="8966" max="8969" width="6" style="3" customWidth="1"/>
    <col min="8970" max="8970" width="8.69921875" style="3" customWidth="1"/>
    <col min="8971" max="8971" width="7.59765625" style="3" customWidth="1"/>
    <col min="8972" max="8978" width="8" style="3" customWidth="1"/>
    <col min="8979" max="8979" style="3" hidden="1" customWidth="1"/>
    <col min="8980" max="9216" width="8.69921875" style="3" customWidth="1"/>
    <col min="9217" max="9217" width="7.5" style="3" customWidth="1"/>
    <col min="9218" max="9218" width="9.5" style="3" customWidth="1"/>
    <col min="9219" max="9221" width="5.59765625" style="3" customWidth="1"/>
    <col min="9222" max="9225" width="6" style="3" customWidth="1"/>
    <col min="9226" max="9226" width="8.69921875" style="3" customWidth="1"/>
    <col min="9227" max="9227" width="7.59765625" style="3" customWidth="1"/>
    <col min="9228" max="9234" width="8" style="3" customWidth="1"/>
    <col min="9235" max="9235" style="3" hidden="1" customWidth="1"/>
    <col min="9236" max="9472" width="8.69921875" style="3" customWidth="1"/>
    <col min="9473" max="9473" width="7.5" style="3" customWidth="1"/>
    <col min="9474" max="9474" width="9.5" style="3" customWidth="1"/>
    <col min="9475" max="9477" width="5.59765625" style="3" customWidth="1"/>
    <col min="9478" max="9481" width="6" style="3" customWidth="1"/>
    <col min="9482" max="9482" width="8.69921875" style="3" customWidth="1"/>
    <col min="9483" max="9483" width="7.59765625" style="3" customWidth="1"/>
    <col min="9484" max="9490" width="8" style="3" customWidth="1"/>
    <col min="9491" max="9491" style="3" hidden="1" customWidth="1"/>
    <col min="9492" max="9728" width="8.69921875" style="3" customWidth="1"/>
    <col min="9729" max="9729" width="7.5" style="3" customWidth="1"/>
    <col min="9730" max="9730" width="9.5" style="3" customWidth="1"/>
    <col min="9731" max="9733" width="5.59765625" style="3" customWidth="1"/>
    <col min="9734" max="9737" width="6" style="3" customWidth="1"/>
    <col min="9738" max="9738" width="8.69921875" style="3" customWidth="1"/>
    <col min="9739" max="9739" width="7.59765625" style="3" customWidth="1"/>
    <col min="9740" max="9746" width="8" style="3" customWidth="1"/>
    <col min="9747" max="9747" style="3" hidden="1" customWidth="1"/>
    <col min="9748" max="9984" width="8.69921875" style="3" customWidth="1"/>
    <col min="9985" max="9985" width="7.5" style="3" customWidth="1"/>
    <col min="9986" max="9986" width="9.5" style="3" customWidth="1"/>
    <col min="9987" max="9989" width="5.59765625" style="3" customWidth="1"/>
    <col min="9990" max="9993" width="6" style="3" customWidth="1"/>
    <col min="9994" max="9994" width="8.69921875" style="3" customWidth="1"/>
    <col min="9995" max="9995" width="7.59765625" style="3" customWidth="1"/>
    <col min="9996" max="10002" width="8" style="3" customWidth="1"/>
    <col min="10003" max="10003" style="3" hidden="1" customWidth="1"/>
    <col min="10004" max="10240" width="8.69921875" style="3" customWidth="1"/>
    <col min="10241" max="10241" width="7.5" style="3" customWidth="1"/>
    <col min="10242" max="10242" width="9.5" style="3" customWidth="1"/>
    <col min="10243" max="10245" width="5.59765625" style="3" customWidth="1"/>
    <col min="10246" max="10249" width="6" style="3" customWidth="1"/>
    <col min="10250" max="10250" width="8.69921875" style="3" customWidth="1"/>
    <col min="10251" max="10251" width="7.59765625" style="3" customWidth="1"/>
    <col min="10252" max="10258" width="8" style="3" customWidth="1"/>
    <col min="10259" max="10259" style="3" hidden="1" customWidth="1"/>
    <col min="10260" max="10496" width="8.69921875" style="3" customWidth="1"/>
    <col min="10497" max="10497" width="7.5" style="3" customWidth="1"/>
    <col min="10498" max="10498" width="9.5" style="3" customWidth="1"/>
    <col min="10499" max="10501" width="5.59765625" style="3" customWidth="1"/>
    <col min="10502" max="10505" width="6" style="3" customWidth="1"/>
    <col min="10506" max="10506" width="8.69921875" style="3" customWidth="1"/>
    <col min="10507" max="10507" width="7.59765625" style="3" customWidth="1"/>
    <col min="10508" max="10514" width="8" style="3" customWidth="1"/>
    <col min="10515" max="10515" style="3" hidden="1" customWidth="1"/>
    <col min="10516" max="10752" width="8.69921875" style="3" customWidth="1"/>
    <col min="10753" max="10753" width="7.5" style="3" customWidth="1"/>
    <col min="10754" max="10754" width="9.5" style="3" customWidth="1"/>
    <col min="10755" max="10757" width="5.59765625" style="3" customWidth="1"/>
    <col min="10758" max="10761" width="6" style="3" customWidth="1"/>
    <col min="10762" max="10762" width="8.69921875" style="3" customWidth="1"/>
    <col min="10763" max="10763" width="7.59765625" style="3" customWidth="1"/>
    <col min="10764" max="10770" width="8" style="3" customWidth="1"/>
    <col min="10771" max="10771" style="3" hidden="1" customWidth="1"/>
    <col min="10772" max="11008" width="8.69921875" style="3" customWidth="1"/>
    <col min="11009" max="11009" width="7.5" style="3" customWidth="1"/>
    <col min="11010" max="11010" width="9.5" style="3" customWidth="1"/>
    <col min="11011" max="11013" width="5.59765625" style="3" customWidth="1"/>
    <col min="11014" max="11017" width="6" style="3" customWidth="1"/>
    <col min="11018" max="11018" width="8.69921875" style="3" customWidth="1"/>
    <col min="11019" max="11019" width="7.59765625" style="3" customWidth="1"/>
    <col min="11020" max="11026" width="8" style="3" customWidth="1"/>
    <col min="11027" max="11027" style="3" hidden="1" customWidth="1"/>
    <col min="11028" max="11264" width="8.69921875" style="3" customWidth="1"/>
    <col min="11265" max="11265" width="7.5" style="3" customWidth="1"/>
    <col min="11266" max="11266" width="9.5" style="3" customWidth="1"/>
    <col min="11267" max="11269" width="5.59765625" style="3" customWidth="1"/>
    <col min="11270" max="11273" width="6" style="3" customWidth="1"/>
    <col min="11274" max="11274" width="8.69921875" style="3" customWidth="1"/>
    <col min="11275" max="11275" width="7.59765625" style="3" customWidth="1"/>
    <col min="11276" max="11282" width="8" style="3" customWidth="1"/>
    <col min="11283" max="11283" style="3" hidden="1" customWidth="1"/>
    <col min="11284" max="11520" width="8.69921875" style="3" customWidth="1"/>
    <col min="11521" max="11521" width="7.5" style="3" customWidth="1"/>
    <col min="11522" max="11522" width="9.5" style="3" customWidth="1"/>
    <col min="11523" max="11525" width="5.59765625" style="3" customWidth="1"/>
    <col min="11526" max="11529" width="6" style="3" customWidth="1"/>
    <col min="11530" max="11530" width="8.69921875" style="3" customWidth="1"/>
    <col min="11531" max="11531" width="7.59765625" style="3" customWidth="1"/>
    <col min="11532" max="11538" width="8" style="3" customWidth="1"/>
    <col min="11539" max="11539" style="3" hidden="1" customWidth="1"/>
    <col min="11540" max="11776" width="8.69921875" style="3" customWidth="1"/>
    <col min="11777" max="11777" width="7.5" style="3" customWidth="1"/>
    <col min="11778" max="11778" width="9.5" style="3" customWidth="1"/>
    <col min="11779" max="11781" width="5.59765625" style="3" customWidth="1"/>
    <col min="11782" max="11785" width="6" style="3" customWidth="1"/>
    <col min="11786" max="11786" width="8.69921875" style="3" customWidth="1"/>
    <col min="11787" max="11787" width="7.59765625" style="3" customWidth="1"/>
    <col min="11788" max="11794" width="8" style="3" customWidth="1"/>
    <col min="11795" max="11795" style="3" hidden="1" customWidth="1"/>
    <col min="11796" max="12032" width="8.69921875" style="3" customWidth="1"/>
    <col min="12033" max="12033" width="7.5" style="3" customWidth="1"/>
    <col min="12034" max="12034" width="9.5" style="3" customWidth="1"/>
    <col min="12035" max="12037" width="5.59765625" style="3" customWidth="1"/>
    <col min="12038" max="12041" width="6" style="3" customWidth="1"/>
    <col min="12042" max="12042" width="8.69921875" style="3" customWidth="1"/>
    <col min="12043" max="12043" width="7.59765625" style="3" customWidth="1"/>
    <col min="12044" max="12050" width="8" style="3" customWidth="1"/>
    <col min="12051" max="12051" style="3" hidden="1" customWidth="1"/>
    <col min="12052" max="12288" width="8.69921875" style="3" customWidth="1"/>
    <col min="12289" max="12289" width="7.5" style="3" customWidth="1"/>
    <col min="12290" max="12290" width="9.5" style="3" customWidth="1"/>
    <col min="12291" max="12293" width="5.59765625" style="3" customWidth="1"/>
    <col min="12294" max="12297" width="6" style="3" customWidth="1"/>
    <col min="12298" max="12298" width="8.69921875" style="3" customWidth="1"/>
    <col min="12299" max="12299" width="7.59765625" style="3" customWidth="1"/>
    <col min="12300" max="12306" width="8" style="3" customWidth="1"/>
    <col min="12307" max="12307" style="3" hidden="1" customWidth="1"/>
    <col min="12308" max="12544" width="8.69921875" style="3" customWidth="1"/>
    <col min="12545" max="12545" width="7.5" style="3" customWidth="1"/>
    <col min="12546" max="12546" width="9.5" style="3" customWidth="1"/>
    <col min="12547" max="12549" width="5.59765625" style="3" customWidth="1"/>
    <col min="12550" max="12553" width="6" style="3" customWidth="1"/>
    <col min="12554" max="12554" width="8.69921875" style="3" customWidth="1"/>
    <col min="12555" max="12555" width="7.59765625" style="3" customWidth="1"/>
    <col min="12556" max="12562" width="8" style="3" customWidth="1"/>
    <col min="12563" max="12563" style="3" hidden="1" customWidth="1"/>
    <col min="12564" max="12800" width="8.69921875" style="3" customWidth="1"/>
    <col min="12801" max="12801" width="7.5" style="3" customWidth="1"/>
    <col min="12802" max="12802" width="9.5" style="3" customWidth="1"/>
    <col min="12803" max="12805" width="5.59765625" style="3" customWidth="1"/>
    <col min="12806" max="12809" width="6" style="3" customWidth="1"/>
    <col min="12810" max="12810" width="8.69921875" style="3" customWidth="1"/>
    <col min="12811" max="12811" width="7.59765625" style="3" customWidth="1"/>
    <col min="12812" max="12818" width="8" style="3" customWidth="1"/>
    <col min="12819" max="12819" style="3" hidden="1" customWidth="1"/>
    <col min="12820" max="13056" width="8.69921875" style="3" customWidth="1"/>
    <col min="13057" max="13057" width="7.5" style="3" customWidth="1"/>
    <col min="13058" max="13058" width="9.5" style="3" customWidth="1"/>
    <col min="13059" max="13061" width="5.59765625" style="3" customWidth="1"/>
    <col min="13062" max="13065" width="6" style="3" customWidth="1"/>
    <col min="13066" max="13066" width="8.69921875" style="3" customWidth="1"/>
    <col min="13067" max="13067" width="7.59765625" style="3" customWidth="1"/>
    <col min="13068" max="13074" width="8" style="3" customWidth="1"/>
    <col min="13075" max="13075" style="3" hidden="1" customWidth="1"/>
    <col min="13076" max="13312" width="8.69921875" style="3" customWidth="1"/>
    <col min="13313" max="13313" width="7.5" style="3" customWidth="1"/>
    <col min="13314" max="13314" width="9.5" style="3" customWidth="1"/>
    <col min="13315" max="13317" width="5.59765625" style="3" customWidth="1"/>
    <col min="13318" max="13321" width="6" style="3" customWidth="1"/>
    <col min="13322" max="13322" width="8.69921875" style="3" customWidth="1"/>
    <col min="13323" max="13323" width="7.59765625" style="3" customWidth="1"/>
    <col min="13324" max="13330" width="8" style="3" customWidth="1"/>
    <col min="13331" max="13331" style="3" hidden="1" customWidth="1"/>
    <col min="13332" max="13568" width="8.69921875" style="3" customWidth="1"/>
    <col min="13569" max="13569" width="7.5" style="3" customWidth="1"/>
    <col min="13570" max="13570" width="9.5" style="3" customWidth="1"/>
    <col min="13571" max="13573" width="5.59765625" style="3" customWidth="1"/>
    <col min="13574" max="13577" width="6" style="3" customWidth="1"/>
    <col min="13578" max="13578" width="8.69921875" style="3" customWidth="1"/>
    <col min="13579" max="13579" width="7.59765625" style="3" customWidth="1"/>
    <col min="13580" max="13586" width="8" style="3" customWidth="1"/>
    <col min="13587" max="13587" style="3" hidden="1" customWidth="1"/>
    <col min="13588" max="13824" width="8.69921875" style="3" customWidth="1"/>
    <col min="13825" max="13825" width="7.5" style="3" customWidth="1"/>
    <col min="13826" max="13826" width="9.5" style="3" customWidth="1"/>
    <col min="13827" max="13829" width="5.59765625" style="3" customWidth="1"/>
    <col min="13830" max="13833" width="6" style="3" customWidth="1"/>
    <col min="13834" max="13834" width="8.69921875" style="3" customWidth="1"/>
    <col min="13835" max="13835" width="7.59765625" style="3" customWidth="1"/>
    <col min="13836" max="13842" width="8" style="3" customWidth="1"/>
    <col min="13843" max="13843" style="3" hidden="1" customWidth="1"/>
    <col min="13844" max="14080" width="8.69921875" style="3" customWidth="1"/>
    <col min="14081" max="14081" width="7.5" style="3" customWidth="1"/>
    <col min="14082" max="14082" width="9.5" style="3" customWidth="1"/>
    <col min="14083" max="14085" width="5.59765625" style="3" customWidth="1"/>
    <col min="14086" max="14089" width="6" style="3" customWidth="1"/>
    <col min="14090" max="14090" width="8.69921875" style="3" customWidth="1"/>
    <col min="14091" max="14091" width="7.59765625" style="3" customWidth="1"/>
    <col min="14092" max="14098" width="8" style="3" customWidth="1"/>
    <col min="14099" max="14099" style="3" hidden="1" customWidth="1"/>
    <col min="14100" max="14336" width="8.69921875" style="3" customWidth="1"/>
    <col min="14337" max="14337" width="7.5" style="3" customWidth="1"/>
    <col min="14338" max="14338" width="9.5" style="3" customWidth="1"/>
    <col min="14339" max="14341" width="5.59765625" style="3" customWidth="1"/>
    <col min="14342" max="14345" width="6" style="3" customWidth="1"/>
    <col min="14346" max="14346" width="8.69921875" style="3" customWidth="1"/>
    <col min="14347" max="14347" width="7.59765625" style="3" customWidth="1"/>
    <col min="14348" max="14354" width="8" style="3" customWidth="1"/>
    <col min="14355" max="14355" style="3" hidden="1" customWidth="1"/>
    <col min="14356" max="14592" width="8.69921875" style="3" customWidth="1"/>
    <col min="14593" max="14593" width="7.5" style="3" customWidth="1"/>
    <col min="14594" max="14594" width="9.5" style="3" customWidth="1"/>
    <col min="14595" max="14597" width="5.59765625" style="3" customWidth="1"/>
    <col min="14598" max="14601" width="6" style="3" customWidth="1"/>
    <col min="14602" max="14602" width="8.69921875" style="3" customWidth="1"/>
    <col min="14603" max="14603" width="7.59765625" style="3" customWidth="1"/>
    <col min="14604" max="14610" width="8" style="3" customWidth="1"/>
    <col min="14611" max="14611" style="3" hidden="1" customWidth="1"/>
    <col min="14612" max="14848" width="8.69921875" style="3" customWidth="1"/>
    <col min="14849" max="14849" width="7.5" style="3" customWidth="1"/>
    <col min="14850" max="14850" width="9.5" style="3" customWidth="1"/>
    <col min="14851" max="14853" width="5.59765625" style="3" customWidth="1"/>
    <col min="14854" max="14857" width="6" style="3" customWidth="1"/>
    <col min="14858" max="14858" width="8.69921875" style="3" customWidth="1"/>
    <col min="14859" max="14859" width="7.59765625" style="3" customWidth="1"/>
    <col min="14860" max="14866" width="8" style="3" customWidth="1"/>
    <col min="14867" max="14867" style="3" hidden="1" customWidth="1"/>
    <col min="14868" max="15104" width="8.69921875" style="3" customWidth="1"/>
    <col min="15105" max="15105" width="7.5" style="3" customWidth="1"/>
    <col min="15106" max="15106" width="9.5" style="3" customWidth="1"/>
    <col min="15107" max="15109" width="5.59765625" style="3" customWidth="1"/>
    <col min="15110" max="15113" width="6" style="3" customWidth="1"/>
    <col min="15114" max="15114" width="8.69921875" style="3" customWidth="1"/>
    <col min="15115" max="15115" width="7.59765625" style="3" customWidth="1"/>
    <col min="15116" max="15122" width="8" style="3" customWidth="1"/>
    <col min="15123" max="15123" style="3" hidden="1" customWidth="1"/>
    <col min="15124" max="15360" width="8.69921875" style="3" customWidth="1"/>
    <col min="15361" max="15361" width="7.5" style="3" customWidth="1"/>
    <col min="15362" max="15362" width="9.5" style="3" customWidth="1"/>
    <col min="15363" max="15365" width="5.59765625" style="3" customWidth="1"/>
    <col min="15366" max="15369" width="6" style="3" customWidth="1"/>
    <col min="15370" max="15370" width="8.69921875" style="3" customWidth="1"/>
    <col min="15371" max="15371" width="7.59765625" style="3" customWidth="1"/>
    <col min="15372" max="15378" width="8" style="3" customWidth="1"/>
    <col min="15379" max="15379" style="3" hidden="1" customWidth="1"/>
    <col min="15380" max="15616" width="8.69921875" style="3" customWidth="1"/>
    <col min="15617" max="15617" width="7.5" style="3" customWidth="1"/>
    <col min="15618" max="15618" width="9.5" style="3" customWidth="1"/>
    <col min="15619" max="15621" width="5.59765625" style="3" customWidth="1"/>
    <col min="15622" max="15625" width="6" style="3" customWidth="1"/>
    <col min="15626" max="15626" width="8.69921875" style="3" customWidth="1"/>
    <col min="15627" max="15627" width="7.59765625" style="3" customWidth="1"/>
    <col min="15628" max="15634" width="8" style="3" customWidth="1"/>
    <col min="15635" max="15635" style="3" hidden="1" customWidth="1"/>
    <col min="15636" max="15872" width="8.69921875" style="3" customWidth="1"/>
    <col min="15873" max="15873" width="7.5" style="3" customWidth="1"/>
    <col min="15874" max="15874" width="9.5" style="3" customWidth="1"/>
    <col min="15875" max="15877" width="5.59765625" style="3" customWidth="1"/>
    <col min="15878" max="15881" width="6" style="3" customWidth="1"/>
    <col min="15882" max="15882" width="8.69921875" style="3" customWidth="1"/>
    <col min="15883" max="15883" width="7.59765625" style="3" customWidth="1"/>
    <col min="15884" max="15890" width="8" style="3" customWidth="1"/>
    <col min="15891" max="15891" style="3" hidden="1" customWidth="1"/>
    <col min="15892" max="16128" width="8.69921875" style="3" customWidth="1"/>
    <col min="16129" max="16129" width="7.5" style="3" customWidth="1"/>
    <col min="16130" max="16130" width="9.5" style="3" customWidth="1"/>
    <col min="16131" max="16133" width="5.59765625" style="3" customWidth="1"/>
    <col min="16134" max="16137" width="6" style="3" customWidth="1"/>
    <col min="16138" max="16138" width="8.69921875" style="3" customWidth="1"/>
    <col min="16139" max="16139" width="7.59765625" style="3" customWidth="1"/>
    <col min="16140" max="16146" width="8" style="3" customWidth="1"/>
    <col min="16147" max="16147" style="3" hidden="1" customWidth="1"/>
    <col min="16148" max="16384" width="8.69921875" style="3" customWidth="1"/>
  </cols>
  <sheetData>
    <row r="1" ht="27" customHeight="1" spans="1:18" x14ac:dyDescent="0.25">
      <c r="A1" s="190" t="s">
        <v>25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</row>
    <row r="2" ht="12" customHeight="1" spans="1:18" x14ac:dyDescent="0.25">
      <c r="A2" s="179" t="s">
        <v>26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</row>
    <row r="3" ht="5.25" customHeight="1" x14ac:dyDescent="0.25"/>
    <row r="4" ht="20.25" customHeight="1" spans="1:18" x14ac:dyDescent="0.25">
      <c r="A4" s="191" t="s">
        <v>62</v>
      </c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</row>
    <row r="5" ht="4.5" customHeight="1" x14ac:dyDescent="0.25"/>
    <row r="6" spans="1:18" x14ac:dyDescent="0.25">
      <c r="A6" s="192" t="s">
        <v>63</v>
      </c>
      <c r="B6" s="192" t="str">
        <f>'OS-IN'!B6</f>
        <v>STARSHIP DRACO</v>
      </c>
      <c r="I6" s="192" t="s">
        <v>64</v>
      </c>
      <c r="J6" s="192"/>
      <c r="K6" s="192"/>
      <c r="L6" s="192"/>
      <c r="O6" s="192" t="s">
        <v>65</v>
      </c>
      <c r="P6" s="193">
        <f>'OS-IN'!L6</f>
        <v>46208</v>
      </c>
      <c r="Q6" s="179"/>
      <c r="R6" s="179"/>
    </row>
    <row r="7" ht="11.25" customHeight="1" x14ac:dyDescent="0.25"/>
    <row r="8" spans="1:18" x14ac:dyDescent="0.25">
      <c r="A8" s="192" t="s">
        <v>66</v>
      </c>
      <c r="B8" s="192" t="s">
        <v>26</v>
      </c>
      <c r="C8" s="192"/>
      <c r="D8" s="192"/>
      <c r="E8" s="192"/>
      <c r="I8" s="3" t="s">
        <v>67</v>
      </c>
      <c r="O8" s="192" t="s">
        <v>68</v>
      </c>
      <c r="P8" s="179">
        <v>15</v>
      </c>
      <c r="Q8" s="179"/>
      <c r="R8" s="179"/>
    </row>
    <row r="9" ht="6.75" customHeight="1" x14ac:dyDescent="0.25"/>
    <row r="10" ht="12" customHeight="1" spans="1:18" x14ac:dyDescent="0.25">
      <c r="A10" s="195" t="s">
        <v>11</v>
      </c>
      <c r="B10" s="195" t="s">
        <v>47</v>
      </c>
      <c r="C10" s="247" t="s">
        <v>69</v>
      </c>
      <c r="D10" s="188"/>
      <c r="E10" s="248"/>
      <c r="F10" s="195" t="s">
        <v>70</v>
      </c>
      <c r="G10" s="195"/>
      <c r="H10" s="195"/>
      <c r="I10" s="195"/>
      <c r="J10" s="197" t="s">
        <v>71</v>
      </c>
      <c r="K10" s="195" t="s">
        <v>72</v>
      </c>
      <c r="L10" s="195" t="s">
        <v>73</v>
      </c>
      <c r="M10" s="195"/>
      <c r="N10" s="195"/>
      <c r="O10" s="195"/>
      <c r="P10" s="195"/>
      <c r="Q10" s="195"/>
      <c r="R10" s="195"/>
    </row>
    <row r="11" ht="12" customHeight="1" spans="1:18" x14ac:dyDescent="0.25">
      <c r="A11" s="198"/>
      <c r="B11" s="198"/>
      <c r="C11" s="249"/>
      <c r="D11" s="250"/>
      <c r="E11" s="251"/>
      <c r="F11" s="198"/>
      <c r="G11" s="198"/>
      <c r="H11" s="198"/>
      <c r="I11" s="198"/>
      <c r="J11" s="200" t="s">
        <v>56</v>
      </c>
      <c r="K11" s="198"/>
      <c r="L11" s="198"/>
      <c r="M11" s="198"/>
      <c r="N11" s="198"/>
      <c r="O11" s="198"/>
      <c r="P11" s="198"/>
      <c r="Q11" s="198"/>
      <c r="R11" s="198"/>
    </row>
    <row r="12" ht="18" customHeight="1" spans="1:18" x14ac:dyDescent="0.25">
      <c r="A12" s="233"/>
      <c r="B12" s="233"/>
      <c r="C12" s="178"/>
      <c r="D12" s="252"/>
      <c r="E12" s="160"/>
      <c r="F12" s="253"/>
      <c r="G12" s="254"/>
      <c r="H12" s="254"/>
      <c r="I12" s="155"/>
      <c r="J12" s="255"/>
      <c r="K12" s="255"/>
      <c r="L12" s="256"/>
      <c r="M12" s="257"/>
      <c r="N12" s="257"/>
      <c r="O12" s="257"/>
      <c r="P12" s="257"/>
      <c r="Q12" s="257"/>
      <c r="R12" s="258"/>
    </row>
    <row r="13" ht="18" customHeight="1" spans="1:18" x14ac:dyDescent="0.25">
      <c r="A13" s="233"/>
      <c r="B13" s="233"/>
      <c r="C13" s="235"/>
      <c r="D13" s="235"/>
      <c r="E13" s="235"/>
      <c r="F13" s="178"/>
      <c r="G13" s="252"/>
      <c r="H13" s="252"/>
      <c r="I13" s="160"/>
      <c r="J13" s="233"/>
      <c r="K13" s="233"/>
      <c r="L13" s="259"/>
      <c r="M13" s="245"/>
      <c r="N13" s="245"/>
      <c r="O13" s="245"/>
      <c r="P13" s="245"/>
      <c r="Q13" s="245"/>
      <c r="R13" s="246"/>
    </row>
    <row r="14" ht="18" customHeight="1" spans="1:18" x14ac:dyDescent="0.25">
      <c r="A14" s="260"/>
      <c r="B14" s="260"/>
      <c r="C14" s="260"/>
      <c r="D14" s="260"/>
      <c r="E14" s="260"/>
      <c r="F14" s="260"/>
      <c r="G14" s="260"/>
      <c r="H14" s="260"/>
      <c r="I14" s="260"/>
      <c r="J14" s="260"/>
      <c r="K14" s="260"/>
      <c r="L14" s="261"/>
      <c r="M14" s="262"/>
      <c r="N14" s="262"/>
      <c r="O14" s="262"/>
      <c r="P14" s="262"/>
      <c r="Q14" s="262"/>
      <c r="R14" s="263"/>
    </row>
    <row r="15" ht="18" customHeight="1" spans="1:18" x14ac:dyDescent="0.25">
      <c r="A15" s="260"/>
      <c r="B15" s="260"/>
      <c r="C15" s="260"/>
      <c r="D15" s="260"/>
      <c r="E15" s="260"/>
      <c r="F15" s="260"/>
      <c r="G15" s="260"/>
      <c r="H15" s="260"/>
      <c r="I15" s="260"/>
      <c r="J15" s="260"/>
      <c r="K15" s="260"/>
      <c r="L15" s="261"/>
      <c r="M15" s="262"/>
      <c r="N15" s="262"/>
      <c r="O15" s="262"/>
      <c r="P15" s="262"/>
      <c r="Q15" s="262"/>
      <c r="R15" s="263"/>
    </row>
    <row r="16" ht="18" customHeight="1" spans="1:18" x14ac:dyDescent="0.25">
      <c r="A16" s="260"/>
      <c r="B16" s="260"/>
      <c r="C16" s="260"/>
      <c r="D16" s="260"/>
      <c r="E16" s="260"/>
      <c r="F16" s="260"/>
      <c r="G16" s="260"/>
      <c r="H16" s="260"/>
      <c r="I16" s="260"/>
      <c r="J16" s="260"/>
      <c r="K16" s="260"/>
      <c r="L16" s="261"/>
      <c r="M16" s="262"/>
      <c r="N16" s="262"/>
      <c r="O16" s="262"/>
      <c r="P16" s="262"/>
      <c r="Q16" s="262"/>
      <c r="R16" s="263"/>
    </row>
    <row r="17" ht="18" customHeight="1" spans="1:18" x14ac:dyDescent="0.25">
      <c r="A17" s="260"/>
      <c r="B17" s="260"/>
      <c r="C17" s="260"/>
      <c r="D17" s="260"/>
      <c r="E17" s="260"/>
      <c r="F17" s="260"/>
      <c r="G17" s="260"/>
      <c r="H17" s="260"/>
      <c r="I17" s="260"/>
      <c r="J17" s="260"/>
      <c r="K17" s="260"/>
      <c r="L17" s="261"/>
      <c r="M17" s="262"/>
      <c r="N17" s="262"/>
      <c r="O17" s="262"/>
      <c r="P17" s="262"/>
      <c r="Q17" s="262"/>
      <c r="R17" s="263"/>
    </row>
    <row r="18" ht="18" customHeight="1" spans="1:18" x14ac:dyDescent="0.25">
      <c r="A18" s="260"/>
      <c r="B18" s="260"/>
      <c r="C18" s="260"/>
      <c r="D18" s="260"/>
      <c r="E18" s="260"/>
      <c r="F18" s="260"/>
      <c r="G18" s="260"/>
      <c r="H18" s="260"/>
      <c r="I18" s="260"/>
      <c r="J18" s="260"/>
      <c r="K18" s="260"/>
      <c r="L18" s="261"/>
      <c r="M18" s="262"/>
      <c r="N18" s="262"/>
      <c r="O18" s="262"/>
      <c r="P18" s="262"/>
      <c r="Q18" s="262"/>
      <c r="R18" s="263"/>
    </row>
    <row r="19" ht="18" customHeight="1" spans="1:18" x14ac:dyDescent="0.25">
      <c r="A19" s="260"/>
      <c r="B19" s="260"/>
      <c r="C19" s="260"/>
      <c r="D19" s="260"/>
      <c r="E19" s="260"/>
      <c r="F19" s="260"/>
      <c r="G19" s="260"/>
      <c r="H19" s="260"/>
      <c r="I19" s="260"/>
      <c r="J19" s="260"/>
      <c r="K19" s="260"/>
      <c r="L19" s="185"/>
      <c r="M19" s="185"/>
      <c r="N19" s="185"/>
      <c r="O19" s="185"/>
      <c r="P19" s="185"/>
      <c r="Q19" s="185"/>
      <c r="R19" s="185"/>
    </row>
    <row r="20" ht="18" customHeight="1" spans="1:18" x14ac:dyDescent="0.25">
      <c r="A20" s="260"/>
      <c r="B20" s="260"/>
      <c r="C20" s="260"/>
      <c r="D20" s="260"/>
      <c r="E20" s="260"/>
      <c r="F20" s="260"/>
      <c r="G20" s="260"/>
      <c r="H20" s="260"/>
      <c r="I20" s="260"/>
      <c r="J20" s="260"/>
      <c r="K20" s="260"/>
      <c r="L20" s="261"/>
      <c r="M20" s="262"/>
      <c r="N20" s="262"/>
      <c r="O20" s="262"/>
      <c r="P20" s="262"/>
      <c r="Q20" s="262"/>
      <c r="R20" s="263"/>
    </row>
    <row r="21" ht="18" customHeight="1" spans="1:18" x14ac:dyDescent="0.25">
      <c r="A21" s="260"/>
      <c r="B21" s="260"/>
      <c r="C21" s="260"/>
      <c r="D21" s="260"/>
      <c r="E21" s="260"/>
      <c r="F21" s="260"/>
      <c r="G21" s="260"/>
      <c r="H21" s="260"/>
      <c r="I21" s="260"/>
      <c r="J21" s="260"/>
      <c r="K21" s="260"/>
      <c r="L21" s="185"/>
      <c r="M21" s="185"/>
      <c r="N21" s="185"/>
      <c r="O21" s="185"/>
      <c r="P21" s="185"/>
      <c r="Q21" s="185"/>
      <c r="R21" s="185"/>
    </row>
    <row r="22" ht="18" customHeight="1" spans="1:18" x14ac:dyDescent="0.25">
      <c r="A22" s="260"/>
      <c r="B22" s="260"/>
      <c r="C22" s="260"/>
      <c r="D22" s="260"/>
      <c r="E22" s="260"/>
      <c r="F22" s="260"/>
      <c r="G22" s="260"/>
      <c r="H22" s="260"/>
      <c r="I22" s="260"/>
      <c r="J22" s="260"/>
      <c r="K22" s="260"/>
      <c r="L22" s="261"/>
      <c r="M22" s="262"/>
      <c r="N22" s="262"/>
      <c r="O22" s="262"/>
      <c r="P22" s="262"/>
      <c r="Q22" s="262"/>
      <c r="R22" s="263"/>
    </row>
    <row r="23" ht="18" customHeight="1" spans="1:18" x14ac:dyDescent="0.25">
      <c r="A23" s="260"/>
      <c r="B23" s="260"/>
      <c r="C23" s="260"/>
      <c r="D23" s="260"/>
      <c r="E23" s="260"/>
      <c r="F23" s="260"/>
      <c r="G23" s="260"/>
      <c r="H23" s="260"/>
      <c r="I23" s="260"/>
      <c r="J23" s="260"/>
      <c r="K23" s="260"/>
      <c r="L23" s="185"/>
      <c r="M23" s="185"/>
      <c r="N23" s="185"/>
      <c r="O23" s="185"/>
      <c r="P23" s="185"/>
      <c r="Q23" s="185"/>
      <c r="R23" s="185"/>
    </row>
    <row r="24" ht="18" customHeight="1" spans="1:18" x14ac:dyDescent="0.25">
      <c r="A24" s="260"/>
      <c r="B24" s="260"/>
      <c r="C24" s="260"/>
      <c r="D24" s="260"/>
      <c r="E24" s="260"/>
      <c r="F24" s="260"/>
      <c r="G24" s="260"/>
      <c r="H24" s="260"/>
      <c r="I24" s="260"/>
      <c r="J24" s="260"/>
      <c r="K24" s="260"/>
      <c r="L24" s="185"/>
      <c r="M24" s="185"/>
      <c r="N24" s="185"/>
      <c r="O24" s="185"/>
      <c r="P24" s="185"/>
      <c r="Q24" s="185"/>
      <c r="R24" s="185"/>
    </row>
    <row r="25" ht="18" customHeight="1" spans="1:18" x14ac:dyDescent="0.25">
      <c r="A25" s="260"/>
      <c r="B25" s="260"/>
      <c r="C25" s="260"/>
      <c r="D25" s="260"/>
      <c r="E25" s="260"/>
      <c r="F25" s="260"/>
      <c r="G25" s="260"/>
      <c r="H25" s="260"/>
      <c r="I25" s="260"/>
      <c r="J25" s="260"/>
      <c r="K25" s="260"/>
      <c r="L25" s="185"/>
      <c r="M25" s="185"/>
      <c r="N25" s="185"/>
      <c r="O25" s="185"/>
      <c r="P25" s="185"/>
      <c r="Q25" s="185"/>
      <c r="R25" s="185"/>
    </row>
    <row r="26" ht="18" customHeight="1" spans="1:18" x14ac:dyDescent="0.25">
      <c r="A26" s="260"/>
      <c r="B26" s="260"/>
      <c r="C26" s="260"/>
      <c r="D26" s="260"/>
      <c r="E26" s="260"/>
      <c r="F26" s="260"/>
      <c r="G26" s="260"/>
      <c r="H26" s="260"/>
      <c r="I26" s="260"/>
      <c r="J26" s="260"/>
      <c r="K26" s="260"/>
      <c r="L26" s="185"/>
      <c r="M26" s="185"/>
      <c r="N26" s="185"/>
      <c r="O26" s="185"/>
      <c r="P26" s="185"/>
      <c r="Q26" s="185"/>
      <c r="R26" s="185"/>
    </row>
    <row r="27" ht="18" customHeight="1" spans="1:18" x14ac:dyDescent="0.25">
      <c r="A27" s="260"/>
      <c r="B27" s="260"/>
      <c r="C27" s="260"/>
      <c r="D27" s="260"/>
      <c r="E27" s="260"/>
      <c r="F27" s="260"/>
      <c r="G27" s="260"/>
      <c r="H27" s="260"/>
      <c r="I27" s="260"/>
      <c r="J27" s="260"/>
      <c r="K27" s="260"/>
      <c r="L27" s="185"/>
      <c r="M27" s="185"/>
      <c r="N27" s="185"/>
      <c r="O27" s="185"/>
      <c r="P27" s="185"/>
      <c r="Q27" s="185"/>
      <c r="R27" s="185"/>
    </row>
    <row r="28" ht="18" customHeight="1" spans="1:18" x14ac:dyDescent="0.25">
      <c r="A28" s="260"/>
      <c r="B28" s="260"/>
      <c r="C28" s="260"/>
      <c r="D28" s="260"/>
      <c r="E28" s="260"/>
      <c r="F28" s="260"/>
      <c r="G28" s="260"/>
      <c r="H28" s="260"/>
      <c r="I28" s="260"/>
      <c r="J28" s="260"/>
      <c r="K28" s="260"/>
      <c r="L28" s="185"/>
      <c r="M28" s="185"/>
      <c r="N28" s="185"/>
      <c r="O28" s="185"/>
      <c r="P28" s="185"/>
      <c r="Q28" s="185"/>
      <c r="R28" s="185"/>
    </row>
    <row r="29" ht="18" customHeight="1" spans="1:18" x14ac:dyDescent="0.25">
      <c r="A29" s="260"/>
      <c r="B29" s="260"/>
      <c r="C29" s="260"/>
      <c r="D29" s="260"/>
      <c r="E29" s="260"/>
      <c r="F29" s="260"/>
      <c r="G29" s="260"/>
      <c r="H29" s="260"/>
      <c r="I29" s="260"/>
      <c r="J29" s="260"/>
      <c r="K29" s="260"/>
      <c r="L29" s="185"/>
      <c r="M29" s="185"/>
      <c r="N29" s="185"/>
      <c r="O29" s="185"/>
      <c r="P29" s="185"/>
      <c r="Q29" s="185"/>
      <c r="R29" s="185"/>
    </row>
    <row r="30" ht="12" customHeight="1" x14ac:dyDescent="0.25"/>
    <row r="31" ht="12" customHeight="1" x14ac:dyDescent="0.25"/>
    <row r="32" ht="12" customHeight="1" x14ac:dyDescent="0.25"/>
    <row r="33" ht="12" customHeight="1" spans="1:18" x14ac:dyDescent="0.25">
      <c r="A33" s="187"/>
      <c r="B33" s="187"/>
      <c r="C33" s="187"/>
      <c r="D33" s="187"/>
      <c r="I33" s="187"/>
      <c r="J33" s="187"/>
      <c r="K33" s="187"/>
      <c r="O33" s="187"/>
      <c r="P33" s="187"/>
      <c r="Q33" s="187"/>
      <c r="R33" s="187"/>
    </row>
    <row r="34" spans="1:18" x14ac:dyDescent="0.25">
      <c r="A34" s="188" t="s">
        <v>23</v>
      </c>
      <c r="B34" s="188"/>
      <c r="C34" s="188"/>
      <c r="D34" s="188"/>
      <c r="I34" s="188" t="s">
        <v>61</v>
      </c>
      <c r="J34" s="188"/>
      <c r="K34" s="188"/>
      <c r="O34" s="188" t="s">
        <v>24</v>
      </c>
      <c r="P34" s="188"/>
      <c r="Q34" s="188"/>
      <c r="R34" s="188"/>
    </row>
  </sheetData>
  <mergeCells count="70">
    <mergeCell ref="A1:R1"/>
    <mergeCell ref="A2:R2"/>
    <mergeCell ref="A4:R4"/>
    <mergeCell ref="I6:L6"/>
    <mergeCell ref="P6:R6"/>
    <mergeCell ref="B8:E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C29:E29"/>
    <mergeCell ref="F29:I29"/>
    <mergeCell ref="L29:R29"/>
    <mergeCell ref="A34:D34"/>
    <mergeCell ref="I34:K34"/>
    <mergeCell ref="O34:R34"/>
  </mergeCells>
  <printOptions horizontalCentered="1" verticalCentered="1"/>
  <pageMargins left="0.31496062992125984" right="0.31496062992125984" top="0.5511811023622047" bottom="0.15748031496062992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0"/>
  <sheetViews>
    <sheetView workbookViewId="0" zoomScale="100" zoomScaleNormal="100"/>
  </sheetViews>
  <sheetFormatPr defaultRowHeight="14.4" outlineLevelRow="0" outlineLevelCol="0" x14ac:dyDescent="0" defaultColWidth="7" customHeight="1"/>
  <cols>
    <col min="1" max="1" width="7" style="9" customWidth="1"/>
    <col min="2" max="10" width="6.69921875" style="9" customWidth="1"/>
    <col min="11" max="11" width="7.09765625" style="9" customWidth="1"/>
    <col min="12" max="12" width="8.69921875" style="9" customWidth="1"/>
    <col min="13" max="16384" width="7" style="9" customWidth="1"/>
  </cols>
  <sheetData>
    <row r="1" ht="24" customHeight="1" spans="1:12" s="413" customFormat="1" x14ac:dyDescent="0.25">
      <c r="A1" s="414" t="s">
        <v>25</v>
      </c>
      <c r="B1" s="414"/>
      <c r="C1" s="414"/>
      <c r="D1" s="414"/>
      <c r="E1" s="414"/>
      <c r="F1" s="414"/>
      <c r="G1" s="414"/>
      <c r="H1" s="414"/>
      <c r="I1" s="414"/>
      <c r="J1" s="414"/>
      <c r="K1" s="414"/>
      <c r="L1" s="414"/>
    </row>
    <row r="2" ht="14.4" customHeight="1" spans="1:12" x14ac:dyDescent="0.25">
      <c r="A2" s="114" t="s">
        <v>26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</row>
    <row r="3" ht="19.95" customHeight="1" spans="1:12" x14ac:dyDescent="0.25">
      <c r="A3" s="415" t="s">
        <v>122</v>
      </c>
      <c r="B3" s="415"/>
      <c r="C3" s="415"/>
      <c r="D3" s="415"/>
      <c r="E3" s="415"/>
      <c r="F3" s="415"/>
      <c r="G3" s="415"/>
      <c r="H3" s="415"/>
      <c r="I3" s="415"/>
      <c r="J3" s="415"/>
      <c r="K3" s="415"/>
      <c r="L3" s="415"/>
    </row>
    <row r="4" ht="14.4" customHeight="1" spans="1:12" s="40" customFormat="1" x14ac:dyDescent="0.25">
      <c r="A4" s="241" t="s">
        <v>123</v>
      </c>
      <c r="B4" s="241"/>
      <c r="C4" s="241" t="s">
        <v>3</v>
      </c>
      <c r="D4" s="241"/>
      <c r="E4" s="241"/>
      <c r="F4" s="241"/>
      <c r="G4" s="241" t="s">
        <v>124</v>
      </c>
      <c r="H4" s="241" t="s">
        <v>125</v>
      </c>
      <c r="I4" s="241"/>
      <c r="J4" s="241"/>
      <c r="K4" s="40" t="s">
        <v>126</v>
      </c>
      <c r="L4" s="186" t="s">
        <v>32</v>
      </c>
    </row>
    <row r="5" ht="14.4" customHeight="1" spans="1:12" s="40" customFormat="1" x14ac:dyDescent="0.25">
      <c r="A5" s="241" t="s">
        <v>127</v>
      </c>
      <c r="B5" s="241"/>
      <c r="C5" s="241"/>
      <c r="D5" s="241" t="s">
        <v>128</v>
      </c>
      <c r="E5" s="241"/>
      <c r="F5" s="241"/>
      <c r="G5" s="241" t="s">
        <v>129</v>
      </c>
      <c r="H5" s="241"/>
      <c r="I5" s="241"/>
      <c r="J5" s="241" t="s">
        <v>130</v>
      </c>
      <c r="K5" s="241"/>
      <c r="L5" s="241"/>
    </row>
    <row r="6" ht="14.4" customHeight="1" spans="1:12" s="40" customFormat="1" x14ac:dyDescent="0.25">
      <c r="A6" s="416" t="s">
        <v>131</v>
      </c>
      <c r="B6" s="416"/>
      <c r="C6" s="416"/>
      <c r="D6" s="241" t="s">
        <v>132</v>
      </c>
      <c r="E6" s="241"/>
      <c r="F6" s="241"/>
      <c r="G6" s="241" t="s">
        <v>133</v>
      </c>
      <c r="H6" s="241"/>
      <c r="I6" s="241"/>
      <c r="J6" s="241" t="s">
        <v>134</v>
      </c>
      <c r="K6" s="241"/>
      <c r="L6" s="241"/>
    </row>
    <row r="7" ht="14.4" customHeight="1" spans="1:12" s="40" customFormat="1" x14ac:dyDescent="0.25">
      <c r="A7" s="241" t="s">
        <v>135</v>
      </c>
      <c r="B7" s="241"/>
      <c r="C7" s="241"/>
      <c r="D7" s="241" t="s">
        <v>136</v>
      </c>
      <c r="E7" s="241"/>
      <c r="F7" s="241"/>
      <c r="G7" s="40" t="s">
        <v>137</v>
      </c>
      <c r="H7" s="40"/>
      <c r="I7" s="40"/>
      <c r="J7" s="241" t="s">
        <v>138</v>
      </c>
      <c r="K7" s="241"/>
      <c r="L7" s="241"/>
    </row>
    <row r="8" ht="14.4" customHeight="1" spans="1:12" s="40" customFormat="1" x14ac:dyDescent="0.25">
      <c r="A8" s="221"/>
      <c r="B8" s="417" t="s">
        <v>139</v>
      </c>
      <c r="C8" s="260" t="s">
        <v>93</v>
      </c>
      <c r="D8" s="260"/>
      <c r="E8" s="260"/>
      <c r="F8" s="418"/>
      <c r="G8" s="164" t="s">
        <v>94</v>
      </c>
      <c r="H8" s="260"/>
      <c r="I8" s="260"/>
      <c r="J8" s="260"/>
      <c r="K8" s="419" t="s">
        <v>140</v>
      </c>
      <c r="L8" s="260" t="s">
        <v>55</v>
      </c>
    </row>
    <row r="9" ht="14.4" customHeight="1" spans="1:12" s="40" customFormat="1" x14ac:dyDescent="0.25">
      <c r="A9" s="420" t="s">
        <v>141</v>
      </c>
      <c r="B9" s="221"/>
      <c r="C9" s="417" t="s">
        <v>14</v>
      </c>
      <c r="D9" s="417" t="s">
        <v>15</v>
      </c>
      <c r="E9" s="417" t="s">
        <v>142</v>
      </c>
      <c r="F9" s="421" t="s">
        <v>17</v>
      </c>
      <c r="G9" s="422" t="s">
        <v>14</v>
      </c>
      <c r="H9" s="417" t="s">
        <v>15</v>
      </c>
      <c r="I9" s="417" t="s">
        <v>142</v>
      </c>
      <c r="J9" s="417" t="s">
        <v>17</v>
      </c>
      <c r="K9" s="419"/>
      <c r="L9" s="260"/>
    </row>
    <row r="10" ht="14.4" customHeight="1" spans="1:12" s="40" customFormat="1" x14ac:dyDescent="0.25">
      <c r="A10" s="423" t="s">
        <v>143</v>
      </c>
      <c r="B10" s="417" t="s">
        <v>144</v>
      </c>
      <c r="C10" s="424"/>
      <c r="D10" s="424"/>
      <c r="E10" s="424">
        <v>59</v>
      </c>
      <c r="F10" s="340"/>
      <c r="G10" s="425"/>
      <c r="H10" s="426"/>
      <c r="I10" s="426"/>
      <c r="J10" s="426"/>
      <c r="K10" s="260">
        <f t="shared" ref="K10:K21" si="0">SUM(C10:J10)</f>
        <v>59</v>
      </c>
      <c r="L10" s="427"/>
    </row>
    <row r="11" ht="14.4" customHeight="1" spans="1:12" s="40" customFormat="1" x14ac:dyDescent="0.25">
      <c r="A11" s="423"/>
      <c r="B11" s="417" t="s">
        <v>145</v>
      </c>
      <c r="C11" s="424">
        <v>21</v>
      </c>
      <c r="D11" s="424"/>
      <c r="E11" s="424">
        <v>66</v>
      </c>
      <c r="F11" s="340"/>
      <c r="G11" s="425"/>
      <c r="H11" s="426"/>
      <c r="I11" s="426"/>
      <c r="J11" s="428"/>
      <c r="K11" s="260">
        <f t="shared" si="0"/>
        <v>87</v>
      </c>
      <c r="L11" s="260"/>
    </row>
    <row r="12" ht="14.4" customHeight="1" spans="1:12" s="40" customFormat="1" x14ac:dyDescent="0.25">
      <c r="A12" s="423"/>
      <c r="B12" s="417"/>
      <c r="C12" s="417"/>
      <c r="D12" s="417"/>
      <c r="E12" s="417"/>
      <c r="F12" s="421"/>
      <c r="G12" s="429"/>
      <c r="H12" s="428"/>
      <c r="I12" s="428"/>
      <c r="J12" s="428"/>
      <c r="K12" s="260">
        <f t="shared" si="0"/>
        <v>0</v>
      </c>
      <c r="L12" s="221"/>
    </row>
    <row r="13" ht="14.4" customHeight="1" spans="1:12" s="40" customFormat="1" x14ac:dyDescent="0.25">
      <c r="A13" s="423"/>
      <c r="B13" s="417"/>
      <c r="C13" s="430"/>
      <c r="D13" s="430"/>
      <c r="E13" s="430"/>
      <c r="F13" s="324"/>
      <c r="G13" s="431"/>
      <c r="H13" s="432"/>
      <c r="I13" s="432"/>
      <c r="J13" s="432"/>
      <c r="K13" s="235">
        <f t="shared" si="0"/>
        <v>0</v>
      </c>
      <c r="L13" s="231"/>
    </row>
    <row r="14" ht="14.4" customHeight="1" spans="1:12" s="40" customFormat="1" x14ac:dyDescent="0.25">
      <c r="A14" s="423"/>
      <c r="B14" s="417"/>
      <c r="C14" s="430"/>
      <c r="D14" s="430"/>
      <c r="E14" s="430"/>
      <c r="F14" s="324"/>
      <c r="G14" s="431"/>
      <c r="H14" s="432"/>
      <c r="I14" s="432"/>
      <c r="J14" s="432"/>
      <c r="K14" s="235">
        <f t="shared" si="0"/>
        <v>0</v>
      </c>
      <c r="L14" s="231"/>
    </row>
    <row r="15" ht="14.4" customHeight="1" spans="1:12" s="40" customFormat="1" x14ac:dyDescent="0.25">
      <c r="A15" s="423"/>
      <c r="B15" s="430"/>
      <c r="C15" s="430"/>
      <c r="D15" s="430"/>
      <c r="E15" s="430"/>
      <c r="F15" s="324"/>
      <c r="G15" s="431"/>
      <c r="H15" s="432"/>
      <c r="I15" s="432"/>
      <c r="J15" s="432"/>
      <c r="K15" s="235">
        <f t="shared" si="0"/>
        <v>0</v>
      </c>
      <c r="L15" s="231"/>
    </row>
    <row r="16" ht="14.4" customHeight="1" spans="1:12" s="40" customFormat="1" x14ac:dyDescent="0.25">
      <c r="A16" s="433"/>
      <c r="B16" s="434" t="s">
        <v>146</v>
      </c>
      <c r="C16" s="434">
        <f t="shared" ref="C16:J16" si="1">SUM(C10:C15)</f>
        <v>21</v>
      </c>
      <c r="D16" s="434">
        <f t="shared" si="1"/>
        <v>0</v>
      </c>
      <c r="E16" s="434">
        <f t="shared" si="1"/>
        <v>125</v>
      </c>
      <c r="F16" s="435">
        <f t="shared" si="1"/>
        <v>0</v>
      </c>
      <c r="G16" s="436">
        <f t="shared" si="1"/>
        <v>0</v>
      </c>
      <c r="H16" s="437">
        <f t="shared" si="1"/>
        <v>0</v>
      </c>
      <c r="I16" s="437">
        <f t="shared" si="1"/>
        <v>0</v>
      </c>
      <c r="J16" s="438">
        <f t="shared" si="1"/>
        <v>0</v>
      </c>
      <c r="K16" s="434">
        <f t="shared" si="0"/>
        <v>146</v>
      </c>
      <c r="L16" s="35"/>
    </row>
    <row r="17" ht="14.4" customHeight="1" spans="1:12" s="40" customFormat="1" x14ac:dyDescent="0.25">
      <c r="A17" s="439" t="s">
        <v>147</v>
      </c>
      <c r="B17" s="98" t="s">
        <v>144</v>
      </c>
      <c r="C17" s="424">
        <v>12</v>
      </c>
      <c r="D17" s="424"/>
      <c r="E17" s="424">
        <v>5</v>
      </c>
      <c r="F17" s="340"/>
      <c r="G17" s="440"/>
      <c r="H17" s="424"/>
      <c r="I17" s="424"/>
      <c r="J17" s="424"/>
      <c r="K17" s="233">
        <f t="shared" si="0"/>
        <v>17</v>
      </c>
      <c r="L17" s="424"/>
    </row>
    <row r="18" ht="14.4" customHeight="1" spans="1:12" s="40" customFormat="1" x14ac:dyDescent="0.25">
      <c r="A18" s="423"/>
      <c r="B18" s="417" t="s">
        <v>145</v>
      </c>
      <c r="C18" s="424">
        <v>17</v>
      </c>
      <c r="D18" s="424"/>
      <c r="E18" s="424">
        <v>21</v>
      </c>
      <c r="F18" s="340"/>
      <c r="G18" s="440">
        <v>30</v>
      </c>
      <c r="H18" s="424"/>
      <c r="I18" s="424"/>
      <c r="J18" s="417"/>
      <c r="K18" s="233">
        <f t="shared" si="0"/>
        <v>68</v>
      </c>
      <c r="L18" s="441"/>
    </row>
    <row r="19" ht="14.4" customHeight="1" spans="1:12" s="40" customFormat="1" x14ac:dyDescent="0.25">
      <c r="A19" s="423"/>
      <c r="B19" s="417"/>
      <c r="C19" s="417"/>
      <c r="D19" s="417"/>
      <c r="E19" s="417"/>
      <c r="F19" s="421"/>
      <c r="G19" s="422"/>
      <c r="H19" s="417"/>
      <c r="I19" s="417"/>
      <c r="J19" s="417"/>
      <c r="K19" s="233">
        <f t="shared" si="0"/>
        <v>0</v>
      </c>
      <c r="L19" s="417"/>
    </row>
    <row r="20" ht="14.4" customHeight="1" spans="1:12" s="40" customFormat="1" x14ac:dyDescent="0.25">
      <c r="A20" s="423"/>
      <c r="B20" s="417"/>
      <c r="C20" s="417"/>
      <c r="D20" s="417"/>
      <c r="E20" s="417"/>
      <c r="F20" s="421"/>
      <c r="G20" s="422"/>
      <c r="H20" s="417"/>
      <c r="I20" s="417"/>
      <c r="J20" s="417"/>
      <c r="K20" s="233">
        <f t="shared" si="0"/>
        <v>0</v>
      </c>
      <c r="L20" s="417"/>
    </row>
    <row r="21" ht="14.4" customHeight="1" spans="1:12" s="40" customFormat="1" x14ac:dyDescent="0.25">
      <c r="A21" s="423"/>
      <c r="B21" s="417"/>
      <c r="C21" s="417"/>
      <c r="D21" s="417"/>
      <c r="E21" s="417"/>
      <c r="F21" s="421"/>
      <c r="G21" s="422"/>
      <c r="H21" s="417"/>
      <c r="I21" s="417"/>
      <c r="J21" s="417"/>
      <c r="K21" s="233">
        <f t="shared" si="0"/>
        <v>0</v>
      </c>
      <c r="L21" s="417"/>
    </row>
    <row r="22" ht="14.4" customHeight="1" spans="1:12" s="40" customFormat="1" x14ac:dyDescent="0.25">
      <c r="A22" s="423"/>
      <c r="B22" s="417"/>
      <c r="C22" s="417"/>
      <c r="D22" s="417"/>
      <c r="E22" s="417"/>
      <c r="F22" s="421"/>
      <c r="G22" s="422"/>
      <c r="H22" s="417"/>
      <c r="I22" s="417"/>
      <c r="J22" s="417"/>
      <c r="K22" s="233"/>
      <c r="L22" s="417"/>
    </row>
    <row r="23" ht="14.4" customHeight="1" spans="1:16" s="40" customFormat="1" x14ac:dyDescent="0.25">
      <c r="A23" s="433"/>
      <c r="B23" s="442" t="s">
        <v>146</v>
      </c>
      <c r="C23" s="442">
        <f>SUM(C17:C22)</f>
        <v>29</v>
      </c>
      <c r="D23" s="442">
        <f>SUM(D17:D22)</f>
        <v>0</v>
      </c>
      <c r="E23" s="442">
        <f>SUM(E17:E22)</f>
        <v>26</v>
      </c>
      <c r="F23" s="443"/>
      <c r="G23" s="444">
        <f>SUM(G17:G22)</f>
        <v>30</v>
      </c>
      <c r="H23" s="442"/>
      <c r="I23" s="442">
        <f>SUM(I17:I22)</f>
        <v>0</v>
      </c>
      <c r="J23" s="442"/>
      <c r="K23" s="442">
        <f>SUM(C23:J23)</f>
        <v>85</v>
      </c>
      <c r="L23" s="32"/>
      <c r="P23" s="445"/>
    </row>
    <row r="24" ht="14.4" customHeight="1" spans="1:12" s="40" customFormat="1" x14ac:dyDescent="0.25">
      <c r="A24" s="233" t="s">
        <v>148</v>
      </c>
      <c r="B24" s="424" t="s">
        <v>149</v>
      </c>
      <c r="C24" s="426"/>
      <c r="D24" s="426"/>
      <c r="E24" s="426"/>
      <c r="F24" s="446"/>
      <c r="G24" s="425"/>
      <c r="H24" s="426"/>
      <c r="I24" s="426"/>
      <c r="J24" s="426"/>
      <c r="K24" s="233"/>
      <c r="L24" s="233"/>
    </row>
    <row r="25" ht="14.4" customHeight="1" spans="1:12" s="40" customFormat="1" x14ac:dyDescent="0.25">
      <c r="A25" s="260"/>
      <c r="B25" s="417" t="s">
        <v>150</v>
      </c>
      <c r="C25" s="417"/>
      <c r="D25" s="428"/>
      <c r="E25" s="428"/>
      <c r="F25" s="447"/>
      <c r="G25" s="429"/>
      <c r="H25" s="428"/>
      <c r="I25" s="428"/>
      <c r="J25" s="428"/>
      <c r="K25" s="417"/>
      <c r="L25" s="417"/>
    </row>
    <row r="26" ht="14.4" customHeight="1" spans="1:12" s="40" customFormat="1" x14ac:dyDescent="0.25">
      <c r="A26" s="240"/>
      <c r="B26" s="149"/>
      <c r="C26" s="149"/>
      <c r="D26" s="149"/>
      <c r="E26" s="149"/>
      <c r="F26" s="149"/>
      <c r="G26" s="149"/>
      <c r="H26" s="149" t="s">
        <v>151</v>
      </c>
      <c r="I26" s="149"/>
      <c r="J26" s="149"/>
      <c r="K26" s="448">
        <f>SUM(K16,K23,K25)</f>
        <v>231</v>
      </c>
      <c r="L26" s="449" t="s">
        <v>152</v>
      </c>
    </row>
    <row r="27" ht="14.4" customHeight="1" spans="1:12" s="40" customFormat="1" x14ac:dyDescent="0.25">
      <c r="A27" s="240"/>
      <c r="B27" s="149"/>
      <c r="C27" s="149"/>
      <c r="D27" s="149"/>
      <c r="E27" s="149"/>
      <c r="F27" s="149" t="s">
        <v>153</v>
      </c>
      <c r="G27" s="149"/>
      <c r="H27" s="149" t="s">
        <v>154</v>
      </c>
      <c r="I27" s="149"/>
      <c r="J27" s="149"/>
      <c r="K27" s="448">
        <v>6</v>
      </c>
      <c r="L27" s="449" t="s">
        <v>152</v>
      </c>
    </row>
    <row r="28" ht="14.4" customHeight="1" spans="1:12" s="40" customFormat="1" x14ac:dyDescent="0.25">
      <c r="A28" s="450" t="s">
        <v>155</v>
      </c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51"/>
    </row>
    <row r="29" ht="14.4" customHeight="1" spans="1:12" s="40" customFormat="1" x14ac:dyDescent="0.25">
      <c r="A29" s="417" t="s">
        <v>156</v>
      </c>
      <c r="B29" s="260" t="s">
        <v>157</v>
      </c>
      <c r="C29" s="260"/>
      <c r="D29" s="260" t="s">
        <v>158</v>
      </c>
      <c r="E29" s="260"/>
      <c r="F29" s="260" t="s">
        <v>159</v>
      </c>
      <c r="G29" s="260"/>
      <c r="H29" s="260" t="s">
        <v>160</v>
      </c>
      <c r="I29" s="260"/>
      <c r="J29" s="260" t="s">
        <v>161</v>
      </c>
      <c r="K29" s="260"/>
      <c r="L29" s="260"/>
    </row>
    <row r="30" ht="14.4" customHeight="1" spans="1:12" s="40" customFormat="1" x14ac:dyDescent="0.25">
      <c r="A30" s="417">
        <v>1</v>
      </c>
      <c r="B30" s="452" t="s">
        <v>162</v>
      </c>
      <c r="C30" s="453"/>
      <c r="D30" s="452" t="s">
        <v>163</v>
      </c>
      <c r="E30" s="453"/>
      <c r="F30" s="454" t="s">
        <v>164</v>
      </c>
      <c r="G30" s="454"/>
      <c r="H30" s="454" t="s">
        <v>165</v>
      </c>
      <c r="I30" s="454"/>
      <c r="J30" s="260">
        <v>159</v>
      </c>
      <c r="K30" s="455"/>
      <c r="L30" s="455"/>
    </row>
    <row r="31" ht="14.4" customHeight="1" spans="1:12" s="40" customFormat="1" x14ac:dyDescent="0.25">
      <c r="A31" s="417">
        <v>2</v>
      </c>
      <c r="B31" s="452" t="s">
        <v>166</v>
      </c>
      <c r="C31" s="453"/>
      <c r="D31" s="452" t="s">
        <v>167</v>
      </c>
      <c r="E31" s="453"/>
      <c r="F31" s="454" t="s">
        <v>168</v>
      </c>
      <c r="G31" s="454"/>
      <c r="H31" s="454" t="s">
        <v>168</v>
      </c>
      <c r="I31" s="454"/>
      <c r="J31" s="260">
        <v>72</v>
      </c>
      <c r="K31" s="455"/>
      <c r="L31" s="455"/>
    </row>
    <row r="32" ht="14.4" customHeight="1" spans="1:12" s="40" customFormat="1" x14ac:dyDescent="0.25">
      <c r="A32" s="417"/>
      <c r="B32" s="452"/>
      <c r="C32" s="453"/>
      <c r="D32" s="452"/>
      <c r="E32" s="453"/>
      <c r="F32" s="454"/>
      <c r="G32" s="454"/>
      <c r="H32" s="454"/>
      <c r="I32" s="454"/>
      <c r="J32" s="260"/>
      <c r="K32" s="455"/>
      <c r="L32" s="455"/>
    </row>
    <row r="33" ht="14.4" customHeight="1" spans="1:12" s="40" customFormat="1" x14ac:dyDescent="0.25">
      <c r="A33" s="456" t="s">
        <v>96</v>
      </c>
      <c r="B33" s="456"/>
      <c r="C33" s="456"/>
      <c r="D33" s="456"/>
      <c r="E33" s="456"/>
      <c r="F33" s="456"/>
      <c r="G33" s="456"/>
      <c r="H33" s="456"/>
      <c r="I33" s="456"/>
      <c r="J33" s="260">
        <f>SUM(J30:J32)</f>
        <v>231</v>
      </c>
      <c r="K33" s="455"/>
      <c r="L33" s="455"/>
    </row>
    <row r="34" ht="14.4" customHeight="1" spans="1:12" s="40" customFormat="1" x14ac:dyDescent="0.25">
      <c r="A34" s="457"/>
      <c r="B34" s="241"/>
      <c r="C34" s="241"/>
      <c r="D34" s="186"/>
      <c r="E34" s="186"/>
      <c r="F34" s="186"/>
      <c r="G34" s="186"/>
      <c r="H34" s="186"/>
      <c r="I34" s="186"/>
      <c r="J34" s="186"/>
      <c r="K34" s="186"/>
      <c r="L34" s="458"/>
    </row>
    <row r="35" ht="14.4" customHeight="1" spans="1:12" s="40" customFormat="1" x14ac:dyDescent="0.25">
      <c r="A35" s="417" t="s">
        <v>156</v>
      </c>
      <c r="B35" s="260" t="s">
        <v>157</v>
      </c>
      <c r="C35" s="260"/>
      <c r="D35" s="260" t="s">
        <v>158</v>
      </c>
      <c r="E35" s="260"/>
      <c r="F35" s="260" t="s">
        <v>169</v>
      </c>
      <c r="G35" s="260"/>
      <c r="H35" s="260" t="s">
        <v>55</v>
      </c>
      <c r="I35" s="260"/>
      <c r="J35" s="260"/>
      <c r="K35" s="260"/>
      <c r="L35" s="260"/>
    </row>
    <row r="36" ht="14.4" customHeight="1" spans="1:12" s="40" customFormat="1" x14ac:dyDescent="0.25">
      <c r="A36" s="260">
        <v>1</v>
      </c>
      <c r="B36" s="452" t="s">
        <v>167</v>
      </c>
      <c r="C36" s="453"/>
      <c r="D36" s="452" t="s">
        <v>170</v>
      </c>
      <c r="E36" s="453"/>
      <c r="F36" s="454" t="s">
        <v>171</v>
      </c>
      <c r="G36" s="454"/>
      <c r="H36" s="260" t="s">
        <v>172</v>
      </c>
      <c r="I36" s="260"/>
      <c r="J36" s="260"/>
      <c r="K36" s="260"/>
      <c r="L36" s="260"/>
    </row>
    <row r="37" ht="14.4" customHeight="1" spans="1:12" s="40" customFormat="1" x14ac:dyDescent="0.25">
      <c r="A37" s="260"/>
      <c r="B37" s="452"/>
      <c r="C37" s="453"/>
      <c r="D37" s="452"/>
      <c r="E37" s="453"/>
      <c r="F37" s="454"/>
      <c r="G37" s="454"/>
      <c r="H37" s="260"/>
      <c r="I37" s="260"/>
      <c r="J37" s="260"/>
      <c r="K37" s="260"/>
      <c r="L37" s="260"/>
    </row>
    <row r="38" ht="14.4" customHeight="1" spans="1:12" s="40" customFormat="1" x14ac:dyDescent="0.25">
      <c r="A38" s="260"/>
      <c r="B38" s="452"/>
      <c r="C38" s="453"/>
      <c r="D38" s="452"/>
      <c r="E38" s="453"/>
      <c r="F38" s="454"/>
      <c r="G38" s="454"/>
      <c r="H38" s="260"/>
      <c r="I38" s="260"/>
      <c r="J38" s="260"/>
      <c r="K38" s="260"/>
      <c r="L38" s="260"/>
    </row>
    <row r="39" ht="14.4" customHeight="1" spans="1:12" s="40" customFormat="1" x14ac:dyDescent="0.25">
      <c r="A39" s="260"/>
      <c r="B39" s="233" t="s">
        <v>146</v>
      </c>
      <c r="C39" s="233"/>
      <c r="D39" s="233"/>
      <c r="E39" s="233"/>
      <c r="F39" s="454" t="s">
        <v>171</v>
      </c>
      <c r="G39" s="454"/>
      <c r="H39" s="233"/>
      <c r="I39" s="233"/>
      <c r="J39" s="233"/>
      <c r="K39" s="233"/>
      <c r="L39" s="233"/>
    </row>
    <row r="40" ht="14.4" customHeight="1" spans="1:12" s="40" customFormat="1" x14ac:dyDescent="0.25">
      <c r="A40" s="260">
        <v>2</v>
      </c>
      <c r="B40" s="452"/>
      <c r="C40" s="453"/>
      <c r="D40" s="452"/>
      <c r="E40" s="453"/>
      <c r="F40" s="454"/>
      <c r="G40" s="454"/>
      <c r="H40" s="260"/>
      <c r="I40" s="260"/>
      <c r="J40" s="260"/>
      <c r="K40" s="260"/>
      <c r="L40" s="260"/>
    </row>
    <row r="41" ht="14.4" customHeight="1" spans="1:12" s="40" customFormat="1" x14ac:dyDescent="0.25">
      <c r="A41" s="260"/>
      <c r="B41" s="452"/>
      <c r="C41" s="453"/>
      <c r="D41" s="452"/>
      <c r="E41" s="453"/>
      <c r="F41" s="454"/>
      <c r="G41" s="454"/>
      <c r="H41" s="260"/>
      <c r="I41" s="260"/>
      <c r="J41" s="260"/>
      <c r="K41" s="260"/>
      <c r="L41" s="260"/>
    </row>
    <row r="42" ht="14.4" customHeight="1" spans="1:12" s="40" customFormat="1" x14ac:dyDescent="0.25">
      <c r="A42" s="260"/>
      <c r="B42" s="452"/>
      <c r="C42" s="453"/>
      <c r="D42" s="452"/>
      <c r="E42" s="453"/>
      <c r="F42" s="454"/>
      <c r="G42" s="454"/>
      <c r="H42" s="260"/>
      <c r="I42" s="260"/>
      <c r="J42" s="260"/>
      <c r="K42" s="260"/>
      <c r="L42" s="260"/>
    </row>
    <row r="43" ht="14.4" customHeight="1" spans="1:12" s="40" customFormat="1" x14ac:dyDescent="0.25">
      <c r="A43" s="260"/>
      <c r="B43" s="233" t="s">
        <v>146</v>
      </c>
      <c r="C43" s="233"/>
      <c r="D43" s="233"/>
      <c r="E43" s="233"/>
      <c r="F43" s="454"/>
      <c r="G43" s="454"/>
      <c r="H43" s="233"/>
      <c r="I43" s="233"/>
      <c r="J43" s="233"/>
      <c r="K43" s="233"/>
      <c r="L43" s="233"/>
    </row>
    <row r="44" ht="14.4" customHeight="1" spans="1:12" s="40" customFormat="1" x14ac:dyDescent="0.25">
      <c r="A44" s="260" t="s">
        <v>146</v>
      </c>
      <c r="B44" s="260"/>
      <c r="C44" s="260"/>
      <c r="D44" s="260"/>
      <c r="E44" s="260"/>
      <c r="F44" s="454" t="s">
        <v>171</v>
      </c>
      <c r="G44" s="454"/>
      <c r="H44" s="260"/>
      <c r="I44" s="260"/>
      <c r="J44" s="260"/>
      <c r="K44" s="260"/>
      <c r="L44" s="260"/>
    </row>
    <row r="45" ht="24" customHeight="1" spans="1:12" s="40" customFormat="1" x14ac:dyDescent="0.25">
      <c r="A45" s="40"/>
      <c r="B45" s="40"/>
      <c r="C45" s="40"/>
      <c r="D45" s="40"/>
      <c r="E45" s="40"/>
      <c r="F45" s="40"/>
      <c r="G45" s="40"/>
      <c r="H45" s="459" t="s">
        <v>173</v>
      </c>
      <c r="I45" s="459"/>
      <c r="J45" s="459"/>
      <c r="K45" s="459"/>
      <c r="L45" s="459"/>
    </row>
    <row r="46" ht="14.4" customHeight="1" spans="1:12" x14ac:dyDescent="0.25">
      <c r="A46" s="9"/>
      <c r="D46" s="9"/>
      <c r="K46" s="186"/>
      <c r="L46" s="186"/>
    </row>
    <row r="47" spans="1:4" x14ac:dyDescent="0.25">
      <c r="A47" s="9"/>
      <c r="D47" s="9"/>
    </row>
    <row r="48" spans="1:4" x14ac:dyDescent="0.25">
      <c r="A48" s="9"/>
      <c r="D48" s="9"/>
    </row>
    <row r="49" spans="1:4" x14ac:dyDescent="0.25">
      <c r="A49" s="9"/>
      <c r="D49" s="9"/>
    </row>
    <row r="50" spans="1:4" x14ac:dyDescent="0.25">
      <c r="A50" s="9"/>
      <c r="D50" s="9"/>
    </row>
    <row r="51" spans="1:4" x14ac:dyDescent="0.25">
      <c r="A51" s="9"/>
      <c r="D51" s="9"/>
    </row>
    <row r="52" spans="1:4" x14ac:dyDescent="0.25">
      <c r="A52" s="9"/>
      <c r="D52" s="9"/>
    </row>
    <row r="53" spans="1:4" x14ac:dyDescent="0.25">
      <c r="A53" s="9"/>
      <c r="D53" s="9"/>
    </row>
    <row r="54" spans="1:4" x14ac:dyDescent="0.25">
      <c r="A54" s="9"/>
      <c r="D54" s="9"/>
    </row>
    <row r="55" spans="1:4" x14ac:dyDescent="0.25">
      <c r="A55" s="9"/>
      <c r="D55" s="9"/>
    </row>
    <row r="56" spans="1:4" x14ac:dyDescent="0.25">
      <c r="A56" s="9"/>
      <c r="D56" s="9"/>
    </row>
    <row r="57" spans="1:4" x14ac:dyDescent="0.25">
      <c r="A57" s="9"/>
      <c r="D57" s="9"/>
    </row>
    <row r="58" spans="1:4" x14ac:dyDescent="0.25">
      <c r="A58" s="9"/>
      <c r="D58" s="9"/>
    </row>
    <row r="59" spans="1:4" x14ac:dyDescent="0.25">
      <c r="A59" s="9"/>
      <c r="D59" s="9"/>
    </row>
    <row r="60" spans="1:4" x14ac:dyDescent="0.25">
      <c r="A60" s="9"/>
      <c r="D60" s="9"/>
    </row>
    <row r="61" spans="1:4" x14ac:dyDescent="0.25">
      <c r="A61" s="9"/>
      <c r="D61" s="9"/>
    </row>
    <row r="62" spans="1:4" x14ac:dyDescent="0.25">
      <c r="A62" s="9"/>
      <c r="D62" s="9"/>
    </row>
    <row r="63" spans="1:4" x14ac:dyDescent="0.25">
      <c r="A63" s="9"/>
      <c r="D63" s="9"/>
    </row>
    <row r="64" spans="1:4" x14ac:dyDescent="0.25">
      <c r="A64" s="9"/>
      <c r="D64" s="9"/>
    </row>
    <row r="65" spans="1:4" x14ac:dyDescent="0.25">
      <c r="A65" s="9"/>
      <c r="D65" s="9"/>
    </row>
    <row r="66" spans="1:4" x14ac:dyDescent="0.25">
      <c r="A66" s="9"/>
      <c r="D66" s="9"/>
    </row>
    <row r="67" spans="1:4" x14ac:dyDescent="0.25">
      <c r="A67" s="9"/>
      <c r="D67" s="9"/>
    </row>
    <row r="68" spans="1:4" x14ac:dyDescent="0.25">
      <c r="A68" s="9"/>
      <c r="D68" s="9"/>
    </row>
    <row r="69" spans="1:4" x14ac:dyDescent="0.25">
      <c r="A69" s="9"/>
      <c r="D69" s="9"/>
    </row>
    <row r="70" spans="1:4" x14ac:dyDescent="0.25">
      <c r="A70" s="9"/>
      <c r="D70" s="9"/>
    </row>
    <row r="71" spans="4:4" x14ac:dyDescent="0.25">
      <c r="D71" s="9"/>
    </row>
    <row r="72" spans="4:4" x14ac:dyDescent="0.25">
      <c r="D72" s="9"/>
    </row>
    <row r="73" spans="4:4" x14ac:dyDescent="0.25">
      <c r="D73" s="9"/>
    </row>
    <row r="74" spans="4:4" x14ac:dyDescent="0.25">
      <c r="D74" s="9"/>
    </row>
    <row r="75" spans="4:4" x14ac:dyDescent="0.25">
      <c r="D75" s="9"/>
    </row>
    <row r="76" spans="4:4" x14ac:dyDescent="0.25">
      <c r="D76" s="9"/>
    </row>
    <row r="77" spans="4:4" x14ac:dyDescent="0.25">
      <c r="D77" s="9"/>
    </row>
    <row r="78" spans="4:4" x14ac:dyDescent="0.25">
      <c r="D78" s="9"/>
    </row>
    <row r="79" spans="4:4" x14ac:dyDescent="0.25">
      <c r="D79" s="9"/>
    </row>
    <row r="80" spans="4:4" x14ac:dyDescent="0.25">
      <c r="D80" s="9"/>
    </row>
    <row r="81" spans="4:4" x14ac:dyDescent="0.25">
      <c r="D81" s="9"/>
    </row>
    <row r="82" spans="4:4" x14ac:dyDescent="0.25">
      <c r="D82" s="9"/>
    </row>
    <row r="83" spans="4:4" x14ac:dyDescent="0.25">
      <c r="D83" s="9"/>
    </row>
    <row r="84" spans="4:4" x14ac:dyDescent="0.25">
      <c r="D84" s="9"/>
    </row>
    <row r="85" spans="4:4" x14ac:dyDescent="0.25">
      <c r="D85" s="9"/>
    </row>
    <row r="86" spans="4:4" x14ac:dyDescent="0.25">
      <c r="D86" s="9"/>
    </row>
    <row r="87" spans="4:4" x14ac:dyDescent="0.25">
      <c r="D87" s="9"/>
    </row>
    <row r="88" spans="4:4" x14ac:dyDescent="0.25">
      <c r="D88" s="9"/>
    </row>
    <row r="89" spans="4:4" x14ac:dyDescent="0.25">
      <c r="D89" s="9"/>
    </row>
    <row r="90" spans="4:4" x14ac:dyDescent="0.25">
      <c r="D90" s="9"/>
    </row>
  </sheetData>
  <mergeCells count="95">
    <mergeCell ref="A1:L1"/>
    <mergeCell ref="A2:L2"/>
    <mergeCell ref="A3:L3"/>
    <mergeCell ref="A4:B4"/>
    <mergeCell ref="C4:F4"/>
    <mergeCell ref="H4:J4"/>
    <mergeCell ref="A5:C5"/>
    <mergeCell ref="D5:F5"/>
    <mergeCell ref="G5:I5"/>
    <mergeCell ref="J5:L5"/>
    <mergeCell ref="A6:C6"/>
    <mergeCell ref="D6:F6"/>
    <mergeCell ref="G6:I6"/>
    <mergeCell ref="J6:L6"/>
    <mergeCell ref="A7:C7"/>
    <mergeCell ref="D7:F7"/>
    <mergeCell ref="G7:I7"/>
    <mergeCell ref="J7:L7"/>
    <mergeCell ref="C8:F8"/>
    <mergeCell ref="G8:J8"/>
    <mergeCell ref="K8:K9"/>
    <mergeCell ref="L8:L9"/>
    <mergeCell ref="A10:A16"/>
    <mergeCell ref="A17:A23"/>
    <mergeCell ref="A24:A25"/>
    <mergeCell ref="H26:J26"/>
    <mergeCell ref="F27:G27"/>
    <mergeCell ref="H27:J27"/>
    <mergeCell ref="B29:C29"/>
    <mergeCell ref="D29:E29"/>
    <mergeCell ref="F29:G29"/>
    <mergeCell ref="H29:I29"/>
    <mergeCell ref="J29:L29"/>
    <mergeCell ref="B30:C30"/>
    <mergeCell ref="D30:E30"/>
    <mergeCell ref="F30:G30"/>
    <mergeCell ref="H30:I30"/>
    <mergeCell ref="J30:L30"/>
    <mergeCell ref="B31:C31"/>
    <mergeCell ref="D31:E31"/>
    <mergeCell ref="F31:G31"/>
    <mergeCell ref="H31:I31"/>
    <mergeCell ref="J31:L31"/>
    <mergeCell ref="B32:C32"/>
    <mergeCell ref="D32:E32"/>
    <mergeCell ref="F32:G32"/>
    <mergeCell ref="H32:I32"/>
    <mergeCell ref="J32:L32"/>
    <mergeCell ref="A33:E33"/>
    <mergeCell ref="F33:G33"/>
    <mergeCell ref="H33:I33"/>
    <mergeCell ref="J33:L33"/>
    <mergeCell ref="A34:C34"/>
    <mergeCell ref="D34:L34"/>
    <mergeCell ref="B35:C35"/>
    <mergeCell ref="D35:E35"/>
    <mergeCell ref="F35:G35"/>
    <mergeCell ref="H35:L35"/>
    <mergeCell ref="B36:C36"/>
    <mergeCell ref="D36:E36"/>
    <mergeCell ref="F36:G36"/>
    <mergeCell ref="H36:L36"/>
    <mergeCell ref="A36:A39"/>
    <mergeCell ref="B37:C37"/>
    <mergeCell ref="D37:E37"/>
    <mergeCell ref="F37:G37"/>
    <mergeCell ref="H37:L37"/>
    <mergeCell ref="B38:C38"/>
    <mergeCell ref="D38:E38"/>
    <mergeCell ref="F38:G38"/>
    <mergeCell ref="H38:L38"/>
    <mergeCell ref="B39:E39"/>
    <mergeCell ref="F39:G39"/>
    <mergeCell ref="H39:L39"/>
    <mergeCell ref="B40:C40"/>
    <mergeCell ref="D40:E40"/>
    <mergeCell ref="F40:G40"/>
    <mergeCell ref="H40:L40"/>
    <mergeCell ref="A40:A43"/>
    <mergeCell ref="B41:C41"/>
    <mergeCell ref="D41:E41"/>
    <mergeCell ref="F41:G41"/>
    <mergeCell ref="H41:L41"/>
    <mergeCell ref="B42:C42"/>
    <mergeCell ref="D42:E42"/>
    <mergeCell ref="F42:G42"/>
    <mergeCell ref="H42:L42"/>
    <mergeCell ref="B43:E43"/>
    <mergeCell ref="F43:G43"/>
    <mergeCell ref="H43:L43"/>
    <mergeCell ref="A44:E44"/>
    <mergeCell ref="F44:G44"/>
    <mergeCell ref="H44:L44"/>
    <mergeCell ref="H45:L45"/>
    <mergeCell ref="K46:L46"/>
  </mergeCells>
  <pageMargins left="0.39" right="0.26" top="0.47" bottom="0.17" header="0.27" footer="0.17"/>
  <pageSetup paperSize="9" orientation="portrait" horizontalDpi="4294967295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 Work</vt:lpstr>
      <vt:lpstr>Time sheet</vt:lpstr>
      <vt:lpstr>OS-IN</vt:lpstr>
      <vt:lpstr>DM-IN</vt:lpstr>
      <vt:lpstr>OS-OUT</vt:lpstr>
      <vt:lpstr>DM-OUT </vt:lpstr>
      <vt:lpstr>Act. Cntr-Seal No List</vt:lpstr>
      <vt:lpstr>RF condition report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samsung</cp:lastModifiedBy>
  <cp:lastPrinted>2026-07-05T07:01:25Z</cp:lastPrinted>
  <dcterms:created xsi:type="dcterms:W3CDTF">2016-08-02T06:12:57Z</dcterms:created>
  <dcterms:modified xsi:type="dcterms:W3CDTF">2026-07-05T07:07:55Z</dcterms:modified>
</cp:coreProperties>
</file>