
<file path=[Content_Types].xml><?xml version="1.0" encoding="utf-8"?>
<Types xmlns="http://schemas.openxmlformats.org/package/2006/content-types">
  <Default Extension="wmf" ContentType="image/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450"/>
  </bookViews>
  <sheets>
    <sheet sheetId="17" name="Final Work" state="visible" r:id="rId4"/>
    <sheet sheetId="26" name="Time sheet" state="visible" r:id="rId5"/>
    <sheet sheetId="27" name="OS-IN" state="visible" r:id="rId6"/>
    <sheet sheetId="19" name="DM-IN" state="visible" r:id="rId7"/>
    <sheet sheetId="28" name="OS-OUT" state="visible" r:id="rId8"/>
    <sheet sheetId="8" name="DM-OUT" state="visible" r:id="rId9"/>
    <sheet sheetId="29" name="DAMAGE REPORT" state="visible" r:id="rId10"/>
    <sheet sheetId="21" name="Act. Cntr-Seal No List" state="visible" r:id="rId11"/>
    <sheet sheetId="15" name="RF condition report" state="visible" r:id="rId12"/>
    <sheet sheetId="30" name="PERFORMANCE" state="visible" r:id="rId13"/>
  </sheets>
  <definedNames>
    <definedName name="_xlnm.Print_Area" localSheetId="1">'Time sheet'!$A1:$H41</definedName>
  </definedNames>
  <calcPr calcId="171027"/>
</workbook>
</file>

<file path=xl/sharedStrings.xml><?xml version="1.0" encoding="utf-8"?>
<sst xmlns="http://schemas.openxmlformats.org/spreadsheetml/2006/main" count="506" uniqueCount="211">
  <si>
    <t xml:space="preserve">      GREEN  MARINE  CO.,  LTD.  </t>
  </si>
  <si>
    <t>FINAL WORKING  REPORT(VOUCHER)</t>
  </si>
  <si>
    <t xml:space="preserve">M/V  : </t>
  </si>
  <si>
    <t>TIAN HAI PING ZE</t>
  </si>
  <si>
    <t xml:space="preserve">VOY # : </t>
  </si>
  <si>
    <t>DATE :</t>
  </si>
  <si>
    <t xml:space="preserve">PIER  : </t>
  </si>
  <si>
    <t xml:space="preserve"> PNCT</t>
  </si>
  <si>
    <t>BERTH :</t>
  </si>
  <si>
    <t>PORT :</t>
  </si>
  <si>
    <r>
      <t xml:space="preserve"> </t>
    </r>
    <r>
      <rPr>
        <u/>
        <charset val="129"/>
        <family val="3"/>
        <sz val="12"/>
        <rFont val="맑은 고딕"/>
      </rPr>
      <t>PYEONGTAEK, KOREA</t>
    </r>
  </si>
  <si>
    <t>OPR</t>
  </si>
  <si>
    <t>PORT</t>
  </si>
  <si>
    <t xml:space="preserve"> FULL  (F)</t>
  </si>
  <si>
    <t xml:space="preserve"> EMPTY(E)</t>
  </si>
  <si>
    <t>20'</t>
  </si>
  <si>
    <t>40'</t>
  </si>
  <si>
    <r>
      <t>H</t>
    </r>
    <r>
      <rPr>
        <charset val="129"/>
        <family val="3"/>
        <sz val="12"/>
        <rFont val="맑은 고딕"/>
      </rPr>
      <t>C</t>
    </r>
  </si>
  <si>
    <t>45'</t>
  </si>
  <si>
    <t>HC</t>
  </si>
  <si>
    <t>TJM</t>
  </si>
  <si>
    <t>NGB</t>
  </si>
  <si>
    <t>F</t>
  </si>
  <si>
    <t>E</t>
  </si>
  <si>
    <t>SHA</t>
  </si>
  <si>
    <t xml:space="preserve">(DWS)
NGB</t>
  </si>
  <si>
    <t xml:space="preserve">(DWS)
SHA</t>
  </si>
  <si>
    <t xml:space="preserve">(MAS)
NGB</t>
  </si>
  <si>
    <t xml:space="preserve">(MAS)
SHA</t>
  </si>
  <si>
    <t>Total</t>
  </si>
  <si>
    <t>EAS</t>
  </si>
  <si>
    <t xml:space="preserve"> G. 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</si>
  <si>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</si>
  <si>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</si>
  <si>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</si>
  <si>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</si>
  <si>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</si>
  <si>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</si>
  <si>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</si>
  <si>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</si>
  <si>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 xml:space="preserve">DATE   : </t>
  </si>
  <si>
    <r>
      <t xml:space="preserve">PIER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 </t>
    </r>
  </si>
  <si>
    <t>PNCT</t>
  </si>
  <si>
    <r>
      <t xml:space="preserve">BERTH </t>
    </r>
    <r>
      <rPr>
        <b/>
        <charset val="129"/>
        <family val="3"/>
        <sz val="11"/>
        <rFont val="맑은 고딕"/>
      </rPr>
      <t>:</t>
    </r>
  </si>
  <si>
    <t>WEATHER :</t>
  </si>
  <si>
    <t>Fine</t>
  </si>
  <si>
    <r>
      <t xml:space="preserve">PORT : </t>
    </r>
    <r>
      <rPr>
        <u/>
        <charset val="129"/>
        <family val="3"/>
        <sz val="11"/>
        <rFont val="맑은 고딕"/>
      </rPr>
      <t>PYEONGTAEK, KOREA</t>
    </r>
  </si>
  <si>
    <r>
      <t>T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I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</si>
  <si>
    <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E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M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A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R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K</t>
    </r>
    <r>
      <rPr>
        <charset val="129"/>
        <family val="3"/>
        <sz val="12"/>
        <rFont val="맑은 고딕"/>
      </rPr>
      <t xml:space="preserve"> </t>
    </r>
    <r>
      <rPr>
        <charset val="129"/>
        <family val="3"/>
        <sz val="11"/>
        <rFont val="맑은 고딕"/>
      </rPr>
      <t>S</t>
    </r>
  </si>
  <si>
    <t>24th</t>
  </si>
  <si>
    <t>25th</t>
  </si>
  <si>
    <t xml:space="preserve"> 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</si>
  <si>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</si>
  <si>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맑은 고딕"/>
      </rPr>
      <t xml:space="preserve"> :</t>
    </r>
  </si>
  <si>
    <r>
      <t>VOY. NO.</t>
    </r>
    <r>
      <rPr>
        <b/>
        <charset val="129"/>
        <family val="3"/>
        <sz val="12"/>
        <rFont val="맑은 고딕"/>
      </rPr>
      <t>:</t>
    </r>
  </si>
  <si>
    <t>2022E</t>
  </si>
  <si>
    <r>
      <t xml:space="preserve">DATE    </t>
    </r>
    <r>
      <rPr>
        <b/>
        <charset val="129"/>
        <family val="3"/>
        <sz val="12"/>
        <rFont val="맑은 고딕"/>
      </rPr>
      <t>:</t>
    </r>
  </si>
  <si>
    <r>
      <t xml:space="preserve">PORT  </t>
    </r>
    <r>
      <rPr>
        <b/>
        <charset val="129"/>
        <family val="3"/>
        <sz val="12"/>
        <rFont val="맑은 고딕"/>
      </rPr>
      <t xml:space="preserve">: </t>
    </r>
    <r>
      <rPr>
        <b/>
        <charset val="129"/>
        <family val="3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</si>
  <si>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</t>
    </r>
    <r>
      <rPr>
        <b/>
        <charset val="129"/>
        <family val="3"/>
        <sz val="12"/>
        <rFont val="맑은 고딕"/>
      </rPr>
      <t>:</t>
    </r>
  </si>
  <si>
    <r>
      <t xml:space="preserve">BERTH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</si>
  <si>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</si>
  <si>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</si>
  <si>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</si>
  <si>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</si>
  <si>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</si>
  <si>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</si>
  <si>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</si>
  <si>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</si>
  <si>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</si>
  <si>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</si>
  <si>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</si>
  <si>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</si>
  <si>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</si>
  <si>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 xml:space="preserve">STEVEDORE  </t>
  </si>
  <si>
    <t xml:space="preserve"> CARGO DAMAGE REPORT </t>
  </si>
  <si>
    <r>
      <t xml:space="preserve">M / V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</si>
  <si>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 </t>
    </r>
  </si>
  <si>
    <r>
      <t xml:space="preserve">DATE  </t>
    </r>
    <r>
      <rPr>
        <b/>
        <charset val="129"/>
        <family val="3"/>
        <sz val="12"/>
        <rFont val="맑은 고딕"/>
      </rPr>
      <t>:</t>
    </r>
  </si>
  <si>
    <r>
      <t xml:space="preserve">PORT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</si>
  <si>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r>
      <t xml:space="preserve">PIER  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 </t>
    </r>
  </si>
  <si>
    <r>
      <t xml:space="preserve">BERTH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</si>
  <si>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MARKS</t>
  </si>
  <si>
    <t>CONTENTS</t>
  </si>
  <si>
    <t>NO. OF</t>
  </si>
  <si>
    <t>TYPE</t>
  </si>
  <si>
    <t>EXCEPTION  ( Found in stow )</t>
  </si>
  <si>
    <t>WFHU5204808</t>
  </si>
  <si>
    <t>40'   FULL   CONT'R</t>
  </si>
  <si>
    <t>TOP PANEL 1 POINT TORN ( 4 x 4 )Cm</t>
  </si>
  <si>
    <t>PHRU8187790</t>
  </si>
  <si>
    <t>LEFT SIDE PANEL 1 POINT DENT ( 100 x 45 x 8 )Cm</t>
  </si>
  <si>
    <t xml:space="preserve"> CARGO  OVERAGE &amp; SHORTAGE  REPORT  (LOAD)</t>
  </si>
  <si>
    <t>2022W</t>
  </si>
  <si>
    <r>
      <t xml:space="preserve">PORT </t>
    </r>
    <r>
      <rPr>
        <b/>
        <charset val="129"/>
        <family val="3"/>
        <sz val="12"/>
        <rFont val="맑은 고딕"/>
      </rPr>
      <t xml:space="preserve"> : </t>
    </r>
    <r>
      <rPr>
        <b/>
        <charset val="129"/>
        <family val="3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</si>
  <si>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</si>
  <si>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t>EXCEPTION  ( Prior To Load )</t>
  </si>
  <si>
    <t xml:space="preserve"> CONTAINER  DAMAGED  REPORT</t>
  </si>
  <si>
    <r>
      <t xml:space="preserve">M / V </t>
    </r>
    <r>
      <rPr>
        <b/>
        <charset val="129"/>
        <family val="3"/>
        <sz val="11"/>
        <rFont val="맑은 고딕"/>
      </rPr>
      <t>:</t>
    </r>
  </si>
  <si>
    <r>
      <t xml:space="preserve"> VOY. NO. </t>
    </r>
    <r>
      <rPr>
        <b/>
        <charset val="129"/>
        <family val="3"/>
        <sz val="11"/>
        <rFont val="맑은 고딕"/>
      </rPr>
      <t>:</t>
    </r>
  </si>
  <si>
    <r>
      <t xml:space="preserve">DATE </t>
    </r>
    <r>
      <rPr>
        <b/>
        <charset val="129"/>
        <family val="3"/>
        <sz val="11"/>
        <rFont val="맑은 고딕"/>
      </rPr>
      <t>:</t>
    </r>
  </si>
  <si>
    <r>
      <t xml:space="preserve">CONTAINER NO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</si>
  <si>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r>
      <t xml:space="preserve"> SEAL NO.  </t>
    </r>
    <r>
      <rPr>
        <b/>
        <charset val="129"/>
        <family val="3"/>
        <sz val="11"/>
        <rFont val="맑은 고딕"/>
      </rPr>
      <t>:</t>
    </r>
    <r>
      <rPr>
        <charset val="129"/>
        <family val="3"/>
        <sz val="11"/>
        <rFont val="맑은 고딕"/>
      </rPr>
      <t xml:space="preserve"> </t>
    </r>
  </si>
  <si>
    <t>FULL</t>
  </si>
  <si>
    <r>
      <t xml:space="preserve">SIZE </t>
    </r>
    <r>
      <rPr>
        <b/>
        <charset val="129"/>
        <family val="3"/>
        <sz val="11"/>
        <rFont val="맑은 고딕"/>
      </rPr>
      <t xml:space="preserve">: </t>
    </r>
    <r>
      <rPr>
        <charset val="129"/>
        <family val="3"/>
        <sz val="11"/>
        <rFont val="맑은 고딕"/>
      </rPr>
      <t xml:space="preserve"> </t>
    </r>
  </si>
  <si>
    <r>
      <t xml:space="preserve">OPERATOR       </t>
    </r>
    <r>
      <rPr>
        <b/>
        <charset val="129"/>
        <family val="3"/>
        <sz val="10"/>
        <rFont val="맑은 고딕"/>
      </rPr>
      <t>:</t>
    </r>
    <r>
      <rPr>
        <charset val="129"/>
        <family val="3"/>
        <sz val="10"/>
        <rFont val="맑은 고딕"/>
      </rPr>
      <t xml:space="preserve"> </t>
    </r>
  </si>
  <si>
    <t>SHA-TJM</t>
  </si>
  <si>
    <t>PORT :  PYEONGTAEK, KOREA</t>
  </si>
  <si>
    <t>Description of Damage :</t>
  </si>
  <si>
    <t xml:space="preserve">  ( Found in stow ) </t>
  </si>
  <si>
    <t>SYMBOLS</t>
  </si>
  <si>
    <t>B</t>
  </si>
  <si>
    <t>BO</t>
  </si>
  <si>
    <t>BU</t>
  </si>
  <si>
    <t>C</t>
  </si>
  <si>
    <t>D</t>
  </si>
  <si>
    <t>DO</t>
  </si>
  <si>
    <t>H</t>
  </si>
  <si>
    <t>M</t>
  </si>
  <si>
    <t>O</t>
  </si>
  <si>
    <t>P</t>
  </si>
  <si>
    <t>R</t>
  </si>
  <si>
    <t>S</t>
  </si>
  <si>
    <t>T</t>
  </si>
  <si>
    <t>Broken</t>
  </si>
  <si>
    <t>Bulged out</t>
  </si>
  <si>
    <t>Buckled</t>
  </si>
  <si>
    <t>Cut</t>
  </si>
  <si>
    <t>Dent</t>
  </si>
  <si>
    <t>Distorted</t>
  </si>
  <si>
    <t>Hole</t>
  </si>
  <si>
    <t>Miss</t>
  </si>
  <si>
    <t>Burned out</t>
  </si>
  <si>
    <t>Patch</t>
  </si>
  <si>
    <t>Rusty</t>
  </si>
  <si>
    <t>Scratch</t>
  </si>
  <si>
    <t>Torn</t>
  </si>
  <si>
    <t>STEVEDORE</t>
  </si>
  <si>
    <r>
      <t xml:space="preserve">M / V    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 </t>
    </r>
  </si>
  <si>
    <t>DATE  :</t>
  </si>
  <si>
    <r>
      <t xml:space="preserve">VOY.NO. </t>
    </r>
    <r>
      <rPr>
        <b/>
        <charset val="129"/>
        <family val="3"/>
        <sz val="12"/>
        <rFont val="맑은 고딕"/>
      </rPr>
      <t>:</t>
    </r>
    <r>
      <rPr>
        <charset val="129"/>
        <family val="3"/>
        <sz val="12"/>
        <rFont val="맑은 고딕"/>
      </rPr>
      <t xml:space="preserve"> 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</si>
  <si>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</si>
  <si>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</si>
  <si>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</si>
  <si>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</si>
  <si>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</si>
  <si>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</si>
  <si>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</si>
  <si>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</si>
  <si>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</si>
  <si>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 xml:space="preserve">  20FT   FULL</t>
  </si>
  <si>
    <t xml:space="preserve">  20FT EMPTY</t>
  </si>
  <si>
    <t xml:space="preserve">  40FT   FULL</t>
  </si>
  <si>
    <t xml:space="preserve">  40FT EMPTY</t>
  </si>
  <si>
    <t>TOTAL</t>
  </si>
  <si>
    <t>LOAD.</t>
  </si>
  <si>
    <t>-NIL-</t>
  </si>
  <si>
    <t>REEFER CONTAINER CONDITION REPORT</t>
  </si>
  <si>
    <t>Discharging  /  Loading</t>
  </si>
  <si>
    <t>1/1</t>
  </si>
  <si>
    <t>M/V  :  TIAN HAI PING ZE</t>
  </si>
  <si>
    <t>VOY # :</t>
  </si>
  <si>
    <t>PIER  :  PNCT</t>
  </si>
  <si>
    <r>
      <t xml:space="preserve"> </t>
    </r>
    <r>
      <rPr>
        <u/>
        <charset val="129"/>
        <family val="3"/>
        <sz val="11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</si>
  <si>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</si>
  <si>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</si>
  <si>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</si>
  <si>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</si>
  <si>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</si>
  <si>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</si>
  <si>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</si>
  <si>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</si>
  <si>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 xml:space="preserve">STEVEDORE 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</si>
  <si>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</si>
  <si>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</si>
  <si>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</si>
  <si>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</si>
  <si>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</si>
  <si>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</si>
  <si>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</si>
  <si>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</si>
  <si>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맑은 고딕"/>
      </rPr>
      <t>:</t>
    </r>
  </si>
  <si>
    <r>
      <t xml:space="preserve">PIER  </t>
    </r>
    <r>
      <rPr>
        <b/>
        <charset val="129"/>
        <family val="3"/>
        <sz val="10"/>
        <rFont val="맑은 고딕"/>
      </rPr>
      <t>:</t>
    </r>
  </si>
  <si>
    <t>Status</t>
  </si>
  <si>
    <t>EMPTY</t>
  </si>
  <si>
    <t xml:space="preserve"> Description</t>
  </si>
  <si>
    <t>IN BOUND</t>
  </si>
  <si>
    <t xml:space="preserve"> 20'DG x 5 , 40'DG x 3 ( FR x 2 )</t>
  </si>
  <si>
    <t xml:space="preserve"> 40'RH x 2</t>
  </si>
  <si>
    <t>DWS</t>
  </si>
  <si>
    <t>MAS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</si>
  <si>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</si>
  <si>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</si>
  <si>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</si>
  <si>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</si>
  <si>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</si>
  <si>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</si>
  <si>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</si>
  <si>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</si>
  <si>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</si>
  <si>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</si>
  <si>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</si>
  <si>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#4 (G/C)</t>
  </si>
  <si>
    <t xml:space="preserve">  COMMENCED DISCH.</t>
  </si>
  <si>
    <t xml:space="preserve">  DISCH. OF CONT'R</t>
  </si>
  <si>
    <t xml:space="preserve">  MEAL TIME</t>
  </si>
  <si>
    <t xml:space="preserve">  COMPLETED DISCH.</t>
  </si>
  <si>
    <t xml:space="preserve">  COMMENCED LOAD.</t>
  </si>
  <si>
    <t xml:space="preserve">  LOAD. OF CONT'R</t>
  </si>
  <si>
    <t xml:space="preserve">  COMPLETED LOAD. &amp; GANG K/OFF</t>
  </si>
  <si>
    <t>#2 (G/C)</t>
  </si>
  <si>
    <t xml:space="preserve">  COMPLETED LOAD. &amp; GANGS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</si>
</sst>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_ ;_ * -#,##0_ ;_ * &quot;-&quot;_ ;_ @_ "/>
    <numFmt numFmtId="165" formatCode="mm&quot;월&quot; dd&quot;일&quot;"/>
    <numFmt numFmtId="166" formatCode="0.0℃"/>
    <numFmt numFmtId="167" formatCode="_-* #,##0_-;-* #,##0_-;_-* &quot;-&quot;_-;_-@_-"/>
    <numFmt numFmtId="168" formatCode="0_ "/>
    <numFmt numFmtId="169" formatCode="hh:mm"/>
  </numFmts>
  <fonts count="25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color theme="1"/>
      <family val="3"/>
      <scheme val="minor"/>
      <sz val="12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0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  <font>
      <b/>
      <charset val="129"/>
      <family val="3"/>
      <scheme val="minor"/>
      <sz val="14"/>
      <name val="맑은 고딕"/>
    </font>
    <font>
      <b/>
      <u/>
      <charset val="129"/>
      <family val="3"/>
      <scheme val="minor"/>
      <sz val="18"/>
      <name val="맑은 고딕"/>
    </font>
    <font>
      <b/>
      <charset val="129"/>
      <family val="3"/>
      <scheme val="minor"/>
      <sz val="11"/>
      <name val="맑은 고딕"/>
    </font>
    <font>
      <b/>
      <charset val="129"/>
      <family val="3"/>
      <scheme val="minor"/>
      <sz val="10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color indexed="8"/>
      <family val="3"/>
      <scheme val="minor"/>
      <sz val="9"/>
      <name val="맑은 고딕"/>
    </font>
    <font>
      <charset val="129"/>
      <color indexed="8"/>
      <family val="3"/>
      <scheme val="minor"/>
      <sz val="11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</fills>
  <borders count="1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center"/>
    </xf>
    <xf numFmtId="14" fontId="4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left" vertical="center" shrinkToFit="1"/>
    </xf>
    <xf numFmtId="0" fontId="4" fillId="0" borderId="0" xfId="0" applyFont="1" applyProtection="1">
      <protection locked="0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 shrinkToFit="1"/>
    </xf>
    <xf numFmtId="164" fontId="6" fillId="0" borderId="13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16" xfId="0" applyFont="1" applyBorder="1" applyAlignment="1">
      <alignment horizontal="center" vertical="center" shrinkToFit="1"/>
    </xf>
    <xf numFmtId="0" fontId="8" fillId="0" borderId="17" xfId="0" applyFont="1" applyBorder="1" applyAlignment="1">
      <alignment horizontal="center" vertical="center" shrinkToFit="1"/>
    </xf>
    <xf numFmtId="164" fontId="8" fillId="0" borderId="18" xfId="0" applyNumberFormat="1" applyFont="1" applyBorder="1" applyAlignment="1">
      <alignment horizontal="center" vertical="center" shrinkToFit="1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 shrinkToFit="1"/>
    </xf>
    <xf numFmtId="164" fontId="8" fillId="0" borderId="24" xfId="0" applyNumberFormat="1" applyFont="1" applyBorder="1" applyAlignment="1">
      <alignment horizontal="center" vertical="center" shrinkToFit="1"/>
    </xf>
    <xf numFmtId="0" fontId="8" fillId="0" borderId="25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>
      <alignment horizontal="center" vertical="center" shrinkToFit="1"/>
    </xf>
    <xf numFmtId="164" fontId="8" fillId="0" borderId="29" xfId="0" applyNumberFormat="1" applyFont="1" applyBorder="1" applyAlignment="1">
      <alignment horizontal="center" vertical="center" shrinkToFit="1"/>
    </xf>
    <xf numFmtId="0" fontId="8" fillId="0" borderId="30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>
      <alignment horizontal="center" vertical="center" wrapText="1" shrinkToFit="1"/>
    </xf>
    <xf numFmtId="164" fontId="8" fillId="0" borderId="34" xfId="0" applyNumberFormat="1" applyFont="1" applyBorder="1" applyAlignment="1">
      <alignment horizontal="center" vertical="center" shrinkToFit="1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23" xfId="0" applyFont="1" applyBorder="1" applyAlignment="1">
      <alignment horizontal="center" vertical="center" wrapText="1" shrinkToFit="1"/>
    </xf>
    <xf numFmtId="0" fontId="8" fillId="0" borderId="38" xfId="0" applyFont="1" applyBorder="1" applyAlignment="1">
      <alignment horizontal="center" vertical="center" wrapText="1" shrinkToFit="1"/>
    </xf>
    <xf numFmtId="164" fontId="8" fillId="0" borderId="39" xfId="0" applyNumberFormat="1" applyFont="1" applyBorder="1" applyAlignment="1">
      <alignment horizontal="center" vertical="center" shrinkToFit="1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>
      <alignment horizontal="center" vertical="center" shrinkToFit="1"/>
    </xf>
    <xf numFmtId="164" fontId="8" fillId="0" borderId="44" xfId="0" applyNumberFormat="1" applyFont="1" applyBorder="1" applyAlignment="1">
      <alignment horizontal="center" vertical="center" shrinkToFit="1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8" fillId="0" borderId="44" xfId="0" applyFont="1" applyBorder="1" applyAlignment="1" applyProtection="1">
      <alignment horizontal="center" vertical="center"/>
      <protection locked="0"/>
    </xf>
    <xf numFmtId="0" fontId="8" fillId="0" borderId="4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>
      <alignment horizontal="center" vertical="center" shrinkToFit="1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1" xfId="0" applyFont="1" applyBorder="1" applyAlignment="1">
      <alignment horizontal="center" vertical="center" shrinkToFit="1"/>
    </xf>
    <xf numFmtId="0" fontId="8" fillId="0" borderId="52" xfId="0" applyFont="1" applyBorder="1" applyAlignment="1">
      <alignment horizontal="center" vertical="center" shrinkToFit="1"/>
    </xf>
    <xf numFmtId="164" fontId="8" fillId="0" borderId="53" xfId="0" applyNumberFormat="1" applyFont="1" applyBorder="1" applyAlignment="1">
      <alignment horizontal="center" vertical="center" shrinkToFit="1"/>
    </xf>
    <xf numFmtId="0" fontId="8" fillId="0" borderId="54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shrinkToFit="1"/>
    </xf>
    <xf numFmtId="0" fontId="8" fillId="0" borderId="58" xfId="0" applyFont="1" applyBorder="1" applyAlignment="1">
      <alignment horizontal="center" vertical="center" shrinkToFit="1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 shrinkToFit="1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64" fontId="8" fillId="0" borderId="71" xfId="0" applyNumberFormat="1" applyFont="1" applyBorder="1" applyAlignment="1">
      <alignment horizontal="center" vertical="center" shrinkToFit="1"/>
    </xf>
    <xf numFmtId="0" fontId="8" fillId="0" borderId="22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 shrinkToFit="1"/>
    </xf>
    <xf numFmtId="0" fontId="8" fillId="0" borderId="76" xfId="0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164" fontId="8" fillId="0" borderId="82" xfId="0" applyNumberFormat="1" applyFont="1" applyBorder="1" applyAlignment="1">
      <alignment horizontal="center" vertical="center" shrinkToFit="1"/>
    </xf>
    <xf numFmtId="0" fontId="8" fillId="0" borderId="83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85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8" fillId="0" borderId="87" xfId="0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96" xfId="0" applyFont="1" applyBorder="1" applyAlignment="1">
      <alignment horizontal="center" vertical="center"/>
    </xf>
    <xf numFmtId="0" fontId="8" fillId="0" borderId="97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7" fillId="0" borderId="99" xfId="0" applyFont="1" applyBorder="1" applyAlignment="1">
      <alignment horizontal="center" vertical="center" shrinkToFit="1"/>
    </xf>
    <xf numFmtId="164" fontId="8" fillId="0" borderId="6" xfId="0" applyNumberFormat="1" applyFont="1" applyBorder="1" applyAlignment="1">
      <alignment horizontal="center" vertical="center" shrinkToFit="1"/>
    </xf>
    <xf numFmtId="0" fontId="8" fillId="0" borderId="100" xfId="0" applyFont="1" applyBorder="1" applyAlignment="1">
      <alignment horizontal="center" vertical="center"/>
    </xf>
    <xf numFmtId="0" fontId="8" fillId="0" borderId="10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shrinkToFit="1"/>
    </xf>
    <xf numFmtId="164" fontId="8" fillId="0" borderId="103" xfId="0" applyNumberFormat="1" applyFont="1" applyBorder="1" applyAlignment="1">
      <alignment horizontal="center" vertical="center" shrinkToFit="1"/>
    </xf>
    <xf numFmtId="0" fontId="8" fillId="0" borderId="62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0" fontId="8" fillId="0" borderId="10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 wrapText="1" shrinkToFit="1"/>
    </xf>
    <xf numFmtId="164" fontId="6" fillId="0" borderId="74" xfId="0" applyNumberFormat="1" applyFont="1" applyBorder="1" applyAlignment="1">
      <alignment horizontal="center" vertical="center" wrapText="1" shrinkToFit="1"/>
    </xf>
    <xf numFmtId="0" fontId="6" fillId="0" borderId="107" xfId="0" applyFont="1" applyBorder="1" applyAlignment="1">
      <alignment horizontal="left" vertical="center"/>
    </xf>
    <xf numFmtId="0" fontId="6" fillId="0" borderId="108" xfId="0" applyFont="1" applyBorder="1" applyAlignment="1">
      <alignment horizontal="left" vertical="center"/>
    </xf>
    <xf numFmtId="0" fontId="6" fillId="0" borderId="109" xfId="0" applyFont="1" applyBorder="1" applyAlignment="1">
      <alignment horizontal="left" vertical="center"/>
    </xf>
    <xf numFmtId="164" fontId="6" fillId="0" borderId="107" xfId="0" applyNumberFormat="1" applyFont="1" applyBorder="1" applyAlignment="1">
      <alignment horizontal="left" vertical="center" wrapText="1" shrinkToFit="1"/>
    </xf>
    <xf numFmtId="164" fontId="6" fillId="0" borderId="108" xfId="0" applyNumberFormat="1" applyFont="1" applyBorder="1" applyAlignment="1">
      <alignment horizontal="left" vertical="center" wrapText="1" shrinkToFit="1"/>
    </xf>
    <xf numFmtId="164" fontId="6" fillId="0" borderId="109" xfId="0" applyNumberFormat="1" applyFont="1" applyBorder="1" applyAlignment="1">
      <alignment horizontal="left" vertical="center" wrapText="1" shrinkToFit="1"/>
    </xf>
    <xf numFmtId="164" fontId="6" fillId="0" borderId="0" xfId="0" applyNumberFormat="1" applyFont="1" applyAlignment="1">
      <alignment horizontal="left" vertical="center" wrapText="1" shrinkToFit="1"/>
    </xf>
    <xf numFmtId="164" fontId="8" fillId="0" borderId="4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99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110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4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99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110" xfId="0" applyNumberFormat="1" applyFont="1" applyBorder="1" applyAlignment="1" applyProtection="1">
      <alignment horizontal="left" vertical="center" wrapText="1" shrinkToFit="1"/>
      <protection locked="0"/>
    </xf>
    <xf numFmtId="164" fontId="7" fillId="0" borderId="0" xfId="0" applyNumberFormat="1" applyFont="1" applyAlignment="1" applyProtection="1">
      <alignment horizontal="left" vertical="center" wrapText="1" shrinkToFit="1"/>
      <protection locked="0"/>
    </xf>
    <xf numFmtId="164" fontId="8" fillId="0" borderId="10" xfId="0" applyNumberFormat="1" applyFont="1" applyBorder="1" applyAlignment="1" applyProtection="1">
      <alignment horizontal="center" vertical="center" wrapText="1" shrinkToFit="1"/>
      <protection locked="0"/>
    </xf>
    <xf numFmtId="164" fontId="8" fillId="0" borderId="0" xfId="0" applyNumberFormat="1" applyFont="1" applyAlignment="1" applyProtection="1">
      <alignment horizontal="center" vertical="center" wrapText="1" shrinkToFit="1"/>
      <protection locked="0"/>
    </xf>
    <xf numFmtId="164" fontId="8" fillId="0" borderId="74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0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0" xfId="0" applyNumberFormat="1" applyFont="1" applyAlignment="1" applyProtection="1">
      <alignment horizontal="center" vertical="center" wrapText="1" shrinkToFit="1"/>
      <protection locked="0"/>
    </xf>
    <xf numFmtId="164" fontId="7" fillId="0" borderId="74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89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02" xfId="0" applyNumberFormat="1" applyFont="1" applyBorder="1" applyAlignment="1" applyProtection="1">
      <alignment horizontal="center" vertical="center" wrapText="1" shrinkToFit="1"/>
      <protection locked="0"/>
    </xf>
    <xf numFmtId="164" fontId="7" fillId="0" borderId="111" xfId="0" applyNumberFormat="1" applyFont="1" applyBorder="1" applyAlignment="1" applyProtection="1">
      <alignment horizontal="center" vertical="center" wrapText="1" shrinkToFit="1"/>
      <protection locked="0"/>
    </xf>
    <xf numFmtId="0" fontId="1" fillId="0" borderId="112" xfId="0" applyFont="1" applyBorder="1"/>
    <xf numFmtId="164" fontId="1" fillId="0" borderId="112" xfId="0" applyNumberFormat="1" applyFont="1" applyBorder="1"/>
    <xf numFmtId="0" fontId="6" fillId="0" borderId="113" xfId="0" applyFont="1" applyBorder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14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6" fillId="0" borderId="114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116" xfId="0" applyFont="1" applyBorder="1" applyAlignment="1">
      <alignment horizontal="center" vertical="center"/>
    </xf>
    <xf numFmtId="49" fontId="7" fillId="0" borderId="117" xfId="0" applyNumberFormat="1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7" fillId="0" borderId="117" xfId="0" applyFont="1" applyBorder="1" applyAlignment="1">
      <alignment horizontal="left" vertical="center"/>
    </xf>
    <xf numFmtId="0" fontId="7" fillId="0" borderId="119" xfId="0" applyFont="1" applyBorder="1" applyAlignment="1">
      <alignment horizontal="left" vertical="center"/>
    </xf>
    <xf numFmtId="0" fontId="7" fillId="0" borderId="118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20" xfId="0" applyNumberFormat="1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20" xfId="0" applyFont="1" applyBorder="1" applyAlignment="1">
      <alignment horizontal="left" vertical="center"/>
    </xf>
    <xf numFmtId="0" fontId="7" fillId="0" borderId="105" xfId="0" applyFont="1" applyBorder="1" applyAlignment="1">
      <alignment horizontal="left" vertical="center"/>
    </xf>
    <xf numFmtId="0" fontId="7" fillId="0" borderId="121" xfId="0" applyFont="1" applyBorder="1" applyAlignment="1">
      <alignment horizontal="left" vertical="center"/>
    </xf>
    <xf numFmtId="49" fontId="7" fillId="0" borderId="122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22" xfId="0" applyFont="1" applyBorder="1" applyAlignment="1">
      <alignment horizontal="left" vertical="center"/>
    </xf>
    <xf numFmtId="0" fontId="7" fillId="0" borderId="112" xfId="0" applyFont="1" applyBorder="1" applyAlignment="1">
      <alignment horizontal="left" vertical="center"/>
    </xf>
    <xf numFmtId="0" fontId="7" fillId="0" borderId="123" xfId="0" applyFont="1" applyBorder="1" applyAlignment="1">
      <alignment horizontal="left" vertical="center"/>
    </xf>
    <xf numFmtId="165" fontId="7" fillId="0" borderId="120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5" fontId="7" fillId="0" borderId="12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23" xfId="0" applyFont="1" applyBorder="1" applyAlignment="1">
      <alignment vertical="center"/>
    </xf>
    <xf numFmtId="0" fontId="7" fillId="0" borderId="124" xfId="0" applyFont="1" applyBorder="1" applyAlignment="1">
      <alignment vertical="center"/>
    </xf>
    <xf numFmtId="0" fontId="1" fillId="0" borderId="112" xfId="0" applyFont="1" applyBorder="1" applyAlignment="1">
      <alignment vertical="center"/>
    </xf>
    <xf numFmtId="0" fontId="1" fillId="0" borderId="113" xfId="0" applyFont="1" applyBorder="1" applyAlignment="1">
      <alignment horizontal="center" vertical="center"/>
    </xf>
    <xf numFmtId="0" fontId="6" fillId="0" borderId="1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" fillId="0" borderId="12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shrinkToFit="1"/>
    </xf>
    <xf numFmtId="0" fontId="1" fillId="0" borderId="126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shrinkToFit="1"/>
    </xf>
    <xf numFmtId="0" fontId="1" fillId="0" borderId="127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 shrinkToFit="1"/>
    </xf>
    <xf numFmtId="0" fontId="1" fillId="0" borderId="129" xfId="0" applyFont="1" applyBorder="1" applyAlignment="1">
      <alignment horizontal="center" vertical="center" shrinkToFit="1"/>
    </xf>
    <xf numFmtId="0" fontId="1" fillId="0" borderId="130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 shrinkToFit="1"/>
    </xf>
    <xf numFmtId="0" fontId="7" fillId="0" borderId="125" xfId="0" applyFont="1" applyBorder="1" applyAlignment="1">
      <alignment vertical="center"/>
    </xf>
    <xf numFmtId="0" fontId="6" fillId="0" borderId="125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125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6" fillId="0" borderId="131" xfId="0" applyFont="1" applyBorder="1" applyAlignment="1">
      <alignment vertical="center"/>
    </xf>
    <xf numFmtId="0" fontId="6" fillId="0" borderId="72" xfId="0" applyFont="1" applyBorder="1" applyAlignment="1">
      <alignment vertical="center"/>
    </xf>
    <xf numFmtId="49" fontId="6" fillId="0" borderId="125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0" fontId="6" fillId="0" borderId="125" xfId="0" applyFont="1" applyBorder="1" applyAlignment="1">
      <alignment horizontal="center" vertical="center" wrapText="1" shrinkToFit="1"/>
    </xf>
    <xf numFmtId="49" fontId="7" fillId="0" borderId="125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vertical="center"/>
    </xf>
    <xf numFmtId="0" fontId="7" fillId="0" borderId="104" xfId="0" applyFont="1" applyBorder="1" applyAlignment="1">
      <alignment vertical="center"/>
    </xf>
    <xf numFmtId="0" fontId="6" fillId="0" borderId="104" xfId="0" applyFont="1" applyBorder="1" applyAlignment="1">
      <alignment horizontal="center" vertical="center"/>
    </xf>
    <xf numFmtId="0" fontId="6" fillId="0" borderId="120" xfId="0" applyFont="1" applyBorder="1" applyAlignment="1">
      <alignment vertical="center"/>
    </xf>
    <xf numFmtId="0" fontId="6" fillId="0" borderId="105" xfId="0" applyFont="1" applyBorder="1" applyAlignment="1">
      <alignment vertical="center"/>
    </xf>
    <xf numFmtId="0" fontId="6" fillId="0" borderId="121" xfId="0" applyFont="1" applyBorder="1" applyAlignment="1">
      <alignment vertical="center"/>
    </xf>
    <xf numFmtId="164" fontId="6" fillId="0" borderId="104" xfId="0" applyNumberFormat="1" applyFont="1" applyBorder="1" applyAlignment="1">
      <alignment horizontal="center" vertical="center" wrapText="1" shrinkToFit="1"/>
    </xf>
    <xf numFmtId="49" fontId="7" fillId="0" borderId="104" xfId="0" applyNumberFormat="1" applyFont="1" applyBorder="1" applyAlignment="1">
      <alignment horizontal="left" vertical="center"/>
    </xf>
    <xf numFmtId="0" fontId="7" fillId="0" borderId="92" xfId="0" applyFont="1" applyBorder="1" applyAlignment="1">
      <alignment vertical="center"/>
    </xf>
    <xf numFmtId="0" fontId="6" fillId="0" borderId="92" xfId="0" applyFont="1" applyBorder="1" applyAlignment="1">
      <alignment horizontal="center" vertical="center"/>
    </xf>
    <xf numFmtId="49" fontId="6" fillId="0" borderId="90" xfId="0" applyNumberFormat="1" applyFont="1" applyBorder="1" applyAlignment="1">
      <alignment vertical="center"/>
    </xf>
    <xf numFmtId="0" fontId="6" fillId="0" borderId="102" xfId="0" applyFont="1" applyBorder="1" applyAlignment="1">
      <alignment vertical="center"/>
    </xf>
    <xf numFmtId="0" fontId="6" fillId="0" borderId="132" xfId="0" applyFont="1" applyBorder="1" applyAlignment="1">
      <alignment vertical="center"/>
    </xf>
    <xf numFmtId="164" fontId="6" fillId="0" borderId="92" xfId="0" applyNumberFormat="1" applyFont="1" applyBorder="1" applyAlignment="1">
      <alignment horizontal="center" vertical="center" wrapText="1" shrinkToFit="1"/>
    </xf>
    <xf numFmtId="0" fontId="7" fillId="0" borderId="92" xfId="0" applyFont="1" applyBorder="1" applyAlignment="1">
      <alignment horizontal="left" vertical="center"/>
    </xf>
    <xf numFmtId="0" fontId="6" fillId="0" borderId="122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0" fontId="12" fillId="0" borderId="124" xfId="0" applyFont="1" applyBorder="1" applyAlignment="1">
      <alignment horizontal="center" vertical="center"/>
    </xf>
    <xf numFmtId="164" fontId="12" fillId="0" borderId="124" xfId="0" applyNumberFormat="1" applyFont="1" applyBorder="1" applyAlignment="1">
      <alignment horizontal="center" vertical="center" wrapText="1" shrinkToFit="1"/>
    </xf>
    <xf numFmtId="0" fontId="7" fillId="0" borderId="122" xfId="0" applyFont="1" applyBorder="1" applyAlignment="1">
      <alignment horizontal="center" vertical="center"/>
    </xf>
    <xf numFmtId="0" fontId="13" fillId="0" borderId="124" xfId="0" applyFont="1" applyBorder="1" applyAlignment="1">
      <alignment horizontal="center" vertical="center"/>
    </xf>
    <xf numFmtId="164" fontId="13" fillId="0" borderId="124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164" fontId="7" fillId="0" borderId="125" xfId="0" applyNumberFormat="1" applyFont="1" applyBorder="1" applyAlignment="1">
      <alignment horizontal="center" vertical="center" wrapText="1" shrinkToFit="1"/>
    </xf>
    <xf numFmtId="0" fontId="13" fillId="0" borderId="125" xfId="0" applyFont="1" applyBorder="1" applyAlignment="1">
      <alignment horizontal="center" vertical="center"/>
    </xf>
    <xf numFmtId="164" fontId="13" fillId="0" borderId="125" xfId="0" applyNumberFormat="1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0" fontId="6" fillId="0" borderId="134" xfId="0" applyFont="1" applyBorder="1" applyAlignment="1">
      <alignment horizontal="center" vertical="center"/>
    </xf>
    <xf numFmtId="0" fontId="6" fillId="0" borderId="117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 vertical="center"/>
    </xf>
    <xf numFmtId="0" fontId="6" fillId="0" borderId="117" xfId="0" applyFont="1" applyBorder="1" applyAlignment="1">
      <alignment vertical="center"/>
    </xf>
    <xf numFmtId="0" fontId="6" fillId="0" borderId="119" xfId="0" applyFont="1" applyBorder="1" applyAlignment="1">
      <alignment vertical="center"/>
    </xf>
    <xf numFmtId="0" fontId="6" fillId="0" borderId="118" xfId="0" applyFont="1" applyBorder="1" applyAlignment="1">
      <alignment vertical="center"/>
    </xf>
    <xf numFmtId="0" fontId="6" fillId="0" borderId="12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12" xfId="0" applyFont="1" applyBorder="1" applyAlignment="1">
      <alignment horizontal="center" vertical="center"/>
    </xf>
    <xf numFmtId="0" fontId="6" fillId="0" borderId="122" xfId="0" applyFont="1" applyBorder="1" applyAlignment="1">
      <alignment vertical="center"/>
    </xf>
    <xf numFmtId="0" fontId="6" fillId="0" borderId="112" xfId="0" applyFont="1" applyBorder="1" applyAlignment="1">
      <alignment vertical="center"/>
    </xf>
    <xf numFmtId="0" fontId="6" fillId="0" borderId="123" xfId="0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22" xfId="0" applyFont="1" applyBorder="1" applyAlignment="1">
      <alignment horizontal="left" vertical="center"/>
    </xf>
    <xf numFmtId="0" fontId="6" fillId="0" borderId="112" xfId="0" applyFont="1" applyBorder="1" applyAlignment="1">
      <alignment horizontal="left" vertical="center"/>
    </xf>
    <xf numFmtId="0" fontId="6" fillId="0" borderId="123" xfId="0" applyFont="1" applyBorder="1" applyAlignment="1">
      <alignment horizontal="left" vertical="center"/>
    </xf>
    <xf numFmtId="0" fontId="6" fillId="0" borderId="125" xfId="0" applyFont="1" applyBorder="1" applyAlignment="1">
      <alignment horizontal="left" vertical="center" indent="1"/>
    </xf>
    <xf numFmtId="164" fontId="6" fillId="0" borderId="1" xfId="0" applyNumberFormat="1" applyFont="1" applyBorder="1" applyAlignment="1">
      <alignment horizontal="center" vertical="center" wrapText="1" shrinkToFit="1"/>
    </xf>
    <xf numFmtId="164" fontId="6" fillId="0" borderId="3" xfId="0" applyNumberFormat="1" applyFont="1" applyBorder="1" applyAlignment="1">
      <alignment horizontal="center" vertical="center" wrapText="1" shrinkToFit="1"/>
    </xf>
    <xf numFmtId="0" fontId="7" fillId="0" borderId="125" xfId="0" applyFont="1" applyBorder="1" applyAlignment="1">
      <alignment horizontal="left" vertical="center" wrapText="1"/>
    </xf>
    <xf numFmtId="0" fontId="7" fillId="0" borderId="124" xfId="0" applyFont="1" applyBorder="1" applyAlignment="1">
      <alignment horizontal="left" vertical="center" wrapText="1"/>
    </xf>
    <xf numFmtId="0" fontId="7" fillId="0" borderId="124" xfId="0" applyFont="1" applyBorder="1" applyAlignment="1">
      <alignment horizontal="left" vertical="center"/>
    </xf>
    <xf numFmtId="0" fontId="7" fillId="0" borderId="101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135" xfId="0" applyFont="1" applyBorder="1" applyAlignment="1">
      <alignment horizontal="center" vertical="center"/>
    </xf>
    <xf numFmtId="0" fontId="12" fillId="0" borderId="101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 wrapText="1" shrinkToFit="1"/>
    </xf>
    <xf numFmtId="164" fontId="12" fillId="0" borderId="135" xfId="0" applyNumberFormat="1" applyFont="1" applyBorder="1" applyAlignment="1">
      <alignment horizontal="center" vertical="center" wrapText="1" shrinkToFit="1"/>
    </xf>
    <xf numFmtId="164" fontId="12" fillId="0" borderId="101" xfId="0" applyNumberFormat="1" applyFont="1" applyBorder="1" applyAlignment="1">
      <alignment horizontal="center" vertical="center" wrapText="1" shrinkToFit="1"/>
    </xf>
    <xf numFmtId="0" fontId="7" fillId="0" borderId="113" xfId="0" applyFont="1" applyBorder="1" applyAlignment="1">
      <alignment horizontal="center" vertical="center" shrinkToFit="1"/>
    </xf>
    <xf numFmtId="0" fontId="7" fillId="0" borderId="11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shrinkToFit="1"/>
    </xf>
    <xf numFmtId="1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12" xfId="0" applyFont="1" applyBorder="1"/>
    <xf numFmtId="0" fontId="7" fillId="0" borderId="113" xfId="0" applyFont="1" applyBorder="1"/>
    <xf numFmtId="0" fontId="7" fillId="0" borderId="126" xfId="0" applyFont="1" applyBorder="1"/>
    <xf numFmtId="0" fontId="7" fillId="0" borderId="131" xfId="0" applyFont="1" applyBorder="1"/>
    <xf numFmtId="0" fontId="7" fillId="0" borderId="72" xfId="0" applyFont="1" applyBorder="1"/>
    <xf numFmtId="0" fontId="7" fillId="0" borderId="122" xfId="0" applyFont="1" applyBorder="1"/>
    <xf numFmtId="0" fontId="7" fillId="0" borderId="112" xfId="0" applyFont="1" applyBorder="1"/>
    <xf numFmtId="0" fontId="7" fillId="0" borderId="123" xfId="0" applyFont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136" xfId="0" applyFont="1" applyBorder="1" applyAlignment="1">
      <alignment vertical="center"/>
    </xf>
    <xf numFmtId="0" fontId="6" fillId="0" borderId="136" xfId="0" applyFont="1" applyBorder="1" applyAlignment="1">
      <alignment vertical="center"/>
    </xf>
    <xf numFmtId="0" fontId="7" fillId="0" borderId="137" xfId="0" applyFont="1" applyBorder="1" applyAlignment="1">
      <alignment vertical="center"/>
    </xf>
    <xf numFmtId="0" fontId="6" fillId="0" borderId="136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6" fillId="0" borderId="136" xfId="0" applyFont="1" applyBorder="1" applyAlignment="1">
      <alignment horizontal="left" vertical="center"/>
    </xf>
    <xf numFmtId="0" fontId="14" fillId="0" borderId="112" xfId="0" applyFont="1" applyBorder="1" applyAlignment="1">
      <alignment vertical="top"/>
    </xf>
    <xf numFmtId="0" fontId="8" fillId="0" borderId="12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3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124" xfId="0" applyFont="1" applyBorder="1" applyAlignment="1">
      <alignment horizontal="center" vertical="center" wrapText="1"/>
    </xf>
    <xf numFmtId="0" fontId="7" fillId="0" borderId="124" xfId="0" applyFont="1" applyBorder="1" applyAlignment="1">
      <alignment horizontal="center" vertical="center" wrapText="1"/>
    </xf>
    <xf numFmtId="0" fontId="8" fillId="0" borderId="122" xfId="0" applyFont="1" applyBorder="1" applyAlignment="1">
      <alignment horizontal="center" vertical="center" wrapText="1"/>
    </xf>
    <xf numFmtId="0" fontId="8" fillId="0" borderId="112" xfId="0" applyFont="1" applyBorder="1" applyAlignment="1">
      <alignment horizontal="center" vertical="center" wrapText="1"/>
    </xf>
    <xf numFmtId="0" fontId="8" fillId="0" borderId="1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113" xfId="0" applyFont="1" applyBorder="1" applyAlignment="1">
      <alignment horizontal="center"/>
    </xf>
    <xf numFmtId="164" fontId="9" fillId="0" borderId="13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6" fillId="0" borderId="138" xfId="0" applyFont="1" applyBorder="1" applyAlignment="1">
      <alignment horizontal="center" vertical="center"/>
    </xf>
    <xf numFmtId="0" fontId="6" fillId="0" borderId="139" xfId="0" applyFont="1" applyBorder="1" applyAlignment="1">
      <alignment horizontal="center" vertical="center"/>
    </xf>
    <xf numFmtId="0" fontId="6" fillId="0" borderId="127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140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 shrinkToFit="1"/>
    </xf>
    <xf numFmtId="0" fontId="7" fillId="0" borderId="124" xfId="0" applyFont="1" applyBorder="1" applyAlignment="1">
      <alignment horizontal="center" vertical="center" shrinkToFit="1"/>
    </xf>
    <xf numFmtId="0" fontId="7" fillId="0" borderId="124" xfId="0" applyFont="1" applyBorder="1" applyAlignment="1">
      <alignment horizontal="center" vertical="center"/>
    </xf>
    <xf numFmtId="49" fontId="7" fillId="0" borderId="124" xfId="0" applyNumberFormat="1" applyFont="1" applyBorder="1" applyAlignment="1">
      <alignment horizontal="center" vertical="center" shrinkToFit="1"/>
    </xf>
    <xf numFmtId="49" fontId="7" fillId="0" borderId="134" xfId="0" applyNumberFormat="1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49" fontId="7" fillId="0" borderId="125" xfId="0" applyNumberFormat="1" applyFont="1" applyBorder="1" applyAlignment="1">
      <alignment horizontal="center" vertical="center" shrinkToFit="1"/>
    </xf>
    <xf numFmtId="49" fontId="7" fillId="0" borderId="125" xfId="0" applyNumberFormat="1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49" fontId="7" fillId="0" borderId="124" xfId="0" applyNumberFormat="1" applyFont="1" applyBorder="1" applyAlignment="1">
      <alignment horizontal="center" vertical="center"/>
    </xf>
    <xf numFmtId="0" fontId="7" fillId="0" borderId="143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 shrinkToFit="1"/>
    </xf>
    <xf numFmtId="0" fontId="7" fillId="0" borderId="104" xfId="0" applyFont="1" applyBorder="1" applyAlignment="1">
      <alignment horizontal="center" vertical="center" shrinkToFit="1"/>
    </xf>
    <xf numFmtId="0" fontId="7" fillId="0" borderId="104" xfId="0" applyFont="1" applyBorder="1" applyAlignment="1">
      <alignment horizontal="center" vertical="center"/>
    </xf>
    <xf numFmtId="49" fontId="7" fillId="0" borderId="104" xfId="0" applyNumberFormat="1" applyFont="1" applyBorder="1" applyAlignment="1">
      <alignment horizontal="center" vertical="center" shrinkToFit="1"/>
    </xf>
    <xf numFmtId="49" fontId="7" fillId="0" borderId="104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49" fontId="16" fillId="2" borderId="145" xfId="0" applyNumberFormat="1" applyFont="1" applyFill="1" applyBorder="1" applyAlignment="1">
      <alignment horizontal="center" vertical="center" wrapText="1"/>
    </xf>
    <xf numFmtId="49" fontId="16" fillId="2" borderId="125" xfId="0" applyNumberFormat="1" applyFont="1" applyFill="1" applyBorder="1" applyAlignment="1">
      <alignment horizontal="center" vertical="center" wrapText="1"/>
    </xf>
    <xf numFmtId="49" fontId="16" fillId="0" borderId="125" xfId="0" applyNumberFormat="1" applyFont="1" applyBorder="1" applyAlignment="1">
      <alignment horizontal="center" vertical="center" wrapText="1"/>
    </xf>
    <xf numFmtId="49" fontId="16" fillId="2" borderId="146" xfId="0" applyNumberFormat="1" applyFont="1" applyFill="1" applyBorder="1" applyAlignment="1">
      <alignment horizontal="center" vertical="center" wrapText="1"/>
    </xf>
    <xf numFmtId="49" fontId="16" fillId="2" borderId="14" xfId="0" applyNumberFormat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/>
    </xf>
    <xf numFmtId="49" fontId="16" fillId="2" borderId="147" xfId="0" applyNumberFormat="1" applyFont="1" applyFill="1" applyBorder="1" applyAlignment="1">
      <alignment horizontal="center" vertical="center" wrapText="1"/>
    </xf>
    <xf numFmtId="49" fontId="16" fillId="2" borderId="104" xfId="0" applyNumberFormat="1" applyFont="1" applyFill="1" applyBorder="1" applyAlignment="1">
      <alignment horizontal="center" vertical="center" wrapText="1"/>
    </xf>
    <xf numFmtId="49" fontId="16" fillId="0" borderId="104" xfId="0" applyNumberFormat="1" applyFont="1" applyBorder="1" applyAlignment="1">
      <alignment horizontal="center" vertical="center" wrapText="1"/>
    </xf>
    <xf numFmtId="49" fontId="16" fillId="2" borderId="144" xfId="0" applyNumberFormat="1" applyFont="1" applyFill="1" applyBorder="1" applyAlignment="1">
      <alignment horizontal="center" vertical="center" wrapText="1"/>
    </xf>
    <xf numFmtId="49" fontId="16" fillId="2" borderId="124" xfId="0" applyNumberFormat="1" applyFont="1" applyFill="1" applyBorder="1" applyAlignment="1">
      <alignment horizontal="center" vertical="center" wrapText="1"/>
    </xf>
    <xf numFmtId="49" fontId="16" fillId="0" borderId="124" xfId="0" applyNumberFormat="1" applyFont="1" applyBorder="1" applyAlignment="1">
      <alignment horizontal="center" vertical="center" wrapText="1"/>
    </xf>
    <xf numFmtId="0" fontId="7" fillId="0" borderId="145" xfId="0" applyFont="1" applyBorder="1" applyAlignment="1">
      <alignment horizontal="center" vertical="center"/>
    </xf>
    <xf numFmtId="0" fontId="7" fillId="0" borderId="144" xfId="0" applyFont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17" xfId="0" applyFont="1" applyBorder="1" applyAlignment="1">
      <alignment horizontal="center" vertical="center"/>
    </xf>
    <xf numFmtId="0" fontId="6" fillId="0" borderId="124" xfId="0" applyFont="1" applyBorder="1" applyAlignment="1">
      <alignment horizontal="center" vertical="center" shrinkToFit="1"/>
    </xf>
    <xf numFmtId="0" fontId="6" fillId="0" borderId="58" xfId="0" applyFont="1" applyBorder="1" applyAlignment="1">
      <alignment horizontal="center" vertical="center" shrinkToFit="1"/>
    </xf>
    <xf numFmtId="0" fontId="6" fillId="0" borderId="125" xfId="0" applyFont="1" applyBorder="1" applyAlignment="1">
      <alignment horizontal="center" vertical="center" shrinkToFit="1"/>
    </xf>
    <xf numFmtId="49" fontId="6" fillId="0" borderId="125" xfId="0" applyNumberFormat="1" applyFont="1" applyBorder="1" applyAlignment="1">
      <alignment horizontal="center" vertical="center" shrinkToFit="1"/>
    </xf>
    <xf numFmtId="0" fontId="6" fillId="0" borderId="62" xfId="0" applyFont="1" applyBorder="1" applyAlignment="1">
      <alignment horizontal="center" vertical="center" shrinkToFit="1"/>
    </xf>
    <xf numFmtId="0" fontId="6" fillId="0" borderId="104" xfId="0" applyFont="1" applyBorder="1" applyAlignment="1">
      <alignment horizontal="center" vertical="center" shrinkToFit="1"/>
    </xf>
    <xf numFmtId="0" fontId="18" fillId="0" borderId="144" xfId="0" applyFont="1" applyBorder="1" applyAlignment="1">
      <alignment horizontal="center" vertical="center" wrapText="1"/>
    </xf>
    <xf numFmtId="49" fontId="6" fillId="0" borderId="124" xfId="0" applyNumberFormat="1" applyFont="1" applyBorder="1" applyAlignment="1">
      <alignment horizontal="center" vertical="center"/>
    </xf>
    <xf numFmtId="49" fontId="18" fillId="2" borderId="145" xfId="0" applyNumberFormat="1" applyFont="1" applyFill="1" applyBorder="1" applyAlignment="1">
      <alignment horizontal="center" vertical="center" wrapText="1"/>
    </xf>
    <xf numFmtId="49" fontId="18" fillId="2" borderId="125" xfId="0" applyNumberFormat="1" applyFont="1" applyFill="1" applyBorder="1" applyAlignment="1">
      <alignment horizontal="center" vertical="center" wrapText="1"/>
    </xf>
    <xf numFmtId="0" fontId="18" fillId="0" borderId="125" xfId="0" applyFont="1" applyBorder="1" applyAlignment="1">
      <alignment horizontal="center" vertical="center" wrapText="1"/>
    </xf>
    <xf numFmtId="49" fontId="18" fillId="2" borderId="146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49" fontId="18" fillId="2" borderId="147" xfId="0" applyNumberFormat="1" applyFont="1" applyFill="1" applyBorder="1" applyAlignment="1">
      <alignment horizontal="center" vertical="center" wrapText="1"/>
    </xf>
    <xf numFmtId="49" fontId="18" fillId="2" borderId="104" xfId="0" applyNumberFormat="1" applyFont="1" applyFill="1" applyBorder="1" applyAlignment="1">
      <alignment horizontal="center" vertical="center" wrapText="1"/>
    </xf>
    <xf numFmtId="0" fontId="18" fillId="0" borderId="104" xfId="0" applyFont="1" applyBorder="1" applyAlignment="1">
      <alignment horizontal="center" vertical="center" wrapText="1"/>
    </xf>
    <xf numFmtId="49" fontId="18" fillId="2" borderId="144" xfId="0" applyNumberFormat="1" applyFont="1" applyFill="1" applyBorder="1" applyAlignment="1">
      <alignment horizontal="center" vertical="center" wrapText="1"/>
    </xf>
    <xf numFmtId="49" fontId="18" fillId="2" borderId="124" xfId="0" applyNumberFormat="1" applyFont="1" applyFill="1" applyBorder="1" applyAlignment="1">
      <alignment horizontal="center" vertical="center" wrapText="1"/>
    </xf>
    <xf numFmtId="0" fontId="18" fillId="0" borderId="124" xfId="0" applyFont="1" applyBorder="1" applyAlignment="1">
      <alignment horizontal="center" vertical="center" wrapText="1"/>
    </xf>
    <xf numFmtId="0" fontId="6" fillId="0" borderId="145" xfId="0" applyFont="1" applyBorder="1" applyAlignment="1">
      <alignment horizontal="center" vertical="center"/>
    </xf>
    <xf numFmtId="0" fontId="6" fillId="0" borderId="144" xfId="0" applyFont="1" applyBorder="1" applyAlignment="1">
      <alignment horizontal="center" vertical="center"/>
    </xf>
    <xf numFmtId="0" fontId="6" fillId="0" borderId="147" xfId="0" applyFont="1" applyBorder="1" applyAlignment="1">
      <alignment horizontal="center" vertical="center"/>
    </xf>
    <xf numFmtId="49" fontId="6" fillId="0" borderId="104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" fillId="0" borderId="133" xfId="0" applyNumberFormat="1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7" fillId="0" borderId="130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49" fontId="20" fillId="0" borderId="124" xfId="0" applyNumberFormat="1" applyFont="1" applyBorder="1" applyAlignment="1">
      <alignment horizontal="center" vertical="center"/>
    </xf>
    <xf numFmtId="166" fontId="7" fillId="0" borderId="124" xfId="0" applyNumberFormat="1" applyFont="1" applyBorder="1" applyAlignment="1">
      <alignment horizontal="center" vertical="center" shrinkToFit="1"/>
    </xf>
    <xf numFmtId="20" fontId="7" fillId="0" borderId="124" xfId="0" applyNumberFormat="1" applyFont="1" applyBorder="1" applyAlignment="1">
      <alignment horizontal="center" vertical="center"/>
    </xf>
    <xf numFmtId="49" fontId="20" fillId="0" borderId="125" xfId="0" applyNumberFormat="1" applyFont="1" applyBorder="1" applyAlignment="1">
      <alignment horizontal="center" vertical="center"/>
    </xf>
    <xf numFmtId="166" fontId="7" fillId="0" borderId="125" xfId="0" applyNumberFormat="1" applyFont="1" applyBorder="1" applyAlignment="1">
      <alignment horizontal="center" vertical="center" shrinkToFit="1"/>
    </xf>
    <xf numFmtId="20" fontId="7" fillId="0" borderId="125" xfId="0" applyNumberFormat="1" applyFont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166" fontId="7" fillId="0" borderId="104" xfId="0" applyNumberFormat="1" applyFont="1" applyBorder="1" applyAlignment="1">
      <alignment horizontal="center" vertical="center" shrinkToFit="1"/>
    </xf>
    <xf numFmtId="20" fontId="7" fillId="0" borderId="104" xfId="0" applyNumberFormat="1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49" fontId="7" fillId="3" borderId="125" xfId="0" applyNumberFormat="1" applyFont="1" applyFill="1" applyBorder="1" applyAlignment="1">
      <alignment horizontal="center" vertical="center"/>
    </xf>
    <xf numFmtId="166" fontId="7" fillId="0" borderId="134" xfId="0" applyNumberFormat="1" applyFont="1" applyBorder="1" applyAlignment="1">
      <alignment horizontal="center" vertical="center" shrinkToFit="1"/>
    </xf>
    <xf numFmtId="20" fontId="7" fillId="0" borderId="134" xfId="0" applyNumberFormat="1" applyFont="1" applyBorder="1" applyAlignment="1">
      <alignment horizontal="center" vertical="center"/>
    </xf>
    <xf numFmtId="0" fontId="7" fillId="0" borderId="134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 wrapText="1"/>
    </xf>
    <xf numFmtId="49" fontId="7" fillId="3" borderId="104" xfId="0" applyNumberFormat="1" applyFont="1" applyFill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 wrapText="1"/>
    </xf>
    <xf numFmtId="49" fontId="7" fillId="3" borderId="124" xfId="0" applyNumberFormat="1" applyFont="1" applyFill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/>
    </xf>
    <xf numFmtId="20" fontId="8" fillId="0" borderId="125" xfId="0" applyNumberFormat="1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0" fontId="7" fillId="0" borderId="14" xfId="0" applyNumberFormat="1" applyFont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124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6" fillId="0" borderId="10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9" xfId="0" applyFont="1" applyBorder="1" applyAlignment="1">
      <alignment horizontal="right" vertical="center"/>
    </xf>
    <xf numFmtId="0" fontId="7" fillId="0" borderId="100" xfId="0" applyFont="1" applyBorder="1" applyAlignment="1">
      <alignment horizontal="center" vertical="center"/>
    </xf>
    <xf numFmtId="0" fontId="7" fillId="0" borderId="14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49" xfId="0" applyFont="1" applyBorder="1" applyAlignment="1">
      <alignment horizontal="left" vertical="center"/>
    </xf>
    <xf numFmtId="0" fontId="7" fillId="0" borderId="133" xfId="0" applyFont="1" applyBorder="1" applyAlignment="1">
      <alignment horizontal="left" vertical="center"/>
    </xf>
    <xf numFmtId="0" fontId="7" fillId="0" borderId="150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7" fillId="0" borderId="151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52" xfId="0" applyFont="1" applyBorder="1" applyAlignment="1">
      <alignment horizontal="center" vertical="center" wrapText="1"/>
    </xf>
    <xf numFmtId="0" fontId="7" fillId="0" borderId="153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0" fontId="7" fillId="0" borderId="154" xfId="0" applyFont="1" applyBorder="1" applyAlignment="1">
      <alignment horizontal="center" vertical="center"/>
    </xf>
    <xf numFmtId="167" fontId="8" fillId="0" borderId="57" xfId="0" applyNumberFormat="1" applyFont="1" applyBorder="1" applyAlignment="1">
      <alignment horizontal="center" vertical="center"/>
    </xf>
    <xf numFmtId="167" fontId="8" fillId="0" borderId="122" xfId="0" applyNumberFormat="1" applyFont="1" applyBorder="1" applyAlignment="1">
      <alignment horizontal="center" vertical="center"/>
    </xf>
    <xf numFmtId="167" fontId="8" fillId="0" borderId="134" xfId="0" applyNumberFormat="1" applyFont="1" applyBorder="1" applyAlignment="1">
      <alignment horizontal="center" vertical="center"/>
    </xf>
    <xf numFmtId="167" fontId="8" fillId="0" borderId="123" xfId="0" applyNumberFormat="1" applyFont="1" applyBorder="1" applyAlignment="1">
      <alignment horizontal="center" vertical="center"/>
    </xf>
    <xf numFmtId="167" fontId="8" fillId="0" borderId="124" xfId="0" applyNumberFormat="1" applyFont="1" applyBorder="1" applyAlignment="1">
      <alignment horizontal="center" vertical="center"/>
    </xf>
    <xf numFmtId="167" fontId="8" fillId="0" borderId="155" xfId="0" applyNumberFormat="1" applyFont="1" applyBorder="1" applyAlignment="1">
      <alignment horizontal="center" vertical="center"/>
    </xf>
    <xf numFmtId="167" fontId="8" fillId="0" borderId="141" xfId="0" applyNumberFormat="1" applyFont="1" applyBorder="1" applyAlignment="1">
      <alignment horizontal="center" vertical="center"/>
    </xf>
    <xf numFmtId="168" fontId="8" fillId="0" borderId="58" xfId="0" applyNumberFormat="1" applyFont="1" applyBorder="1" applyAlignment="1">
      <alignment horizontal="left" vertical="center"/>
    </xf>
    <xf numFmtId="168" fontId="8" fillId="0" borderId="125" xfId="0" applyNumberFormat="1" applyFont="1" applyBorder="1" applyAlignment="1">
      <alignment horizontal="left" vertical="center"/>
    </xf>
    <xf numFmtId="168" fontId="8" fillId="0" borderId="143" xfId="0" applyNumberFormat="1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56" xfId="0" applyFont="1" applyBorder="1" applyAlignment="1">
      <alignment horizontal="center" vertical="center"/>
    </xf>
    <xf numFmtId="167" fontId="8" fillId="0" borderId="125" xfId="0" applyNumberFormat="1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167" fontId="8" fillId="0" borderId="143" xfId="0" applyNumberFormat="1" applyFont="1" applyBorder="1" applyAlignment="1">
      <alignment horizontal="center" vertical="center"/>
    </xf>
    <xf numFmtId="0" fontId="8" fillId="0" borderId="123" xfId="0" applyFont="1" applyBorder="1" applyAlignment="1">
      <alignment horizontal="left" vertical="center"/>
    </xf>
    <xf numFmtId="0" fontId="8" fillId="0" borderId="124" xfId="0" applyFont="1" applyBorder="1" applyAlignment="1">
      <alignment horizontal="left" vertical="center"/>
    </xf>
    <xf numFmtId="0" fontId="8" fillId="0" borderId="142" xfId="0" applyFont="1" applyBorder="1" applyAlignment="1">
      <alignment horizontal="left" vertical="center"/>
    </xf>
    <xf numFmtId="167" fontId="8" fillId="0" borderId="142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7" fontId="8" fillId="0" borderId="156" xfId="0" applyNumberFormat="1" applyFont="1" applyBorder="1" applyAlignment="1">
      <alignment horizontal="center" vertical="center"/>
    </xf>
    <xf numFmtId="167" fontId="8" fillId="0" borderId="15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67" fontId="8" fillId="0" borderId="127" xfId="0" applyNumberFormat="1" applyFont="1" applyBorder="1" applyAlignment="1">
      <alignment horizontal="center" vertical="center"/>
    </xf>
    <xf numFmtId="167" fontId="8" fillId="0" borderId="115" xfId="0" applyNumberFormat="1" applyFont="1" applyBorder="1" applyAlignment="1">
      <alignment horizontal="center" vertical="center"/>
    </xf>
    <xf numFmtId="167" fontId="8" fillId="0" borderId="151" xfId="0" applyNumberFormat="1" applyFont="1" applyBorder="1" applyAlignment="1">
      <alignment horizontal="center" vertical="center"/>
    </xf>
    <xf numFmtId="0" fontId="8" fillId="0" borderId="115" xfId="0" applyFont="1" applyBorder="1" applyAlignment="1">
      <alignment horizontal="left" vertical="center"/>
    </xf>
    <xf numFmtId="0" fontId="8" fillId="0" borderId="127" xfId="0" applyFont="1" applyBorder="1" applyAlignment="1">
      <alignment horizontal="left" vertical="center"/>
    </xf>
    <xf numFmtId="0" fontId="8" fillId="0" borderId="151" xfId="0" applyFont="1" applyBorder="1" applyAlignment="1">
      <alignment horizontal="left" vertical="center"/>
    </xf>
    <xf numFmtId="0" fontId="7" fillId="0" borderId="89" xfId="0" applyFont="1" applyBorder="1" applyAlignment="1">
      <alignment horizontal="center" vertical="center" wrapText="1"/>
    </xf>
    <xf numFmtId="0" fontId="7" fillId="0" borderId="102" xfId="0" applyFont="1" applyBorder="1" applyAlignment="1">
      <alignment horizontal="center" vertical="center" wrapText="1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167" fontId="8" fillId="0" borderId="51" xfId="0" applyNumberFormat="1" applyFont="1" applyBorder="1" applyAlignment="1">
      <alignment horizontal="center" vertical="center" shrinkToFit="1"/>
    </xf>
    <xf numFmtId="167" fontId="8" fillId="0" borderId="92" xfId="0" applyNumberFormat="1" applyFont="1" applyBorder="1" applyAlignment="1">
      <alignment horizontal="center" vertical="center" shrinkToFit="1"/>
    </xf>
    <xf numFmtId="167" fontId="8" fillId="0" borderId="91" xfId="0" applyNumberFormat="1" applyFont="1" applyBorder="1" applyAlignment="1">
      <alignment horizontal="center" vertical="center" shrinkToFit="1"/>
    </xf>
    <xf numFmtId="167" fontId="8" fillId="0" borderId="90" xfId="0" applyNumberFormat="1" applyFont="1" applyBorder="1" applyAlignment="1">
      <alignment horizontal="center" vertical="center" shrinkToFit="1"/>
    </xf>
    <xf numFmtId="0" fontId="8" fillId="0" borderId="159" xfId="0" applyFont="1" applyBorder="1" applyAlignment="1">
      <alignment horizontal="left" vertical="center"/>
    </xf>
    <xf numFmtId="0" fontId="8" fillId="0" borderId="157" xfId="0" applyFont="1" applyBorder="1" applyAlignment="1">
      <alignment horizontal="left" vertical="center"/>
    </xf>
    <xf numFmtId="0" fontId="8" fillId="0" borderId="158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9" xfId="0" applyFont="1" applyBorder="1" applyAlignment="1">
      <alignment horizontal="center" vertical="center" wrapText="1"/>
    </xf>
    <xf numFmtId="0" fontId="7" fillId="0" borderId="160" xfId="0" applyFont="1" applyBorder="1" applyAlignment="1">
      <alignment horizontal="center" vertical="center" wrapText="1"/>
    </xf>
    <xf numFmtId="0" fontId="7" fillId="0" borderId="112" xfId="0" applyFont="1" applyBorder="1" applyAlignment="1">
      <alignment horizontal="center" vertical="center"/>
    </xf>
    <xf numFmtId="0" fontId="7" fillId="0" borderId="161" xfId="0" applyFont="1" applyBorder="1" applyAlignment="1">
      <alignment horizontal="center" vertical="center"/>
    </xf>
    <xf numFmtId="167" fontId="8" fillId="0" borderId="100" xfId="0" applyNumberFormat="1" applyFont="1" applyBorder="1" applyAlignment="1">
      <alignment horizontal="center" vertical="center"/>
    </xf>
    <xf numFmtId="167" fontId="8" fillId="0" borderId="101" xfId="0" applyNumberFormat="1" applyFont="1" applyBorder="1" applyAlignment="1">
      <alignment horizontal="center" vertical="center"/>
    </xf>
    <xf numFmtId="167" fontId="8" fillId="0" borderId="148" xfId="0" applyNumberFormat="1" applyFont="1" applyBorder="1" applyAlignment="1">
      <alignment horizontal="center" vertical="center"/>
    </xf>
    <xf numFmtId="0" fontId="7" fillId="0" borderId="72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left" vertical="center"/>
    </xf>
    <xf numFmtId="0" fontId="8" fillId="0" borderId="125" xfId="0" applyFont="1" applyBorder="1" applyAlignment="1">
      <alignment horizontal="left" vertical="center"/>
    </xf>
    <xf numFmtId="0" fontId="8" fillId="0" borderId="143" xfId="0" applyFont="1" applyBorder="1" applyAlignment="1">
      <alignment horizontal="left" vertical="center"/>
    </xf>
    <xf numFmtId="0" fontId="8" fillId="0" borderId="129" xfId="0" applyFont="1" applyBorder="1" applyAlignment="1">
      <alignment horizontal="left" vertical="center"/>
    </xf>
    <xf numFmtId="0" fontId="8" fillId="0" borderId="130" xfId="0" applyFont="1" applyBorder="1" applyAlignment="1">
      <alignment horizontal="left" vertical="center"/>
    </xf>
    <xf numFmtId="0" fontId="8" fillId="0" borderId="140" xfId="0" applyFont="1" applyBorder="1" applyAlignment="1">
      <alignment horizontal="left" vertical="center"/>
    </xf>
    <xf numFmtId="0" fontId="7" fillId="0" borderId="132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167" fontId="8" fillId="0" borderId="132" xfId="0" applyNumberFormat="1" applyFont="1" applyBorder="1" applyAlignment="1">
      <alignment horizontal="center" vertical="center" shrinkToFit="1"/>
    </xf>
    <xf numFmtId="0" fontId="8" fillId="0" borderId="132" xfId="0" applyFont="1" applyBorder="1" applyAlignment="1">
      <alignment horizontal="left" vertical="center"/>
    </xf>
    <xf numFmtId="0" fontId="8" fillId="0" borderId="92" xfId="0" applyFont="1" applyBorder="1" applyAlignment="1">
      <alignment horizontal="left" vertical="center"/>
    </xf>
    <xf numFmtId="0" fontId="8" fillId="0" borderId="91" xfId="0" applyFont="1" applyBorder="1" applyAlignment="1">
      <alignment horizontal="left" vertical="center"/>
    </xf>
    <xf numFmtId="0" fontId="7" fillId="0" borderId="5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8" fillId="0" borderId="107" xfId="0" applyFont="1" applyBorder="1" applyAlignment="1">
      <alignment horizontal="center" vertical="center"/>
    </xf>
    <xf numFmtId="0" fontId="8" fillId="0" borderId="108" xfId="0" applyFont="1" applyBorder="1" applyAlignment="1">
      <alignment horizontal="center" vertical="center"/>
    </xf>
    <xf numFmtId="0" fontId="8" fillId="0" borderId="109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 vertical="center"/>
    </xf>
    <xf numFmtId="0" fontId="7" fillId="0" borderId="163" xfId="0" applyFont="1" applyBorder="1" applyAlignment="1">
      <alignment horizontal="center" vertical="center"/>
    </xf>
    <xf numFmtId="0" fontId="7" fillId="0" borderId="16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4" fillId="0" borderId="100" xfId="0" applyFont="1" applyBorder="1" applyAlignment="1">
      <alignment horizontal="center" vertical="center"/>
    </xf>
    <xf numFmtId="0" fontId="24" fillId="0" borderId="10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69" fontId="8" fillId="0" borderId="145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169" fontId="8" fillId="0" borderId="3" xfId="0" applyNumberFormat="1" applyFont="1" applyBorder="1" applyAlignment="1">
      <alignment horizontal="center" vertical="center"/>
    </xf>
    <xf numFmtId="169" fontId="8" fillId="0" borderId="6" xfId="0" applyNumberFormat="1" applyFont="1" applyBorder="1" applyAlignment="1">
      <alignment horizontal="center" vertical="center"/>
    </xf>
    <xf numFmtId="169" fontId="8" fillId="0" borderId="8" xfId="0" applyNumberFormat="1" applyFont="1" applyBorder="1" applyAlignment="1">
      <alignment horizontal="center" vertical="center"/>
    </xf>
    <xf numFmtId="169" fontId="8" fillId="0" borderId="9" xfId="0" applyNumberFormat="1" applyFont="1" applyBorder="1" applyAlignment="1">
      <alignment horizontal="center" vertical="center"/>
    </xf>
    <xf numFmtId="169" fontId="8" fillId="0" borderId="156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4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56" xfId="0" applyFont="1" applyBorder="1" applyAlignment="1">
      <alignment horizontal="center" vertical="center"/>
    </xf>
    <xf numFmtId="169" fontId="8" fillId="0" borderId="146" xfId="0" applyNumberFormat="1" applyFont="1" applyBorder="1" applyAlignment="1">
      <alignment horizontal="center" vertical="center"/>
    </xf>
    <xf numFmtId="169" fontId="8" fillId="0" borderId="113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0" fontId="8" fillId="0" borderId="146" xfId="0" applyFont="1" applyBorder="1" applyAlignment="1">
      <alignment horizontal="left" vertical="center"/>
    </xf>
    <xf numFmtId="0" fontId="8" fillId="0" borderId="113" xfId="0" applyFont="1" applyBorder="1" applyAlignment="1">
      <alignment horizontal="left" vertical="center"/>
    </xf>
    <xf numFmtId="0" fontId="8" fillId="0" borderId="165" xfId="0" applyFont="1" applyBorder="1" applyAlignment="1">
      <alignment horizontal="left" vertical="center"/>
    </xf>
    <xf numFmtId="0" fontId="8" fillId="0" borderId="14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56" xfId="0" applyFont="1" applyBorder="1" applyAlignment="1">
      <alignment horizontal="left" vertical="center"/>
    </xf>
    <xf numFmtId="169" fontId="8" fillId="0" borderId="12" xfId="0" applyNumberFormat="1" applyFont="1" applyBorder="1" applyAlignment="1">
      <alignment horizontal="center" vertical="center"/>
    </xf>
    <xf numFmtId="169" fontId="8" fillId="0" borderId="165" xfId="0" applyNumberFormat="1" applyFont="1" applyBorder="1" applyAlignment="1">
      <alignment horizontal="center" vertical="center"/>
    </xf>
    <xf numFmtId="0" fontId="8" fillId="0" borderId="147" xfId="0" applyFont="1" applyBorder="1" applyAlignment="1">
      <alignment horizontal="center" vertical="center"/>
    </xf>
    <xf numFmtId="169" fontId="8" fillId="0" borderId="147" xfId="0" applyNumberFormat="1" applyFont="1" applyBorder="1" applyAlignment="1">
      <alignment horizontal="center" vertical="center"/>
    </xf>
    <xf numFmtId="169" fontId="8" fillId="0" borderId="105" xfId="0" applyNumberFormat="1" applyFont="1" applyBorder="1" applyAlignment="1">
      <alignment horizontal="center" vertical="center"/>
    </xf>
    <xf numFmtId="169" fontId="8" fillId="0" borderId="121" xfId="0" applyNumberFormat="1" applyFont="1" applyBorder="1" applyAlignment="1">
      <alignment horizontal="center" vertical="center"/>
    </xf>
    <xf numFmtId="169" fontId="8" fillId="0" borderId="120" xfId="0" applyNumberFormat="1" applyFont="1" applyBorder="1" applyAlignment="1">
      <alignment horizontal="center" vertical="center"/>
    </xf>
    <xf numFmtId="169" fontId="8" fillId="0" borderId="106" xfId="0" applyNumberFormat="1" applyFont="1" applyBorder="1" applyAlignment="1">
      <alignment horizontal="center" vertical="center"/>
    </xf>
    <xf numFmtId="0" fontId="8" fillId="0" borderId="147" xfId="0" applyFont="1" applyBorder="1" applyAlignment="1">
      <alignment horizontal="left" vertical="center"/>
    </xf>
    <xf numFmtId="0" fontId="8" fillId="0" borderId="105" xfId="0" applyFont="1" applyBorder="1" applyAlignment="1">
      <alignment horizontal="left" vertical="center"/>
    </xf>
    <xf numFmtId="0" fontId="8" fillId="0" borderId="106" xfId="0" applyFont="1" applyBorder="1" applyAlignment="1">
      <alignment horizontal="left" vertical="center"/>
    </xf>
    <xf numFmtId="169" fontId="24" fillId="0" borderId="166" xfId="0" applyNumberFormat="1" applyFont="1" applyBorder="1" applyAlignment="1">
      <alignment horizontal="center" vertical="center"/>
    </xf>
    <xf numFmtId="0" fontId="8" fillId="0" borderId="107" xfId="0" applyFont="1" applyBorder="1" applyAlignment="1">
      <alignment horizontal="left" vertical="center"/>
    </xf>
    <xf numFmtId="0" fontId="8" fillId="0" borderId="108" xfId="0" applyFont="1" applyBorder="1" applyAlignment="1">
      <alignment horizontal="left" vertical="center"/>
    </xf>
    <xf numFmtId="0" fontId="8" fillId="0" borderId="10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27.xml"/><Relationship Id="rId7" Type="http://schemas.openxmlformats.org/officeDocument/2006/relationships/worksheet" Target="worksheets/sheet19.xml"/><Relationship Id="rId8" Type="http://schemas.openxmlformats.org/officeDocument/2006/relationships/worksheet" Target="worksheets/sheet28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29.xml"/><Relationship Id="rId11" Type="http://schemas.openxmlformats.org/officeDocument/2006/relationships/worksheet" Target="worksheets/sheet21.xml"/><Relationship Id="rId12" Type="http://schemas.openxmlformats.org/officeDocument/2006/relationships/worksheet" Target="worksheets/sheet15.xml"/><Relationship Id="rId13" Type="http://schemas.openxmlformats.org/officeDocument/2006/relationships/worksheet" Target="worksheets/sheet3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60960</xdr:rowOff>
    </xdr:from>
    <xdr:to>
      <xdr:col>12</xdr:col>
      <xdr:colOff>441960</xdr:colOff>
      <xdr:row>24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76200</xdr:colOff>
      <xdr:row>54</xdr:row>
      <xdr:rowOff>60960</xdr:rowOff>
    </xdr:from>
    <xdr:ext cx="6854666" cy="306133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1"/>
  <sheetViews>
    <sheetView workbookViewId="0" zoomScale="80" zoomScaleNormal="80">
      <selection activeCell="A4" sqref="A4"/>
    </sheetView>
  </sheetViews>
  <sheetFormatPr defaultRowHeight="17.25" outlineLevelRow="0" outlineLevelCol="0" x14ac:dyDescent="0" defaultColWidth="9" customHeight="1"/>
  <cols>
    <col min="1" max="1" width="10.7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1" width="7.625" style="3" customWidth="1"/>
    <col min="12" max="18" width="8" style="3" customWidth="1"/>
    <col min="19" max="16384" width="9" style="3" customWidth="1"/>
  </cols>
  <sheetData>
    <row r="1" ht="27" customHeight="1" spans="1:18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ht="12" customHeight="1" spans="1:18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</row>
    <row r="3" ht="5.25" customHeight="1" x14ac:dyDescent="0.25"/>
    <row r="4" ht="26.25" customHeight="1" spans="1:18" x14ac:dyDescent="0.25">
      <c r="A4" s="239" t="s">
        <v>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</row>
    <row r="5" ht="4.5" customHeight="1" x14ac:dyDescent="0.25"/>
    <row r="6" spans="1:18" x14ac:dyDescent="0.25">
      <c r="A6" s="3" t="s">
        <v>75</v>
      </c>
      <c r="B6" s="8" t="str">
        <f>'Final Work'!B4</f>
        <v>TIAN HAI PING ZE</v>
      </c>
      <c r="I6" s="8" t="s">
        <v>76</v>
      </c>
      <c r="J6" s="8"/>
      <c r="K6" s="8" t="str">
        <f>'OS-OUT'!H6</f>
        <v>2022W</v>
      </c>
      <c r="L6" s="8"/>
      <c r="O6" s="8" t="s">
        <v>77</v>
      </c>
      <c r="P6" s="240">
        <f>'Final Work'!L4</f>
        <v>46228</v>
      </c>
      <c r="Q6" s="238"/>
      <c r="R6" s="238"/>
    </row>
    <row r="7" ht="11.25" customHeight="1" x14ac:dyDescent="0.25"/>
    <row r="8" spans="1:18" x14ac:dyDescent="0.25">
      <c r="A8" s="8" t="s">
        <v>78</v>
      </c>
      <c r="B8" s="8" t="s">
        <v>37</v>
      </c>
      <c r="C8" s="8"/>
      <c r="D8" s="8"/>
      <c r="E8" s="8"/>
      <c r="I8" s="3" t="s">
        <v>79</v>
      </c>
      <c r="J8" s="238"/>
      <c r="K8" s="8" t="s">
        <v>42</v>
      </c>
      <c r="L8" s="8"/>
      <c r="O8" s="8" t="s">
        <v>80</v>
      </c>
      <c r="P8" s="238">
        <f>+'Final Work'!G6</f>
        <v>15</v>
      </c>
      <c r="Q8" s="238"/>
      <c r="R8" s="238"/>
    </row>
    <row r="9" ht="6.75" customHeight="1" x14ac:dyDescent="0.25"/>
    <row r="10" ht="12" customHeight="1" spans="1:18" x14ac:dyDescent="0.25">
      <c r="A10" s="246" t="s">
        <v>12</v>
      </c>
      <c r="B10" s="246" t="s">
        <v>60</v>
      </c>
      <c r="C10" s="297" t="s">
        <v>81</v>
      </c>
      <c r="D10" s="235"/>
      <c r="E10" s="298"/>
      <c r="F10" s="297" t="s">
        <v>82</v>
      </c>
      <c r="G10" s="235"/>
      <c r="H10" s="235"/>
      <c r="I10" s="298"/>
      <c r="J10" s="246" t="s">
        <v>83</v>
      </c>
      <c r="K10" s="246" t="s">
        <v>84</v>
      </c>
      <c r="L10" s="297" t="s">
        <v>95</v>
      </c>
      <c r="M10" s="235"/>
      <c r="N10" s="235"/>
      <c r="O10" s="235"/>
      <c r="P10" s="235"/>
      <c r="Q10" s="235"/>
      <c r="R10" s="298"/>
    </row>
    <row r="11" ht="12" customHeight="1" spans="1:18" x14ac:dyDescent="0.25">
      <c r="A11" s="251"/>
      <c r="B11" s="251"/>
      <c r="C11" s="299"/>
      <c r="D11" s="300"/>
      <c r="E11" s="301"/>
      <c r="F11" s="299"/>
      <c r="G11" s="300"/>
      <c r="H11" s="300"/>
      <c r="I11" s="301"/>
      <c r="J11" s="251" t="s">
        <v>69</v>
      </c>
      <c r="K11" s="251"/>
      <c r="L11" s="299"/>
      <c r="M11" s="300"/>
      <c r="N11" s="300"/>
      <c r="O11" s="300"/>
      <c r="P11" s="300"/>
      <c r="Q11" s="300"/>
      <c r="R11" s="301"/>
    </row>
    <row r="12" ht="21" customHeight="1" spans="1:18" x14ac:dyDescent="0.25">
      <c r="A12" s="309"/>
      <c r="B12" s="309"/>
      <c r="C12" s="303"/>
      <c r="D12" s="304"/>
      <c r="E12" s="305"/>
      <c r="F12" s="303"/>
      <c r="G12" s="304"/>
      <c r="H12" s="304"/>
      <c r="I12" s="305"/>
      <c r="J12" s="302"/>
      <c r="K12" s="302"/>
      <c r="L12" s="306"/>
      <c r="M12" s="307"/>
      <c r="N12" s="307"/>
      <c r="O12" s="307"/>
      <c r="P12" s="307"/>
      <c r="Q12" s="307"/>
      <c r="R12" s="308"/>
    </row>
    <row r="13" ht="21" customHeight="1" spans="1:18" x14ac:dyDescent="0.25">
      <c r="A13" s="309"/>
      <c r="B13" s="309"/>
      <c r="C13" s="310"/>
      <c r="D13" s="311"/>
      <c r="E13" s="312"/>
      <c r="F13" s="284"/>
      <c r="G13" s="313"/>
      <c r="H13" s="313"/>
      <c r="I13" s="285"/>
      <c r="J13" s="309"/>
      <c r="K13" s="309"/>
      <c r="L13" s="314"/>
      <c r="M13" s="315"/>
      <c r="N13" s="315"/>
      <c r="O13" s="315"/>
      <c r="P13" s="315"/>
      <c r="Q13" s="315"/>
      <c r="R13" s="316"/>
    </row>
    <row r="14" ht="21" customHeight="1" spans="1:18" x14ac:dyDescent="0.25">
      <c r="A14" s="309"/>
      <c r="B14" s="309"/>
      <c r="C14" s="310"/>
      <c r="D14" s="311"/>
      <c r="E14" s="312"/>
      <c r="F14" s="284"/>
      <c r="G14" s="313"/>
      <c r="H14" s="313"/>
      <c r="I14" s="285"/>
      <c r="J14" s="309"/>
      <c r="K14" s="309"/>
      <c r="L14" s="314"/>
      <c r="M14" s="315"/>
      <c r="N14" s="315"/>
      <c r="O14" s="315"/>
      <c r="P14" s="315"/>
      <c r="Q14" s="315"/>
      <c r="R14" s="316"/>
    </row>
    <row r="15" ht="21" customHeight="1" spans="1:18" x14ac:dyDescent="0.25">
      <c r="A15" s="309"/>
      <c r="B15" s="309"/>
      <c r="C15" s="310"/>
      <c r="D15" s="311"/>
      <c r="E15" s="312"/>
      <c r="F15" s="284"/>
      <c r="G15" s="313"/>
      <c r="H15" s="313"/>
      <c r="I15" s="285"/>
      <c r="J15" s="309"/>
      <c r="K15" s="309"/>
      <c r="L15" s="314"/>
      <c r="M15" s="315"/>
      <c r="N15" s="315"/>
      <c r="O15" s="315"/>
      <c r="P15" s="315"/>
      <c r="Q15" s="315"/>
      <c r="R15" s="316"/>
    </row>
    <row r="16" ht="21" customHeight="1" spans="1:18" x14ac:dyDescent="0.25">
      <c r="A16" s="309"/>
      <c r="B16" s="309"/>
      <c r="C16" s="310"/>
      <c r="D16" s="311"/>
      <c r="E16" s="312"/>
      <c r="F16" s="284"/>
      <c r="G16" s="313"/>
      <c r="H16" s="313"/>
      <c r="I16" s="285"/>
      <c r="J16" s="309"/>
      <c r="K16" s="309"/>
      <c r="L16" s="314"/>
      <c r="M16" s="315"/>
      <c r="N16" s="315"/>
      <c r="O16" s="315"/>
      <c r="P16" s="315"/>
      <c r="Q16" s="315"/>
      <c r="R16" s="316"/>
    </row>
    <row r="17" ht="21" customHeight="1" spans="1:18" x14ac:dyDescent="0.25">
      <c r="A17" s="309"/>
      <c r="B17" s="309"/>
      <c r="C17" s="310"/>
      <c r="D17" s="311"/>
      <c r="E17" s="312"/>
      <c r="F17" s="284"/>
      <c r="G17" s="313"/>
      <c r="H17" s="313"/>
      <c r="I17" s="285"/>
      <c r="J17" s="309"/>
      <c r="K17" s="309"/>
      <c r="L17" s="314"/>
      <c r="M17" s="315"/>
      <c r="N17" s="315"/>
      <c r="O17" s="315"/>
      <c r="P17" s="315"/>
      <c r="Q17" s="315"/>
      <c r="R17" s="316"/>
    </row>
    <row r="18" ht="21" customHeight="1" spans="1:18" x14ac:dyDescent="0.25">
      <c r="A18" s="309"/>
      <c r="B18" s="309"/>
      <c r="C18" s="310"/>
      <c r="D18" s="311"/>
      <c r="E18" s="312"/>
      <c r="F18" s="284"/>
      <c r="G18" s="313"/>
      <c r="H18" s="313"/>
      <c r="I18" s="285"/>
      <c r="J18" s="309"/>
      <c r="K18" s="309"/>
      <c r="L18" s="255"/>
      <c r="M18" s="256"/>
      <c r="N18" s="256"/>
      <c r="O18" s="256"/>
      <c r="P18" s="256"/>
      <c r="Q18" s="256"/>
      <c r="R18" s="257"/>
    </row>
    <row r="19" ht="21" customHeight="1" spans="1:18" x14ac:dyDescent="0.25">
      <c r="A19" s="254"/>
      <c r="B19" s="254"/>
      <c r="C19" s="310"/>
      <c r="D19" s="311"/>
      <c r="E19" s="312"/>
      <c r="F19" s="284"/>
      <c r="G19" s="313"/>
      <c r="H19" s="313"/>
      <c r="I19" s="285"/>
      <c r="J19" s="309"/>
      <c r="K19" s="309"/>
      <c r="L19" s="314"/>
      <c r="M19" s="315"/>
      <c r="N19" s="315"/>
      <c r="O19" s="315"/>
      <c r="P19" s="315"/>
      <c r="Q19" s="315"/>
      <c r="R19" s="316"/>
    </row>
    <row r="20" ht="21" customHeight="1" spans="1:18" x14ac:dyDescent="0.25">
      <c r="A20" s="254"/>
      <c r="B20" s="254"/>
      <c r="C20" s="310"/>
      <c r="D20" s="311"/>
      <c r="E20" s="312"/>
      <c r="F20" s="310"/>
      <c r="G20" s="311"/>
      <c r="H20" s="311"/>
      <c r="I20" s="312"/>
      <c r="J20" s="254"/>
      <c r="K20" s="254"/>
      <c r="L20" s="323"/>
      <c r="M20" s="323"/>
      <c r="N20" s="323"/>
      <c r="O20" s="323"/>
      <c r="P20" s="323"/>
      <c r="Q20" s="323"/>
      <c r="R20" s="323"/>
    </row>
    <row r="21" ht="21" customHeight="1" spans="1:18" x14ac:dyDescent="0.25">
      <c r="A21" s="254"/>
      <c r="B21" s="254"/>
      <c r="C21" s="310"/>
      <c r="D21" s="311"/>
      <c r="E21" s="312"/>
      <c r="F21" s="310"/>
      <c r="G21" s="311"/>
      <c r="H21" s="311"/>
      <c r="I21" s="312"/>
      <c r="J21" s="254"/>
      <c r="K21" s="254"/>
      <c r="L21" s="323"/>
      <c r="M21" s="323"/>
      <c r="N21" s="323"/>
      <c r="O21" s="323"/>
      <c r="P21" s="323"/>
      <c r="Q21" s="323"/>
      <c r="R21" s="323"/>
    </row>
    <row r="22" ht="21" customHeight="1" spans="1:18" x14ac:dyDescent="0.25">
      <c r="A22" s="254"/>
      <c r="B22" s="254"/>
      <c r="C22" s="310"/>
      <c r="D22" s="311"/>
      <c r="E22" s="312"/>
      <c r="F22" s="310"/>
      <c r="G22" s="311"/>
      <c r="H22" s="311"/>
      <c r="I22" s="312"/>
      <c r="J22" s="254"/>
      <c r="K22" s="254"/>
      <c r="L22" s="323"/>
      <c r="M22" s="323"/>
      <c r="N22" s="323"/>
      <c r="O22" s="323"/>
      <c r="P22" s="323"/>
      <c r="Q22" s="323"/>
      <c r="R22" s="323"/>
    </row>
    <row r="23" ht="21" customHeight="1" spans="1:18" x14ac:dyDescent="0.25">
      <c r="A23" s="254"/>
      <c r="B23" s="254"/>
      <c r="C23" s="310"/>
      <c r="D23" s="311"/>
      <c r="E23" s="312"/>
      <c r="F23" s="310"/>
      <c r="G23" s="311"/>
      <c r="H23" s="311"/>
      <c r="I23" s="312"/>
      <c r="J23" s="254"/>
      <c r="K23" s="254"/>
      <c r="L23" s="323"/>
      <c r="M23" s="323"/>
      <c r="N23" s="323"/>
      <c r="O23" s="323"/>
      <c r="P23" s="323"/>
      <c r="Q23" s="323"/>
      <c r="R23" s="323"/>
    </row>
    <row r="24" ht="21" customHeight="1" spans="1:18" x14ac:dyDescent="0.25">
      <c r="A24" s="254"/>
      <c r="B24" s="254"/>
      <c r="C24" s="310"/>
      <c r="D24" s="311"/>
      <c r="E24" s="312"/>
      <c r="F24" s="310"/>
      <c r="G24" s="311"/>
      <c r="H24" s="311"/>
      <c r="I24" s="312"/>
      <c r="J24" s="254"/>
      <c r="K24" s="254"/>
      <c r="L24" s="323"/>
      <c r="M24" s="323"/>
      <c r="N24" s="323"/>
      <c r="O24" s="323"/>
      <c r="P24" s="323"/>
      <c r="Q24" s="323"/>
      <c r="R24" s="323"/>
    </row>
    <row r="25" ht="21" customHeight="1" spans="1:18" x14ac:dyDescent="0.25">
      <c r="A25" s="254"/>
      <c r="B25" s="254"/>
      <c r="C25" s="310"/>
      <c r="D25" s="311"/>
      <c r="E25" s="312"/>
      <c r="F25" s="310"/>
      <c r="G25" s="311"/>
      <c r="H25" s="311"/>
      <c r="I25" s="312"/>
      <c r="J25" s="254"/>
      <c r="K25" s="254"/>
      <c r="L25" s="323"/>
      <c r="M25" s="323"/>
      <c r="N25" s="323"/>
      <c r="O25" s="323"/>
      <c r="P25" s="323"/>
      <c r="Q25" s="323"/>
      <c r="R25" s="323"/>
    </row>
    <row r="26" ht="21" customHeight="1" spans="1:18" x14ac:dyDescent="0.25">
      <c r="A26" s="254"/>
      <c r="B26" s="254"/>
      <c r="C26" s="310"/>
      <c r="D26" s="311"/>
      <c r="E26" s="312"/>
      <c r="F26" s="310"/>
      <c r="G26" s="311"/>
      <c r="H26" s="311"/>
      <c r="I26" s="312"/>
      <c r="J26" s="254"/>
      <c r="K26" s="254"/>
      <c r="L26" s="323"/>
      <c r="M26" s="323"/>
      <c r="N26" s="323"/>
      <c r="O26" s="323"/>
      <c r="P26" s="323"/>
      <c r="Q26" s="323"/>
      <c r="R26" s="323"/>
    </row>
    <row r="27" ht="17.1" customHeight="1" x14ac:dyDescent="0.25"/>
    <row r="28" ht="17.1" customHeight="1" x14ac:dyDescent="0.25"/>
    <row r="29" ht="17.1" customHeight="1" x14ac:dyDescent="0.25"/>
    <row r="30" ht="17.1" customHeight="1" spans="1:18" x14ac:dyDescent="0.25">
      <c r="A30" s="234"/>
      <c r="B30" s="234"/>
      <c r="C30" s="234"/>
      <c r="D30" s="234"/>
      <c r="I30" s="234"/>
      <c r="J30" s="234"/>
      <c r="K30" s="234"/>
      <c r="O30" s="234"/>
      <c r="P30" s="234"/>
      <c r="Q30" s="234"/>
      <c r="R30" s="234"/>
    </row>
    <row r="31" spans="1:18" x14ac:dyDescent="0.25">
      <c r="A31" s="235" t="s">
        <v>34</v>
      </c>
      <c r="B31" s="235"/>
      <c r="C31" s="235"/>
      <c r="D31" s="235"/>
      <c r="I31" s="235" t="s">
        <v>73</v>
      </c>
      <c r="J31" s="235"/>
      <c r="K31" s="235"/>
      <c r="O31" s="235" t="s">
        <v>35</v>
      </c>
      <c r="P31" s="235"/>
      <c r="Q31" s="235"/>
      <c r="R31" s="235"/>
    </row>
  </sheetData>
  <mergeCells count="63">
    <mergeCell ref="A1:R1"/>
    <mergeCell ref="A2:R2"/>
    <mergeCell ref="A4:R4"/>
    <mergeCell ref="I6:J6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 zoomScale="90" zoomScaleNormal="90">
      <selection activeCell="A4" sqref="A4"/>
    </sheetView>
  </sheetViews>
  <sheetFormatPr defaultRowHeight="17.25" outlineLevelRow="0" outlineLevelCol="0" x14ac:dyDescent="0" defaultColWidth="9" customHeight="1"/>
  <cols>
    <col min="1" max="1" width="13.875" style="1" customWidth="1"/>
    <col min="2" max="2" width="9.875" style="1" customWidth="1"/>
    <col min="3" max="3" width="8.375" style="1" customWidth="1"/>
    <col min="4" max="4" width="8.625" style="1" customWidth="1"/>
    <col min="5" max="5" width="5.625" style="1" customWidth="1"/>
    <col min="6" max="7" width="8.375" style="1" customWidth="1"/>
    <col min="8" max="8" width="11.125" style="1" customWidth="1"/>
    <col min="9" max="9" width="12.75" style="1" customWidth="1"/>
    <col min="10" max="16384" width="9" style="1" customWidth="1"/>
  </cols>
  <sheetData>
    <row r="1" ht="27" customHeight="1" spans="1:9" s="3" customFormat="1" x14ac:dyDescent="0.25">
      <c r="A1" s="455" t="s">
        <v>36</v>
      </c>
      <c r="B1" s="455"/>
      <c r="C1" s="455"/>
      <c r="D1" s="455"/>
      <c r="E1" s="455"/>
      <c r="F1" s="455"/>
      <c r="G1" s="455"/>
      <c r="H1" s="455"/>
      <c r="I1" s="455"/>
    </row>
    <row r="2" ht="18" customHeight="1" spans="1:9" s="3" customFormat="1" x14ac:dyDescent="0.25">
      <c r="A2" s="456" t="s">
        <v>37</v>
      </c>
      <c r="B2" s="456"/>
      <c r="C2" s="456"/>
      <c r="D2" s="456"/>
      <c r="E2" s="456"/>
      <c r="F2" s="456"/>
      <c r="G2" s="456"/>
      <c r="H2" s="456"/>
      <c r="I2" s="456"/>
    </row>
    <row r="3" ht="11.25" customHeight="1" s="3" customFormat="1" x14ac:dyDescent="0.25"/>
    <row r="4" ht="26.25" customHeight="1" spans="1:9" x14ac:dyDescent="0.25">
      <c r="A4" s="239" t="s">
        <v>156</v>
      </c>
      <c r="B4" s="239"/>
      <c r="C4" s="239"/>
      <c r="D4" s="239"/>
      <c r="E4" s="239"/>
      <c r="F4" s="239"/>
      <c r="G4" s="239"/>
      <c r="H4" s="239"/>
      <c r="I4" s="239"/>
    </row>
    <row r="5" spans="1:9" x14ac:dyDescent="0.25">
      <c r="A5" s="238" t="s">
        <v>157</v>
      </c>
      <c r="B5" s="238"/>
      <c r="C5" s="238"/>
      <c r="D5" s="238"/>
      <c r="E5" s="238"/>
      <c r="F5" s="238"/>
      <c r="G5" s="238"/>
      <c r="H5" s="238"/>
      <c r="I5" s="238"/>
    </row>
    <row r="6" spans="1:9" x14ac:dyDescent="0.25">
      <c r="A6" s="238"/>
      <c r="B6" s="238"/>
      <c r="C6" s="238"/>
      <c r="D6" s="238"/>
      <c r="E6" s="238"/>
      <c r="F6" s="238"/>
      <c r="G6" s="238"/>
      <c r="H6" s="238"/>
      <c r="I6" s="238" t="s">
        <v>158</v>
      </c>
    </row>
    <row r="7" ht="22.5" customHeight="1" spans="1:9" x14ac:dyDescent="0.25">
      <c r="A7" s="3" t="s">
        <v>159</v>
      </c>
      <c r="B7" s="3"/>
      <c r="C7" s="3"/>
      <c r="D7" s="3" t="s">
        <v>160</v>
      </c>
      <c r="E7" s="238" t="str">
        <f>'OS-IN'!H6</f>
        <v>2022E</v>
      </c>
      <c r="F7" s="238"/>
      <c r="G7" s="380" t="s">
        <v>5</v>
      </c>
      <c r="H7" s="240">
        <f>'OS-IN'!L6</f>
        <v>46227</v>
      </c>
      <c r="I7" s="238"/>
    </row>
    <row r="8" ht="22.5" customHeight="1" spans="1:9" x14ac:dyDescent="0.25">
      <c r="A8" s="3" t="s">
        <v>161</v>
      </c>
      <c r="B8" s="3"/>
      <c r="C8" s="3"/>
      <c r="D8" s="3" t="s">
        <v>8</v>
      </c>
      <c r="E8" s="238">
        <f>'Final Work'!G6</f>
        <v>15</v>
      </c>
      <c r="F8" s="238"/>
      <c r="G8" s="380" t="s">
        <v>9</v>
      </c>
      <c r="H8" s="28" t="s">
        <v>162</v>
      </c>
      <c r="I8" s="28"/>
    </row>
    <row r="9" ht="9" customHeight="1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ht="15.75" customHeight="1" spans="1:9" x14ac:dyDescent="0.25">
      <c r="A10" s="416" t="s">
        <v>163</v>
      </c>
      <c r="B10" s="457" t="s">
        <v>148</v>
      </c>
      <c r="C10" s="416" t="s">
        <v>144</v>
      </c>
      <c r="D10" s="214" t="s">
        <v>164</v>
      </c>
      <c r="E10" s="210"/>
      <c r="F10" s="291" t="s">
        <v>165</v>
      </c>
      <c r="G10" s="291"/>
      <c r="H10" s="291" t="s">
        <v>166</v>
      </c>
      <c r="I10" s="416" t="s">
        <v>68</v>
      </c>
    </row>
    <row r="11" ht="15.75" customHeight="1" spans="1:9" x14ac:dyDescent="0.25">
      <c r="A11" s="458"/>
      <c r="B11" s="459"/>
      <c r="C11" s="458"/>
      <c r="D11" s="460" t="s">
        <v>167</v>
      </c>
      <c r="E11" s="461"/>
      <c r="F11" s="462" t="s">
        <v>168</v>
      </c>
      <c r="G11" s="462" t="s">
        <v>169</v>
      </c>
      <c r="H11" s="463" t="s">
        <v>170</v>
      </c>
      <c r="I11" s="458"/>
    </row>
    <row r="12" ht="20.1" customHeight="1" spans="1:9" x14ac:dyDescent="0.25">
      <c r="A12" s="464"/>
      <c r="B12" s="465"/>
      <c r="C12" s="392"/>
      <c r="D12" s="393"/>
      <c r="E12" s="393"/>
      <c r="F12" s="466"/>
      <c r="G12" s="466"/>
      <c r="H12" s="467"/>
      <c r="I12" s="393"/>
    </row>
    <row r="13" ht="20.1" customHeight="1" spans="1:9" x14ac:dyDescent="0.25">
      <c r="A13" s="400"/>
      <c r="B13" s="468"/>
      <c r="C13" s="398"/>
      <c r="D13" s="291"/>
      <c r="E13" s="291"/>
      <c r="F13" s="469"/>
      <c r="G13" s="469"/>
      <c r="H13" s="470"/>
      <c r="I13" s="291"/>
    </row>
    <row r="14" ht="20.1" customHeight="1" spans="1:9" x14ac:dyDescent="0.25">
      <c r="A14" s="471"/>
      <c r="B14" s="468"/>
      <c r="C14" s="398"/>
      <c r="D14" s="291"/>
      <c r="E14" s="291"/>
      <c r="F14" s="469"/>
      <c r="G14" s="469"/>
      <c r="H14" s="470"/>
      <c r="I14" s="291"/>
    </row>
    <row r="15" ht="20.1" customHeight="1" spans="1:9" x14ac:dyDescent="0.25">
      <c r="A15" s="471"/>
      <c r="B15" s="472"/>
      <c r="C15" s="398"/>
      <c r="D15" s="291"/>
      <c r="E15" s="291"/>
      <c r="F15" s="469"/>
      <c r="G15" s="469"/>
      <c r="H15" s="470"/>
      <c r="I15" s="291"/>
    </row>
    <row r="16" ht="20.1" customHeight="1" spans="1:9" x14ac:dyDescent="0.25">
      <c r="A16" s="408"/>
      <c r="B16" s="473"/>
      <c r="C16" s="405"/>
      <c r="D16" s="406"/>
      <c r="E16" s="406"/>
      <c r="F16" s="474"/>
      <c r="G16" s="474"/>
      <c r="H16" s="475"/>
      <c r="I16" s="406"/>
    </row>
    <row r="17" ht="20.1" customHeight="1" spans="1:9" x14ac:dyDescent="0.25">
      <c r="A17" s="393"/>
      <c r="B17" s="476"/>
      <c r="C17" s="392"/>
      <c r="D17" s="393"/>
      <c r="E17" s="393"/>
      <c r="F17" s="466"/>
      <c r="G17" s="466"/>
      <c r="H17" s="467"/>
      <c r="I17" s="393"/>
    </row>
    <row r="18" ht="20.1" customHeight="1" spans="1:9" x14ac:dyDescent="0.25">
      <c r="A18" s="291"/>
      <c r="B18" s="472"/>
      <c r="C18" s="398"/>
      <c r="D18" s="291"/>
      <c r="E18" s="291"/>
      <c r="F18" s="469"/>
      <c r="G18" s="469"/>
      <c r="H18" s="470"/>
      <c r="I18" s="291"/>
    </row>
    <row r="19" ht="20.1" customHeight="1" spans="1:9" x14ac:dyDescent="0.25">
      <c r="A19" s="291"/>
      <c r="B19" s="472"/>
      <c r="C19" s="398"/>
      <c r="D19" s="291"/>
      <c r="E19" s="291"/>
      <c r="F19" s="469"/>
      <c r="G19" s="469"/>
      <c r="H19" s="470"/>
      <c r="I19" s="291"/>
    </row>
    <row r="20" ht="20.1" customHeight="1" spans="1:9" x14ac:dyDescent="0.25">
      <c r="A20" s="291"/>
      <c r="B20" s="472"/>
      <c r="C20" s="398"/>
      <c r="D20" s="291"/>
      <c r="E20" s="291"/>
      <c r="F20" s="469"/>
      <c r="G20" s="469"/>
      <c r="H20" s="470"/>
      <c r="I20" s="291"/>
    </row>
    <row r="21" ht="20.1" customHeight="1" spans="1:9" x14ac:dyDescent="0.25">
      <c r="A21" s="406"/>
      <c r="B21" s="473"/>
      <c r="C21" s="405"/>
      <c r="D21" s="406"/>
      <c r="E21" s="406"/>
      <c r="F21" s="474"/>
      <c r="G21" s="474"/>
      <c r="H21" s="475"/>
      <c r="I21" s="406"/>
    </row>
    <row r="22" ht="20.1" customHeight="1" spans="1:9" x14ac:dyDescent="0.25">
      <c r="A22" s="393"/>
      <c r="B22" s="476"/>
      <c r="C22" s="392"/>
      <c r="D22" s="393"/>
      <c r="E22" s="393"/>
      <c r="F22" s="466"/>
      <c r="G22" s="466"/>
      <c r="H22" s="467"/>
      <c r="I22" s="393"/>
    </row>
    <row r="23" ht="20.1" customHeight="1" spans="1:9" x14ac:dyDescent="0.25">
      <c r="A23" s="291"/>
      <c r="B23" s="472"/>
      <c r="C23" s="398"/>
      <c r="D23" s="291"/>
      <c r="E23" s="291"/>
      <c r="F23" s="469"/>
      <c r="G23" s="469"/>
      <c r="H23" s="470"/>
      <c r="I23" s="291"/>
    </row>
    <row r="24" ht="20.1" customHeight="1" spans="1:9" x14ac:dyDescent="0.25">
      <c r="A24" s="291"/>
      <c r="B24" s="472"/>
      <c r="C24" s="398"/>
      <c r="D24" s="291"/>
      <c r="E24" s="291"/>
      <c r="F24" s="469"/>
      <c r="G24" s="469"/>
      <c r="H24" s="470"/>
      <c r="I24" s="291"/>
    </row>
    <row r="25" ht="20.1" customHeight="1" spans="1:9" x14ac:dyDescent="0.25">
      <c r="A25" s="291"/>
      <c r="B25" s="472"/>
      <c r="C25" s="398"/>
      <c r="D25" s="291"/>
      <c r="E25" s="291"/>
      <c r="F25" s="469"/>
      <c r="G25" s="469"/>
      <c r="H25" s="470"/>
      <c r="I25" s="291"/>
    </row>
    <row r="26" ht="20.1" customHeight="1" spans="1:9" x14ac:dyDescent="0.25">
      <c r="A26" s="406"/>
      <c r="B26" s="473"/>
      <c r="C26" s="405"/>
      <c r="D26" s="406"/>
      <c r="E26" s="406"/>
      <c r="F26" s="474"/>
      <c r="G26" s="474"/>
      <c r="H26" s="475"/>
      <c r="I26" s="406"/>
    </row>
    <row r="27" ht="20.1" customHeight="1" spans="1:9" x14ac:dyDescent="0.25">
      <c r="A27" s="393"/>
      <c r="B27" s="476"/>
      <c r="C27" s="392"/>
      <c r="D27" s="393"/>
      <c r="E27" s="393"/>
      <c r="F27" s="466"/>
      <c r="G27" s="466"/>
      <c r="H27" s="467"/>
      <c r="I27" s="393"/>
    </row>
    <row r="28" ht="20.1" customHeight="1" spans="1:9" x14ac:dyDescent="0.25">
      <c r="A28" s="291"/>
      <c r="B28" s="472"/>
      <c r="C28" s="398"/>
      <c r="D28" s="291"/>
      <c r="E28" s="291"/>
      <c r="F28" s="469"/>
      <c r="G28" s="469"/>
      <c r="H28" s="470"/>
      <c r="I28" s="291"/>
    </row>
    <row r="29" ht="20.1" customHeight="1" spans="1:9" x14ac:dyDescent="0.25">
      <c r="A29" s="291"/>
      <c r="B29" s="472"/>
      <c r="C29" s="398"/>
      <c r="D29" s="291"/>
      <c r="E29" s="291"/>
      <c r="F29" s="469"/>
      <c r="G29" s="469"/>
      <c r="H29" s="470"/>
      <c r="I29" s="291"/>
    </row>
    <row r="30" ht="20.1" customHeight="1" spans="1:9" x14ac:dyDescent="0.25">
      <c r="A30" s="291"/>
      <c r="B30" s="472"/>
      <c r="C30" s="398"/>
      <c r="D30" s="291"/>
      <c r="E30" s="291"/>
      <c r="F30" s="469"/>
      <c r="G30" s="469"/>
      <c r="H30" s="470"/>
      <c r="I30" s="291"/>
    </row>
    <row r="31" ht="20.1" customHeight="1" spans="1:9" x14ac:dyDescent="0.25">
      <c r="A31" s="291"/>
      <c r="B31" s="472"/>
      <c r="C31" s="398"/>
      <c r="D31" s="291"/>
      <c r="E31" s="291"/>
      <c r="F31" s="469"/>
      <c r="G31" s="469"/>
      <c r="H31" s="470"/>
      <c r="I31" s="291"/>
    </row>
    <row r="32" ht="5.45" customHeight="1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ht="15" customHeight="1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ht="15" customHeight="1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ht="15" customHeight="1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ht="15" customHeight="1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ht="15" customHeight="1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ht="15" customHeight="1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ht="15" customHeight="1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ht="15" customHeight="1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ht="15" customHeight="1" spans="1:9" x14ac:dyDescent="0.25">
      <c r="A41" s="234"/>
      <c r="B41" s="234"/>
      <c r="C41" s="3"/>
      <c r="D41" s="234"/>
      <c r="E41" s="234"/>
      <c r="F41" s="234"/>
      <c r="G41" s="3"/>
      <c r="H41" s="234"/>
      <c r="I41" s="234"/>
    </row>
    <row r="42" ht="15" customHeight="1" spans="1:9" x14ac:dyDescent="0.25">
      <c r="A42" s="236" t="s">
        <v>34</v>
      </c>
      <c r="B42" s="236"/>
      <c r="C42" s="37"/>
      <c r="D42" s="28" t="s">
        <v>171</v>
      </c>
      <c r="E42" s="28"/>
      <c r="F42" s="28"/>
      <c r="G42" s="37"/>
      <c r="H42" s="236" t="s">
        <v>35</v>
      </c>
      <c r="I42" s="236"/>
    </row>
    <row r="43" ht="27" customHeight="1" spans="1:9" s="3" customFormat="1" x14ac:dyDescent="0.25">
      <c r="A43" s="455" t="s">
        <v>36</v>
      </c>
      <c r="B43" s="455"/>
      <c r="C43" s="455"/>
      <c r="D43" s="455"/>
      <c r="E43" s="455"/>
      <c r="F43" s="455"/>
      <c r="G43" s="455"/>
      <c r="H43" s="455"/>
      <c r="I43" s="455"/>
    </row>
    <row r="44" ht="18" customHeight="1" spans="1:9" s="3" customFormat="1" x14ac:dyDescent="0.25">
      <c r="A44" s="456" t="s">
        <v>37</v>
      </c>
      <c r="B44" s="456"/>
      <c r="C44" s="456"/>
      <c r="D44" s="456"/>
      <c r="E44" s="456"/>
      <c r="F44" s="456"/>
      <c r="G44" s="456"/>
      <c r="H44" s="456"/>
      <c r="I44" s="456"/>
    </row>
    <row r="45" ht="11.25" customHeight="1" s="3" customFormat="1" x14ac:dyDescent="0.25"/>
    <row r="46" ht="26.25" customHeight="1" spans="1:9" x14ac:dyDescent="0.25">
      <c r="A46" s="239" t="s">
        <v>156</v>
      </c>
      <c r="B46" s="239"/>
      <c r="C46" s="239"/>
      <c r="D46" s="239"/>
      <c r="E46" s="239"/>
      <c r="F46" s="239"/>
      <c r="G46" s="239"/>
      <c r="H46" s="239"/>
      <c r="I46" s="239"/>
    </row>
    <row r="47" spans="1:9" x14ac:dyDescent="0.25">
      <c r="A47" s="238" t="s">
        <v>157</v>
      </c>
      <c r="B47" s="238"/>
      <c r="C47" s="238"/>
      <c r="D47" s="238"/>
      <c r="E47" s="238"/>
      <c r="F47" s="238"/>
      <c r="G47" s="238"/>
      <c r="H47" s="238"/>
      <c r="I47" s="238"/>
    </row>
    <row r="48" ht="14.25" customHeight="1" spans="1:9" x14ac:dyDescent="0.25">
      <c r="A48" s="238"/>
      <c r="B48" s="238"/>
      <c r="C48" s="238"/>
      <c r="D48" s="238"/>
      <c r="E48" s="238"/>
      <c r="F48" s="238"/>
      <c r="G48" s="238"/>
      <c r="H48" s="238"/>
      <c r="I48" s="238" t="s">
        <v>158</v>
      </c>
    </row>
    <row r="49" ht="22.5" customHeight="1" spans="1:9" x14ac:dyDescent="0.25">
      <c r="A49" s="3" t="str">
        <f>A7</f>
        <v>M/V  :  TIAN HAI PING ZE</v>
      </c>
      <c r="B49" s="3"/>
      <c r="C49" s="3"/>
      <c r="D49" s="3" t="s">
        <v>160</v>
      </c>
      <c r="E49" s="238" t="str">
        <f>'OS-OUT'!H6</f>
        <v>2022W</v>
      </c>
      <c r="F49" s="238"/>
      <c r="G49" s="380" t="s">
        <v>5</v>
      </c>
      <c r="H49" s="240">
        <f>'Final Work'!L4</f>
        <v>46228</v>
      </c>
      <c r="I49" s="238"/>
    </row>
    <row r="50" ht="22.5" customHeight="1" spans="1:9" x14ac:dyDescent="0.25">
      <c r="A50" s="3" t="s">
        <v>161</v>
      </c>
      <c r="B50" s="3"/>
      <c r="C50" s="3"/>
      <c r="D50" s="3" t="s">
        <v>8</v>
      </c>
      <c r="E50" s="238">
        <f>'Final Work'!G6</f>
        <v>15</v>
      </c>
      <c r="F50" s="238"/>
      <c r="G50" s="380" t="s">
        <v>9</v>
      </c>
      <c r="H50" s="28" t="s">
        <v>162</v>
      </c>
      <c r="I50" s="28"/>
    </row>
    <row r="51" ht="9" customHeight="1" spans="1:9" x14ac:dyDescent="0.25">
      <c r="A51" s="3"/>
      <c r="B51" s="3"/>
      <c r="C51" s="3"/>
      <c r="D51" s="3"/>
      <c r="E51" s="3"/>
      <c r="F51" s="3"/>
      <c r="G51" s="3"/>
      <c r="H51" s="3"/>
      <c r="I51" s="3"/>
    </row>
    <row r="52" ht="15.75" customHeight="1" spans="1:9" x14ac:dyDescent="0.25">
      <c r="A52" s="416" t="s">
        <v>163</v>
      </c>
      <c r="B52" s="457" t="s">
        <v>148</v>
      </c>
      <c r="C52" s="416" t="s">
        <v>144</v>
      </c>
      <c r="D52" s="214" t="s">
        <v>164</v>
      </c>
      <c r="E52" s="210"/>
      <c r="F52" s="291" t="s">
        <v>165</v>
      </c>
      <c r="G52" s="291"/>
      <c r="H52" s="291" t="s">
        <v>166</v>
      </c>
      <c r="I52" s="416" t="s">
        <v>68</v>
      </c>
    </row>
    <row r="53" ht="15.75" customHeight="1" spans="1:9" x14ac:dyDescent="0.25">
      <c r="A53" s="458"/>
      <c r="B53" s="459"/>
      <c r="C53" s="458"/>
      <c r="D53" s="460" t="s">
        <v>167</v>
      </c>
      <c r="E53" s="461"/>
      <c r="F53" s="462" t="s">
        <v>168</v>
      </c>
      <c r="G53" s="462" t="s">
        <v>169</v>
      </c>
      <c r="H53" s="463" t="s">
        <v>170</v>
      </c>
      <c r="I53" s="458"/>
    </row>
    <row r="54" ht="20.1" customHeight="1" spans="1:9" x14ac:dyDescent="0.25">
      <c r="A54" s="464" t="s">
        <v>155</v>
      </c>
      <c r="B54" s="477"/>
      <c r="C54" s="464"/>
      <c r="D54" s="393"/>
      <c r="E54" s="393"/>
      <c r="F54" s="478"/>
      <c r="G54" s="478"/>
      <c r="H54" s="479"/>
      <c r="I54" s="480"/>
    </row>
    <row r="55" ht="20.1" customHeight="1" spans="1:9" x14ac:dyDescent="0.25">
      <c r="A55" s="477"/>
      <c r="B55" s="477"/>
      <c r="C55" s="464"/>
      <c r="D55" s="291"/>
      <c r="E55" s="291"/>
      <c r="F55" s="464"/>
      <c r="G55" s="464"/>
      <c r="H55" s="467"/>
      <c r="I55" s="481"/>
    </row>
    <row r="56" ht="20.1" customHeight="1" spans="1:9" x14ac:dyDescent="0.25">
      <c r="A56" s="477"/>
      <c r="B56" s="477"/>
      <c r="C56" s="464"/>
      <c r="D56" s="291"/>
      <c r="E56" s="291"/>
      <c r="F56" s="471"/>
      <c r="G56" s="471"/>
      <c r="H56" s="467"/>
      <c r="I56" s="481"/>
    </row>
    <row r="57" ht="20.1" customHeight="1" spans="1:9" x14ac:dyDescent="0.25">
      <c r="A57" s="477"/>
      <c r="B57" s="477"/>
      <c r="C57" s="464"/>
      <c r="D57" s="291"/>
      <c r="E57" s="291"/>
      <c r="F57" s="471"/>
      <c r="G57" s="471"/>
      <c r="H57" s="467"/>
      <c r="I57" s="481"/>
    </row>
    <row r="58" ht="20.1" customHeight="1" spans="1:9" x14ac:dyDescent="0.25">
      <c r="A58" s="482"/>
      <c r="B58" s="482"/>
      <c r="C58" s="483"/>
      <c r="D58" s="406"/>
      <c r="E58" s="406"/>
      <c r="F58" s="483"/>
      <c r="G58" s="483"/>
      <c r="H58" s="475"/>
      <c r="I58" s="484"/>
    </row>
    <row r="59" ht="20.1" customHeight="1" spans="1:9" x14ac:dyDescent="0.25">
      <c r="A59" s="485"/>
      <c r="B59" s="485"/>
      <c r="C59" s="464"/>
      <c r="D59" s="393"/>
      <c r="E59" s="393"/>
      <c r="F59" s="464"/>
      <c r="G59" s="464"/>
      <c r="H59" s="467"/>
      <c r="I59" s="486"/>
    </row>
    <row r="60" ht="20.1" customHeight="1" spans="1:9" x14ac:dyDescent="0.25">
      <c r="A60" s="471"/>
      <c r="B60" s="487"/>
      <c r="C60" s="471"/>
      <c r="D60" s="291"/>
      <c r="E60" s="291"/>
      <c r="F60" s="471"/>
      <c r="G60" s="471"/>
      <c r="H60" s="488"/>
      <c r="I60" s="489"/>
    </row>
    <row r="61" ht="20.1" customHeight="1" spans="1:9" x14ac:dyDescent="0.25">
      <c r="A61" s="471"/>
      <c r="B61" s="487"/>
      <c r="C61" s="471"/>
      <c r="D61" s="291"/>
      <c r="E61" s="291"/>
      <c r="F61" s="471"/>
      <c r="G61" s="471"/>
      <c r="H61" s="488"/>
      <c r="I61" s="489"/>
    </row>
    <row r="62" ht="20.1" customHeight="1" spans="1:9" x14ac:dyDescent="0.25">
      <c r="A62" s="487"/>
      <c r="B62" s="487"/>
      <c r="C62" s="487"/>
      <c r="D62" s="291"/>
      <c r="E62" s="291"/>
      <c r="F62" s="487"/>
      <c r="G62" s="472"/>
      <c r="H62" s="470"/>
      <c r="I62" s="291"/>
    </row>
    <row r="63" ht="20.1" customHeight="1" spans="1:9" x14ac:dyDescent="0.25">
      <c r="A63" s="490"/>
      <c r="B63" s="490"/>
      <c r="C63" s="490"/>
      <c r="D63" s="416"/>
      <c r="E63" s="416"/>
      <c r="F63" s="490"/>
      <c r="G63" s="491"/>
      <c r="H63" s="492"/>
      <c r="I63" s="416"/>
    </row>
    <row r="64" ht="20.1" customHeight="1" spans="1:9" x14ac:dyDescent="0.25">
      <c r="A64" s="493"/>
      <c r="B64" s="493"/>
      <c r="C64" s="493"/>
      <c r="D64" s="494"/>
      <c r="E64" s="494"/>
      <c r="F64" s="493"/>
      <c r="G64" s="495"/>
      <c r="H64" s="496"/>
      <c r="I64" s="494"/>
    </row>
    <row r="65" ht="20.1" customHeight="1" spans="1:9" x14ac:dyDescent="0.25">
      <c r="A65" s="487"/>
      <c r="B65" s="487"/>
      <c r="C65" s="487"/>
      <c r="D65" s="291"/>
      <c r="E65" s="291"/>
      <c r="F65" s="487"/>
      <c r="G65" s="291"/>
      <c r="H65" s="470"/>
      <c r="I65" s="291"/>
    </row>
    <row r="66" ht="20.1" customHeight="1" spans="1:9" x14ac:dyDescent="0.25">
      <c r="A66" s="487"/>
      <c r="B66" s="487"/>
      <c r="C66" s="487"/>
      <c r="D66" s="291"/>
      <c r="E66" s="291"/>
      <c r="F66" s="487"/>
      <c r="G66" s="291"/>
      <c r="H66" s="470"/>
      <c r="I66" s="291"/>
    </row>
    <row r="67" ht="20.1" customHeight="1" spans="1:9" x14ac:dyDescent="0.25">
      <c r="A67" s="487"/>
      <c r="B67" s="487"/>
      <c r="C67" s="487"/>
      <c r="D67" s="291"/>
      <c r="E67" s="291"/>
      <c r="F67" s="487"/>
      <c r="G67" s="291"/>
      <c r="H67" s="470"/>
      <c r="I67" s="291"/>
    </row>
    <row r="68" ht="20.1" customHeight="1" spans="1:9" x14ac:dyDescent="0.25">
      <c r="A68" s="497"/>
      <c r="B68" s="497"/>
      <c r="C68" s="497"/>
      <c r="D68" s="406"/>
      <c r="E68" s="406"/>
      <c r="F68" s="497"/>
      <c r="G68" s="406"/>
      <c r="H68" s="406"/>
      <c r="I68" s="406"/>
    </row>
    <row r="69" ht="20.1" customHeight="1" spans="1:9" x14ac:dyDescent="0.25">
      <c r="A69" s="498"/>
      <c r="B69" s="498"/>
      <c r="C69" s="498"/>
      <c r="D69" s="393"/>
      <c r="E69" s="393"/>
      <c r="F69" s="498"/>
      <c r="G69" s="393"/>
      <c r="H69" s="393"/>
      <c r="I69" s="393"/>
    </row>
    <row r="70" ht="20.1" customHeight="1" spans="1:9" x14ac:dyDescent="0.25">
      <c r="A70" s="487"/>
      <c r="B70" s="487"/>
      <c r="C70" s="487"/>
      <c r="D70" s="291"/>
      <c r="E70" s="291"/>
      <c r="F70" s="487"/>
      <c r="G70" s="291"/>
      <c r="H70" s="291"/>
      <c r="I70" s="291"/>
    </row>
    <row r="71" ht="20.1" customHeight="1" spans="1:9" x14ac:dyDescent="0.25">
      <c r="A71" s="487"/>
      <c r="B71" s="487"/>
      <c r="C71" s="487"/>
      <c r="D71" s="291"/>
      <c r="E71" s="291"/>
      <c r="F71" s="487"/>
      <c r="G71" s="291"/>
      <c r="H71" s="291"/>
      <c r="I71" s="291"/>
    </row>
    <row r="72" ht="20.1" customHeight="1" spans="1:9" x14ac:dyDescent="0.25">
      <c r="A72" s="487"/>
      <c r="B72" s="487"/>
      <c r="C72" s="487"/>
      <c r="D72" s="291"/>
      <c r="E72" s="291"/>
      <c r="F72" s="487"/>
      <c r="G72" s="291"/>
      <c r="H72" s="291"/>
      <c r="I72" s="291"/>
    </row>
    <row r="73" ht="20.1" customHeight="1" spans="1:9" x14ac:dyDescent="0.25">
      <c r="A73" s="487"/>
      <c r="B73" s="487"/>
      <c r="C73" s="487"/>
      <c r="D73" s="291"/>
      <c r="E73" s="291"/>
      <c r="F73" s="487"/>
      <c r="G73" s="291"/>
      <c r="H73" s="291"/>
      <c r="I73" s="291"/>
    </row>
    <row r="74" ht="5.45" customHeight="1" spans="1:9" x14ac:dyDescent="0.25">
      <c r="A74" s="3"/>
      <c r="B74" s="3"/>
      <c r="C74" s="3"/>
      <c r="D74" s="3"/>
      <c r="E74" s="3"/>
      <c r="F74" s="3"/>
      <c r="G74" s="3"/>
      <c r="H74" s="3"/>
      <c r="I74" s="3"/>
    </row>
    <row r="75" ht="15" customHeight="1" spans="1:9" x14ac:dyDescent="0.25">
      <c r="A75" s="37" t="s">
        <v>172</v>
      </c>
      <c r="B75" s="37"/>
      <c r="C75" s="37"/>
      <c r="D75" s="37"/>
      <c r="E75" s="37"/>
      <c r="F75" s="37"/>
      <c r="G75" s="37"/>
      <c r="H75" s="37"/>
      <c r="I75" s="37"/>
    </row>
    <row r="76" ht="15" customHeight="1" spans="1:9" x14ac:dyDescent="0.25">
      <c r="A76" s="37" t="s">
        <v>173</v>
      </c>
      <c r="B76" s="37"/>
      <c r="C76" s="37"/>
      <c r="D76" s="37"/>
      <c r="E76" s="37"/>
      <c r="F76" s="37"/>
      <c r="G76" s="37"/>
      <c r="H76" s="37"/>
      <c r="I76" s="37"/>
    </row>
    <row r="77" ht="15" customHeight="1" spans="1:9" x14ac:dyDescent="0.25">
      <c r="A77" s="37" t="s">
        <v>174</v>
      </c>
      <c r="B77" s="37"/>
      <c r="C77" s="37"/>
      <c r="D77" s="37"/>
      <c r="E77" s="37"/>
      <c r="F77" s="37"/>
      <c r="G77" s="37"/>
      <c r="H77" s="37"/>
      <c r="I77" s="37"/>
    </row>
    <row r="78" ht="15" customHeight="1" spans="1:9" x14ac:dyDescent="0.25">
      <c r="A78" s="37" t="s">
        <v>175</v>
      </c>
      <c r="B78" s="37"/>
      <c r="C78" s="37"/>
      <c r="D78" s="37"/>
      <c r="E78" s="37"/>
      <c r="F78" s="37"/>
      <c r="G78" s="37"/>
      <c r="H78" s="37"/>
      <c r="I78" s="37"/>
    </row>
    <row r="79" ht="15" customHeight="1" spans="1:9" x14ac:dyDescent="0.25">
      <c r="A79" s="37" t="s">
        <v>176</v>
      </c>
      <c r="B79" s="37"/>
      <c r="C79" s="37"/>
      <c r="D79" s="37"/>
      <c r="E79" s="37"/>
      <c r="F79" s="37"/>
      <c r="G79" s="37"/>
      <c r="H79" s="37"/>
      <c r="I79" s="37"/>
    </row>
    <row r="80" ht="15" customHeight="1" spans="1:9" x14ac:dyDescent="0.25">
      <c r="A80" s="37" t="s">
        <v>177</v>
      </c>
      <c r="B80" s="37"/>
      <c r="C80" s="37"/>
      <c r="D80" s="37"/>
      <c r="E80" s="37"/>
      <c r="F80" s="37"/>
      <c r="G80" s="37"/>
      <c r="H80" s="37"/>
      <c r="I80" s="37"/>
    </row>
    <row r="81" ht="15" customHeight="1" spans="1:9" x14ac:dyDescent="0.25">
      <c r="A81" s="37"/>
      <c r="B81" s="37"/>
      <c r="C81" s="37"/>
      <c r="D81" s="37"/>
      <c r="E81" s="37"/>
      <c r="F81" s="37"/>
      <c r="G81" s="37"/>
      <c r="H81" s="37"/>
      <c r="I81" s="37"/>
    </row>
    <row r="82" ht="15" customHeight="1" spans="1:9" x14ac:dyDescent="0.25">
      <c r="A82" s="3"/>
      <c r="B82" s="3"/>
      <c r="C82" s="3"/>
      <c r="D82" s="3"/>
      <c r="E82" s="3"/>
      <c r="F82" s="3"/>
      <c r="G82" s="3"/>
      <c r="H82" s="3"/>
      <c r="I82" s="3"/>
    </row>
    <row r="83" ht="15" customHeight="1" spans="1:9" x14ac:dyDescent="0.25">
      <c r="A83" s="234"/>
      <c r="B83" s="234"/>
      <c r="C83" s="3"/>
      <c r="D83" s="234"/>
      <c r="E83" s="234"/>
      <c r="F83" s="234"/>
      <c r="G83" s="3"/>
      <c r="H83" s="234"/>
      <c r="I83" s="234"/>
    </row>
    <row r="84" ht="15" customHeight="1" spans="1:9" x14ac:dyDescent="0.25">
      <c r="A84" s="236" t="s">
        <v>34</v>
      </c>
      <c r="B84" s="236"/>
      <c r="C84" s="37"/>
      <c r="D84" s="236" t="s">
        <v>171</v>
      </c>
      <c r="E84" s="236"/>
      <c r="F84" s="236"/>
      <c r="G84" s="37"/>
      <c r="H84" s="236" t="s">
        <v>35</v>
      </c>
      <c r="I84" s="236"/>
    </row>
  </sheetData>
  <mergeCells count="76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42:B42"/>
    <mergeCell ref="D42:F42"/>
    <mergeCell ref="H42:I42"/>
    <mergeCell ref="A43:I43"/>
    <mergeCell ref="A44:I44"/>
    <mergeCell ref="A46:I46"/>
    <mergeCell ref="A47:I47"/>
    <mergeCell ref="E49:F49"/>
    <mergeCell ref="H49:I49"/>
    <mergeCell ref="E50:F50"/>
    <mergeCell ref="H50:I50"/>
    <mergeCell ref="D52:E52"/>
    <mergeCell ref="F52:G52"/>
    <mergeCell ref="A52:A53"/>
    <mergeCell ref="B52:B53"/>
    <mergeCell ref="C52:C53"/>
    <mergeCell ref="D53:E53"/>
    <mergeCell ref="I52:I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A84:B84"/>
    <mergeCell ref="D84:F84"/>
    <mergeCell ref="H84:I84"/>
  </mergeCells>
  <printOptions horizontalCentered="1" verticalCentered="1"/>
  <pageMargins left="0.3937007874015748" right="0.3937007874015748" top="0.7874015748031497" bottom="0.5905511811023623" header="0.15748031496062992" footer="0.15748031496062992"/>
  <pageSetup paperSize="9" orientation="portrait" horizontalDpi="4294967295" verticalDpi="4294967295" scale="95" fitToWidth="1" fitToHeight="0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T50"/>
  <sheetViews>
    <sheetView workbookViewId="0" zoomScale="90" zoomScaleNormal="90"/>
  </sheetViews>
  <sheetFormatPr defaultRowHeight="17.25" outlineLevelRow="0" outlineLevelCol="0" x14ac:dyDescent="0" defaultColWidth="9" customHeight="1"/>
  <cols>
    <col min="1" max="3" width="6.125" style="1" customWidth="1"/>
    <col min="4" max="4" width="5.625" style="2" customWidth="1"/>
    <col min="5" max="15" width="5.625" style="1" customWidth="1"/>
    <col min="16" max="16" width="6.875" style="1" customWidth="1"/>
    <col min="17" max="16384" width="9" style="1" customWidth="1"/>
  </cols>
  <sheetData>
    <row r="1" ht="30" customHeight="1" spans="1:16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22.15" customHeight="1" spans="3:12" x14ac:dyDescent="0.25">
      <c r="C2" s="5" t="s">
        <v>1</v>
      </c>
      <c r="D2" s="6"/>
      <c r="E2" s="6"/>
      <c r="F2" s="6"/>
      <c r="G2" s="6"/>
      <c r="H2" s="6"/>
      <c r="I2" s="6"/>
      <c r="J2" s="6"/>
      <c r="K2" s="6"/>
      <c r="L2" s="7"/>
    </row>
    <row r="3" ht="10.5" customHeight="1" x14ac:dyDescent="0.25"/>
    <row r="4" spans="1:16" x14ac:dyDescent="0.25">
      <c r="A4" s="8" t="s">
        <v>2</v>
      </c>
      <c r="B4" s="9" t="s">
        <v>3</v>
      </c>
      <c r="C4" s="9"/>
      <c r="D4" s="9"/>
      <c r="E4" s="10" t="s">
        <v>4</v>
      </c>
      <c r="F4" s="10"/>
      <c r="G4" s="10"/>
      <c r="H4" s="10"/>
      <c r="I4" s="10"/>
      <c r="J4" s="1" t="s">
        <v>5</v>
      </c>
      <c r="K4" s="1"/>
      <c r="L4" s="11">
        <v>46228</v>
      </c>
      <c r="M4" s="12"/>
      <c r="N4" s="12"/>
      <c r="O4" s="12"/>
      <c r="P4" s="13"/>
    </row>
    <row r="5" ht="9.75" customHeight="1" spans="4:4" x14ac:dyDescent="0.25">
      <c r="D5" s="2"/>
    </row>
    <row r="6" spans="1:20" x14ac:dyDescent="0.25">
      <c r="A6" s="14" t="s">
        <v>6</v>
      </c>
      <c r="B6" s="1" t="s">
        <v>7</v>
      </c>
      <c r="C6" s="1"/>
      <c r="D6" s="2"/>
      <c r="E6" s="15"/>
      <c r="F6" s="15" t="s">
        <v>8</v>
      </c>
      <c r="G6" s="16"/>
      <c r="H6" s="16"/>
      <c r="I6" s="16"/>
      <c r="J6" s="1" t="s">
        <v>9</v>
      </c>
      <c r="K6" s="1"/>
      <c r="L6" s="17" t="s">
        <v>10</v>
      </c>
      <c r="M6" s="17"/>
      <c r="N6" s="17"/>
      <c r="O6" s="17"/>
      <c r="P6" s="17"/>
      <c r="T6" s="18"/>
    </row>
    <row r="7" ht="11.25" customHeight="1" spans="1:7" x14ac:dyDescent="0.25">
      <c r="A7" s="19"/>
      <c r="B7" s="19"/>
      <c r="C7" s="19"/>
      <c r="D7" s="20"/>
      <c r="E7" s="19"/>
      <c r="F7" s="19"/>
      <c r="G7" s="19"/>
    </row>
    <row r="8" ht="18.6" customHeight="1" spans="1:16" s="21" customFormat="1" x14ac:dyDescent="0.25">
      <c r="A8" s="22" t="s">
        <v>11</v>
      </c>
      <c r="B8" s="23" t="s">
        <v>12</v>
      </c>
      <c r="C8" s="24" t="s">
        <v>13</v>
      </c>
      <c r="D8" s="25" t="str">
        <f>+"DISCH ( "&amp;+D38+E38+F38+G38+D39+E39+F39+G39&amp;" )"</f>
        <v>DISCH ( 276 )</v>
      </c>
      <c r="E8" s="26"/>
      <c r="F8" s="26"/>
      <c r="G8" s="27"/>
      <c r="H8" s="25" t="str">
        <f>+"LOAD ( "&amp;H38+I38+J38+K38+H39+I39+J39+K39&amp;" )"</f>
        <v>LOAD ( 227 )</v>
      </c>
      <c r="I8" s="26"/>
      <c r="J8" s="26"/>
      <c r="K8" s="27"/>
      <c r="L8" s="25" t="str">
        <f>+"SHIFT (  "&amp;L38+M38+O38+L39+M39+O39&amp;" )"</f>
        <v>SHIFT (  0 )</v>
      </c>
      <c r="M8" s="26"/>
      <c r="N8" s="26"/>
      <c r="O8" s="27"/>
      <c r="P8" s="28"/>
    </row>
    <row r="9" ht="18.6" customHeight="1" spans="1:16" x14ac:dyDescent="0.25">
      <c r="A9" s="29"/>
      <c r="B9" s="30"/>
      <c r="C9" s="31" t="s">
        <v>14</v>
      </c>
      <c r="D9" s="32" t="s">
        <v>15</v>
      </c>
      <c r="E9" s="33" t="s">
        <v>16</v>
      </c>
      <c r="F9" s="34" t="s">
        <v>17</v>
      </c>
      <c r="G9" s="35" t="s">
        <v>18</v>
      </c>
      <c r="H9" s="36" t="s">
        <v>15</v>
      </c>
      <c r="I9" s="33" t="s">
        <v>16</v>
      </c>
      <c r="J9" s="34" t="s">
        <v>17</v>
      </c>
      <c r="K9" s="34" t="s">
        <v>18</v>
      </c>
      <c r="L9" s="36" t="s">
        <v>15</v>
      </c>
      <c r="M9" s="33" t="s">
        <v>16</v>
      </c>
      <c r="N9" s="34" t="s">
        <v>19</v>
      </c>
      <c r="O9" s="35" t="s">
        <v>18</v>
      </c>
      <c r="P9" s="28"/>
    </row>
    <row r="10" ht="16.5" customHeight="1" spans="1:16" s="37" customFormat="1" x14ac:dyDescent="0.25">
      <c r="A10" s="38" t="s">
        <v>20</v>
      </c>
      <c r="B10" s="39" t="s">
        <v>21</v>
      </c>
      <c r="C10" s="40" t="s">
        <v>22</v>
      </c>
      <c r="D10" s="41"/>
      <c r="E10" s="42"/>
      <c r="F10" s="43"/>
      <c r="G10" s="44"/>
      <c r="H10" s="41"/>
      <c r="I10" s="42"/>
      <c r="J10" s="43"/>
      <c r="K10" s="43"/>
      <c r="L10" s="41"/>
      <c r="M10" s="42"/>
      <c r="N10" s="42"/>
      <c r="O10" s="45"/>
      <c r="P10" s="46"/>
    </row>
    <row r="11" ht="16.5" customHeight="1" spans="1:16" s="37" customFormat="1" x14ac:dyDescent="0.25">
      <c r="A11" s="47"/>
      <c r="B11" s="48"/>
      <c r="C11" s="49" t="s">
        <v>23</v>
      </c>
      <c r="D11" s="50"/>
      <c r="E11" s="51"/>
      <c r="F11" s="52"/>
      <c r="G11" s="53"/>
      <c r="H11" s="50"/>
      <c r="I11" s="51"/>
      <c r="J11" s="52"/>
      <c r="K11" s="52"/>
      <c r="L11" s="50"/>
      <c r="M11" s="51"/>
      <c r="N11" s="51"/>
      <c r="O11" s="54"/>
      <c r="P11" s="46"/>
    </row>
    <row r="12" ht="16.5" customHeight="1" spans="1:16" s="37" customFormat="1" x14ac:dyDescent="0.25">
      <c r="A12" s="47"/>
      <c r="B12" s="48" t="s">
        <v>24</v>
      </c>
      <c r="C12" s="49" t="s">
        <v>22</v>
      </c>
      <c r="D12" s="50"/>
      <c r="E12" s="51"/>
      <c r="F12" s="52"/>
      <c r="G12" s="53"/>
      <c r="H12" s="50"/>
      <c r="I12" s="51"/>
      <c r="J12" s="52"/>
      <c r="K12" s="52"/>
      <c r="L12" s="50"/>
      <c r="M12" s="51"/>
      <c r="N12" s="51"/>
      <c r="O12" s="54"/>
      <c r="P12" s="46"/>
    </row>
    <row r="13" ht="16.5" customHeight="1" spans="1:16" s="37" customFormat="1" x14ac:dyDescent="0.25">
      <c r="A13" s="47"/>
      <c r="B13" s="55"/>
      <c r="C13" s="56" t="s">
        <v>23</v>
      </c>
      <c r="D13" s="57"/>
      <c r="E13" s="58"/>
      <c r="F13" s="59"/>
      <c r="G13" s="60"/>
      <c r="H13" s="57"/>
      <c r="I13" s="58"/>
      <c r="J13" s="59"/>
      <c r="K13" s="59"/>
      <c r="L13" s="57"/>
      <c r="M13" s="58"/>
      <c r="N13" s="58"/>
      <c r="O13" s="61"/>
      <c r="P13" s="46"/>
    </row>
    <row r="14" ht="16.5" customHeight="1" spans="1:16" s="37" customFormat="1" x14ac:dyDescent="0.25">
      <c r="A14" s="47"/>
      <c r="B14" s="62" t="s">
        <v>25</v>
      </c>
      <c r="C14" s="63" t="s">
        <v>22</v>
      </c>
      <c r="D14" s="64"/>
      <c r="E14" s="65"/>
      <c r="F14" s="66"/>
      <c r="G14" s="67"/>
      <c r="H14" s="64"/>
      <c r="I14" s="65"/>
      <c r="J14" s="66"/>
      <c r="K14" s="67"/>
      <c r="L14" s="64"/>
      <c r="M14" s="65"/>
      <c r="N14" s="65"/>
      <c r="O14" s="68"/>
      <c r="P14" s="46"/>
    </row>
    <row r="15" ht="16.5" customHeight="1" spans="1:16" s="37" customFormat="1" x14ac:dyDescent="0.25">
      <c r="A15" s="47"/>
      <c r="B15" s="48"/>
      <c r="C15" s="49" t="s">
        <v>23</v>
      </c>
      <c r="D15" s="50"/>
      <c r="E15" s="51"/>
      <c r="F15" s="52"/>
      <c r="G15" s="53"/>
      <c r="H15" s="50"/>
      <c r="I15" s="51"/>
      <c r="J15" s="52"/>
      <c r="K15" s="53"/>
      <c r="L15" s="50"/>
      <c r="M15" s="51"/>
      <c r="N15" s="51"/>
      <c r="O15" s="54"/>
      <c r="P15" s="46"/>
    </row>
    <row r="16" ht="16.5" customHeight="1" spans="1:16" s="37" customFormat="1" x14ac:dyDescent="0.25">
      <c r="A16" s="47"/>
      <c r="B16" s="69" t="s">
        <v>26</v>
      </c>
      <c r="C16" s="49" t="s">
        <v>22</v>
      </c>
      <c r="D16" s="50"/>
      <c r="E16" s="51"/>
      <c r="F16" s="52"/>
      <c r="G16" s="53"/>
      <c r="H16" s="50"/>
      <c r="I16" s="51"/>
      <c r="J16" s="52"/>
      <c r="K16" s="53"/>
      <c r="L16" s="50"/>
      <c r="M16" s="51"/>
      <c r="N16" s="51"/>
      <c r="O16" s="54"/>
      <c r="P16" s="46"/>
    </row>
    <row r="17" ht="16.5" customHeight="1" spans="1:16" s="37" customFormat="1" x14ac:dyDescent="0.25">
      <c r="A17" s="47"/>
      <c r="B17" s="55"/>
      <c r="C17" s="56" t="s">
        <v>23</v>
      </c>
      <c r="D17" s="57"/>
      <c r="E17" s="58"/>
      <c r="F17" s="59"/>
      <c r="G17" s="60"/>
      <c r="H17" s="57"/>
      <c r="I17" s="58"/>
      <c r="J17" s="59"/>
      <c r="K17" s="60"/>
      <c r="L17" s="57"/>
      <c r="M17" s="58"/>
      <c r="N17" s="58"/>
      <c r="O17" s="61"/>
      <c r="P17" s="46"/>
    </row>
    <row r="18" ht="22.15" customHeight="1" spans="1:16" s="37" customFormat="1" x14ac:dyDescent="0.25">
      <c r="A18" s="47"/>
      <c r="B18" s="70" t="s">
        <v>27</v>
      </c>
      <c r="C18" s="71" t="s">
        <v>22</v>
      </c>
      <c r="D18" s="72"/>
      <c r="E18" s="73"/>
      <c r="F18" s="74"/>
      <c r="G18" s="75"/>
      <c r="H18" s="72"/>
      <c r="I18" s="73"/>
      <c r="J18" s="74"/>
      <c r="K18" s="75"/>
      <c r="L18" s="72"/>
      <c r="M18" s="73"/>
      <c r="N18" s="73"/>
      <c r="O18" s="76"/>
      <c r="P18" s="46"/>
    </row>
    <row r="19" ht="16.5" customHeight="1" spans="1:16" s="37" customFormat="1" x14ac:dyDescent="0.25">
      <c r="A19" s="47"/>
      <c r="B19" s="48"/>
      <c r="C19" s="49" t="s">
        <v>23</v>
      </c>
      <c r="D19" s="50"/>
      <c r="E19" s="51"/>
      <c r="F19" s="52"/>
      <c r="G19" s="53"/>
      <c r="H19" s="50"/>
      <c r="I19" s="51"/>
      <c r="J19" s="52"/>
      <c r="K19" s="53"/>
      <c r="L19" s="50"/>
      <c r="M19" s="51"/>
      <c r="N19" s="51"/>
      <c r="O19" s="54"/>
      <c r="P19" s="46"/>
    </row>
    <row r="20" ht="16.5" customHeight="1" spans="1:16" s="37" customFormat="1" x14ac:dyDescent="0.25">
      <c r="A20" s="47"/>
      <c r="B20" s="70" t="s">
        <v>28</v>
      </c>
      <c r="C20" s="71" t="s">
        <v>22</v>
      </c>
      <c r="D20" s="72"/>
      <c r="E20" s="73"/>
      <c r="F20" s="74"/>
      <c r="G20" s="75"/>
      <c r="H20" s="72"/>
      <c r="I20" s="73"/>
      <c r="J20" s="74"/>
      <c r="K20" s="75"/>
      <c r="L20" s="72"/>
      <c r="M20" s="73"/>
      <c r="N20" s="73"/>
      <c r="O20" s="76"/>
      <c r="P20" s="46"/>
    </row>
    <row r="21" ht="16.5" customHeight="1" spans="1:16" s="37" customFormat="1" x14ac:dyDescent="0.25">
      <c r="A21" s="47"/>
      <c r="B21" s="77"/>
      <c r="C21" s="78" t="s">
        <v>23</v>
      </c>
      <c r="D21" s="79"/>
      <c r="E21" s="80"/>
      <c r="F21" s="81"/>
      <c r="G21" s="82"/>
      <c r="H21" s="79"/>
      <c r="I21" s="80"/>
      <c r="J21" s="81"/>
      <c r="K21" s="82"/>
      <c r="L21" s="79"/>
      <c r="M21" s="80"/>
      <c r="N21" s="80"/>
      <c r="O21" s="83"/>
      <c r="P21" s="46"/>
    </row>
    <row r="22" ht="16.5" customHeight="1" spans="1:16" s="37" customFormat="1" x14ac:dyDescent="0.25">
      <c r="A22" s="47"/>
      <c r="B22" s="84" t="s">
        <v>29</v>
      </c>
      <c r="C22" s="71" t="s">
        <v>22</v>
      </c>
      <c r="D22" s="85">
        <f>+D10+D12+D18+D20+D14+D16</f>
        <v>83</v>
      </c>
      <c r="E22" s="86">
        <f t="shared" ref="E22:O22" si="0">+E10+E12+E18+E20+E14+E16</f>
        <v>2</v>
      </c>
      <c r="F22" s="86">
        <f t="shared" si="0"/>
        <v>147</v>
      </c>
      <c r="G22" s="87">
        <f t="shared" si="0"/>
        <v>0</v>
      </c>
      <c r="H22" s="85">
        <f t="shared" si="0"/>
        <v>21</v>
      </c>
      <c r="I22" s="86">
        <f t="shared" si="0"/>
        <v>0</v>
      </c>
      <c r="J22" s="86">
        <f t="shared" si="0"/>
        <v>122</v>
      </c>
      <c r="K22" s="87">
        <f t="shared" si="0"/>
        <v>0</v>
      </c>
      <c r="L22" s="85">
        <f t="shared" si="0"/>
        <v>0</v>
      </c>
      <c r="M22" s="86">
        <f t="shared" si="0"/>
        <v>0</v>
      </c>
      <c r="N22" s="86">
        <f t="shared" si="0"/>
        <v>0</v>
      </c>
      <c r="O22" s="88">
        <f t="shared" si="0"/>
        <v>0</v>
      </c>
      <c r="P22" s="89"/>
    </row>
    <row r="23" ht="16.5" customHeight="1" spans="1:16" s="37" customFormat="1" x14ac:dyDescent="0.25">
      <c r="A23" s="90"/>
      <c r="B23" s="91"/>
      <c r="C23" s="92" t="s">
        <v>23</v>
      </c>
      <c r="D23" s="93">
        <f>+D11+D13+D19+D21+D15+D17</f>
        <v>0</v>
      </c>
      <c r="E23" s="94">
        <f t="shared" ref="E23:O23" si="1">+E11+E13+E19+E21+E15+E17</f>
        <v>0</v>
      </c>
      <c r="F23" s="94">
        <f t="shared" si="1"/>
        <v>0</v>
      </c>
      <c r="G23" s="95">
        <f t="shared" si="1"/>
        <v>0</v>
      </c>
      <c r="H23" s="93">
        <f t="shared" si="1"/>
        <v>36</v>
      </c>
      <c r="I23" s="94">
        <f t="shared" si="1"/>
        <v>1</v>
      </c>
      <c r="J23" s="94">
        <f t="shared" si="1"/>
        <v>10</v>
      </c>
      <c r="K23" s="95">
        <f t="shared" si="1"/>
        <v>0</v>
      </c>
      <c r="L23" s="93">
        <f t="shared" si="1"/>
        <v>0</v>
      </c>
      <c r="M23" s="94">
        <f t="shared" si="1"/>
        <v>0</v>
      </c>
      <c r="N23" s="94">
        <f t="shared" si="1"/>
        <v>0</v>
      </c>
      <c r="O23" s="96">
        <f t="shared" si="1"/>
        <v>0</v>
      </c>
      <c r="P23" s="89"/>
    </row>
    <row r="24" ht="16.5" customHeight="1" spans="1:16" s="37" customFormat="1" x14ac:dyDescent="0.25">
      <c r="A24" s="97" t="s">
        <v>30</v>
      </c>
      <c r="B24" s="39" t="s">
        <v>21</v>
      </c>
      <c r="C24" s="71" t="s">
        <v>22</v>
      </c>
      <c r="D24" s="72"/>
      <c r="E24" s="73"/>
      <c r="F24" s="74"/>
      <c r="G24" s="44"/>
      <c r="H24" s="72"/>
      <c r="I24" s="73"/>
      <c r="J24" s="74"/>
      <c r="K24" s="44"/>
      <c r="L24" s="41"/>
      <c r="M24" s="42"/>
      <c r="N24" s="42"/>
      <c r="O24" s="45"/>
      <c r="P24" s="89"/>
    </row>
    <row r="25" ht="16.5" customHeight="1" spans="1:16" s="37" customFormat="1" x14ac:dyDescent="0.25">
      <c r="A25" s="98"/>
      <c r="B25" s="48"/>
      <c r="C25" s="49" t="s">
        <v>23</v>
      </c>
      <c r="D25" s="50"/>
      <c r="E25" s="51"/>
      <c r="F25" s="52"/>
      <c r="G25" s="53"/>
      <c r="H25" s="50"/>
      <c r="I25" s="51"/>
      <c r="J25" s="52"/>
      <c r="K25" s="53"/>
      <c r="L25" s="50"/>
      <c r="M25" s="51"/>
      <c r="N25" s="51"/>
      <c r="O25" s="54"/>
      <c r="P25" s="89"/>
    </row>
    <row r="26" ht="16.5" customHeight="1" spans="1:16" s="37" customFormat="1" x14ac:dyDescent="0.25">
      <c r="A26" s="98"/>
      <c r="B26" s="48" t="s">
        <v>24</v>
      </c>
      <c r="C26" s="49" t="s">
        <v>22</v>
      </c>
      <c r="D26" s="50"/>
      <c r="E26" s="51"/>
      <c r="F26" s="52"/>
      <c r="G26" s="53"/>
      <c r="H26" s="50"/>
      <c r="I26" s="51"/>
      <c r="J26" s="52"/>
      <c r="K26" s="53"/>
      <c r="L26" s="50"/>
      <c r="M26" s="51"/>
      <c r="N26" s="51"/>
      <c r="O26" s="54"/>
      <c r="P26" s="89"/>
    </row>
    <row r="27" ht="16.5" customHeight="1" spans="1:16" s="37" customFormat="1" x14ac:dyDescent="0.25">
      <c r="A27" s="98"/>
      <c r="B27" s="77"/>
      <c r="C27" s="78" t="s">
        <v>23</v>
      </c>
      <c r="D27" s="79"/>
      <c r="E27" s="80"/>
      <c r="F27" s="81"/>
      <c r="G27" s="82"/>
      <c r="H27" s="79"/>
      <c r="I27" s="80"/>
      <c r="J27" s="81"/>
      <c r="K27" s="82"/>
      <c r="L27" s="79"/>
      <c r="M27" s="80"/>
      <c r="N27" s="80"/>
      <c r="O27" s="83"/>
      <c r="P27" s="89"/>
    </row>
    <row r="28" ht="16.5" customHeight="1" spans="1:16" s="37" customFormat="1" x14ac:dyDescent="0.25">
      <c r="A28" s="98"/>
      <c r="B28" s="84" t="s">
        <v>29</v>
      </c>
      <c r="C28" s="71" t="s">
        <v>22</v>
      </c>
      <c r="D28" s="99">
        <f>+D24+D26</f>
        <v>20</v>
      </c>
      <c r="E28" s="86">
        <f t="shared" ref="E28:O28" si="2">+E24+E26</f>
        <v>0</v>
      </c>
      <c r="F28" s="87">
        <f t="shared" si="2"/>
        <v>24</v>
      </c>
      <c r="G28" s="100">
        <f t="shared" si="2"/>
        <v>0</v>
      </c>
      <c r="H28" s="99">
        <f t="shared" si="2"/>
        <v>6</v>
      </c>
      <c r="I28" s="101">
        <f t="shared" si="2"/>
        <v>0</v>
      </c>
      <c r="J28" s="101">
        <f t="shared" si="2"/>
        <v>31</v>
      </c>
      <c r="K28" s="100">
        <f t="shared" si="2"/>
        <v>0</v>
      </c>
      <c r="L28" s="99">
        <f t="shared" si="2"/>
        <v>0</v>
      </c>
      <c r="M28" s="101">
        <f t="shared" si="2"/>
        <v>0</v>
      </c>
      <c r="N28" s="101">
        <f t="shared" si="2"/>
        <v>0</v>
      </c>
      <c r="O28" s="100">
        <f t="shared" si="2"/>
        <v>0</v>
      </c>
      <c r="P28" s="89"/>
    </row>
    <row r="29" ht="16.5" customHeight="1" spans="1:16" s="37" customFormat="1" x14ac:dyDescent="0.25">
      <c r="A29" s="102"/>
      <c r="B29" s="91"/>
      <c r="C29" s="92" t="s">
        <v>23</v>
      </c>
      <c r="D29" s="103">
        <f>+D25+D27</f>
        <v>0</v>
      </c>
      <c r="E29" s="94">
        <f t="shared" ref="E29:O29" si="3">+E25+E27</f>
        <v>0</v>
      </c>
      <c r="F29" s="95">
        <f t="shared" si="3"/>
        <v>0</v>
      </c>
      <c r="G29" s="104">
        <f t="shared" si="3"/>
        <v>0</v>
      </c>
      <c r="H29" s="103">
        <f t="shared" si="3"/>
        <v>0</v>
      </c>
      <c r="I29" s="105">
        <f t="shared" si="3"/>
        <v>0</v>
      </c>
      <c r="J29" s="105">
        <f t="shared" si="3"/>
        <v>0</v>
      </c>
      <c r="K29" s="104">
        <f t="shared" si="3"/>
        <v>0</v>
      </c>
      <c r="L29" s="103">
        <f t="shared" si="3"/>
        <v>0</v>
      </c>
      <c r="M29" s="105">
        <f t="shared" si="3"/>
        <v>0</v>
      </c>
      <c r="N29" s="105">
        <f t="shared" si="3"/>
        <v>0</v>
      </c>
      <c r="O29" s="104">
        <f t="shared" si="3"/>
        <v>0</v>
      </c>
      <c r="P29" s="89"/>
    </row>
    <row r="30" ht="16.5" customHeight="1" spans="1:16" s="37" customFormat="1" x14ac:dyDescent="0.25">
      <c r="A30" s="38"/>
      <c r="B30" s="39" t="s">
        <v>21</v>
      </c>
      <c r="C30" s="40" t="s">
        <v>22</v>
      </c>
      <c r="D30" s="106"/>
      <c r="E30" s="107"/>
      <c r="F30" s="108"/>
      <c r="G30" s="109"/>
      <c r="H30" s="106"/>
      <c r="I30" s="107"/>
      <c r="J30" s="108"/>
      <c r="K30" s="109"/>
      <c r="L30" s="106"/>
      <c r="M30" s="107"/>
      <c r="N30" s="110"/>
      <c r="O30" s="111"/>
      <c r="P30" s="89"/>
    </row>
    <row r="31" ht="16.5" customHeight="1" spans="1:16" s="37" customFormat="1" x14ac:dyDescent="0.25">
      <c r="A31" s="47"/>
      <c r="B31" s="48"/>
      <c r="C31" s="112" t="s">
        <v>23</v>
      </c>
      <c r="D31" s="113"/>
      <c r="E31" s="114"/>
      <c r="F31" s="89"/>
      <c r="G31" s="115"/>
      <c r="H31" s="113"/>
      <c r="I31" s="114"/>
      <c r="J31" s="89"/>
      <c r="K31" s="115"/>
      <c r="L31" s="113"/>
      <c r="M31" s="114"/>
      <c r="N31" s="116"/>
      <c r="O31" s="117"/>
      <c r="P31" s="89"/>
    </row>
    <row r="32" ht="16.5" customHeight="1" spans="1:16" s="37" customFormat="1" x14ac:dyDescent="0.25">
      <c r="A32" s="47"/>
      <c r="B32" s="48" t="s">
        <v>24</v>
      </c>
      <c r="C32" s="118" t="s">
        <v>22</v>
      </c>
      <c r="D32" s="119"/>
      <c r="E32" s="120"/>
      <c r="F32" s="121"/>
      <c r="G32" s="122"/>
      <c r="H32" s="119"/>
      <c r="I32" s="120"/>
      <c r="J32" s="121"/>
      <c r="K32" s="122"/>
      <c r="L32" s="119"/>
      <c r="M32" s="120"/>
      <c r="N32" s="123"/>
      <c r="O32" s="124"/>
      <c r="P32" s="89"/>
    </row>
    <row r="33" ht="16.5" customHeight="1" spans="1:16" s="37" customFormat="1" x14ac:dyDescent="0.25">
      <c r="A33" s="47"/>
      <c r="B33" s="77"/>
      <c r="C33" s="125" t="s">
        <v>23</v>
      </c>
      <c r="D33" s="126"/>
      <c r="E33" s="127"/>
      <c r="F33" s="128"/>
      <c r="G33" s="129"/>
      <c r="H33" s="126"/>
      <c r="I33" s="127"/>
      <c r="J33" s="128"/>
      <c r="K33" s="129"/>
      <c r="L33" s="126"/>
      <c r="M33" s="127"/>
      <c r="N33" s="130"/>
      <c r="O33" s="131"/>
      <c r="P33" s="89"/>
    </row>
    <row r="34" ht="16.5" customHeight="1" spans="1:16" s="37" customFormat="1" x14ac:dyDescent="0.25">
      <c r="A34" s="47"/>
      <c r="B34" s="84" t="s">
        <v>29</v>
      </c>
      <c r="C34" s="71" t="s">
        <v>22</v>
      </c>
      <c r="D34" s="99">
        <f>+D30+D32</f>
        <v>0</v>
      </c>
      <c r="E34" s="101">
        <f t="shared" ref="E34:O34" si="4">+E30+E32</f>
        <v>0</v>
      </c>
      <c r="F34" s="101">
        <f t="shared" si="4"/>
        <v>0</v>
      </c>
      <c r="G34" s="100">
        <f t="shared" si="4"/>
        <v>0</v>
      </c>
      <c r="H34" s="99">
        <f t="shared" si="4"/>
        <v>0</v>
      </c>
      <c r="I34" s="101">
        <f t="shared" si="4"/>
        <v>0</v>
      </c>
      <c r="J34" s="101">
        <f t="shared" si="4"/>
        <v>0</v>
      </c>
      <c r="K34" s="100">
        <f t="shared" si="4"/>
        <v>0</v>
      </c>
      <c r="L34" s="99">
        <f t="shared" si="4"/>
        <v>0</v>
      </c>
      <c r="M34" s="101">
        <f t="shared" si="4"/>
        <v>0</v>
      </c>
      <c r="N34" s="86">
        <f t="shared" si="4"/>
        <v>0</v>
      </c>
      <c r="O34" s="100">
        <f t="shared" si="4"/>
        <v>0</v>
      </c>
      <c r="P34" s="89"/>
    </row>
    <row r="35" ht="16.5" customHeight="1" spans="1:16" s="37" customFormat="1" x14ac:dyDescent="0.25">
      <c r="A35" s="90"/>
      <c r="B35" s="91"/>
      <c r="C35" s="92" t="s">
        <v>23</v>
      </c>
      <c r="D35" s="132">
        <f>+D31+D33</f>
        <v>0</v>
      </c>
      <c r="E35" s="133">
        <f t="shared" ref="E35:O35" si="5">+E31+E33</f>
        <v>0</v>
      </c>
      <c r="F35" s="133">
        <f t="shared" si="5"/>
        <v>0</v>
      </c>
      <c r="G35" s="134">
        <f t="shared" si="5"/>
        <v>0</v>
      </c>
      <c r="H35" s="132">
        <f t="shared" si="5"/>
        <v>0</v>
      </c>
      <c r="I35" s="133">
        <f t="shared" si="5"/>
        <v>0</v>
      </c>
      <c r="J35" s="133">
        <f t="shared" si="5"/>
        <v>0</v>
      </c>
      <c r="K35" s="134">
        <f t="shared" si="5"/>
        <v>0</v>
      </c>
      <c r="L35" s="132">
        <f t="shared" si="5"/>
        <v>0</v>
      </c>
      <c r="M35" s="133">
        <f t="shared" si="5"/>
        <v>0</v>
      </c>
      <c r="N35" s="135">
        <f t="shared" si="5"/>
        <v>0</v>
      </c>
      <c r="O35" s="134">
        <f t="shared" si="5"/>
        <v>0</v>
      </c>
      <c r="P35" s="89"/>
    </row>
    <row r="36" ht="16.5" customHeight="1" hidden="1" spans="1:16" s="37" customFormat="1" x14ac:dyDescent="0.25">
      <c r="A36" s="47"/>
      <c r="B36" s="84" t="s">
        <v>21</v>
      </c>
      <c r="C36" s="71" t="s">
        <v>22</v>
      </c>
      <c r="D36" s="136"/>
      <c r="E36" s="137"/>
      <c r="F36" s="138"/>
      <c r="G36" s="139"/>
      <c r="H36" s="136"/>
      <c r="I36" s="137"/>
      <c r="J36" s="138"/>
      <c r="K36" s="139"/>
      <c r="L36" s="136"/>
      <c r="M36" s="137"/>
      <c r="N36" s="140"/>
      <c r="O36" s="141"/>
      <c r="P36" s="89"/>
    </row>
    <row r="37" ht="16.5" customHeight="1" hidden="1" spans="1:16" s="37" customFormat="1" x14ac:dyDescent="0.25">
      <c r="A37" s="47"/>
      <c r="B37" s="48"/>
      <c r="C37" s="112" t="s">
        <v>23</v>
      </c>
      <c r="D37" s="113"/>
      <c r="E37" s="114"/>
      <c r="F37" s="89"/>
      <c r="G37" s="115"/>
      <c r="H37" s="113"/>
      <c r="I37" s="114"/>
      <c r="J37" s="89"/>
      <c r="K37" s="115"/>
      <c r="L37" s="113"/>
      <c r="M37" s="114"/>
      <c r="N37" s="116"/>
      <c r="O37" s="117"/>
      <c r="P37" s="89"/>
    </row>
    <row r="38" ht="16.5" customHeight="1" spans="1:16" s="37" customFormat="1" x14ac:dyDescent="0.25">
      <c r="A38" s="142" t="s">
        <v>31</v>
      </c>
      <c r="B38" s="143"/>
      <c r="C38" s="144" t="s">
        <v>22</v>
      </c>
      <c r="D38" s="145">
        <f>+D22+D28+D34</f>
        <v>103</v>
      </c>
      <c r="E38" s="146">
        <f t="shared" ref="E38:O38" si="6">+E22+E28+E34</f>
        <v>2</v>
      </c>
      <c r="F38" s="146">
        <f t="shared" si="6"/>
        <v>171</v>
      </c>
      <c r="G38" s="147">
        <f t="shared" si="6"/>
        <v>0</v>
      </c>
      <c r="H38" s="145">
        <f t="shared" si="6"/>
        <v>27</v>
      </c>
      <c r="I38" s="146">
        <f t="shared" si="6"/>
        <v>0</v>
      </c>
      <c r="J38" s="146">
        <f t="shared" si="6"/>
        <v>153</v>
      </c>
      <c r="K38" s="147">
        <f t="shared" si="6"/>
        <v>0</v>
      </c>
      <c r="L38" s="145">
        <f t="shared" si="6"/>
        <v>0</v>
      </c>
      <c r="M38" s="146">
        <f t="shared" si="6"/>
        <v>0</v>
      </c>
      <c r="N38" s="146">
        <f t="shared" si="6"/>
        <v>0</v>
      </c>
      <c r="O38" s="148">
        <f t="shared" si="6"/>
        <v>0</v>
      </c>
      <c r="P38" s="89"/>
    </row>
    <row r="39" ht="16.5" customHeight="1" spans="1:16" s="37" customFormat="1" x14ac:dyDescent="0.25">
      <c r="A39" s="149"/>
      <c r="B39" s="150"/>
      <c r="C39" s="151" t="s">
        <v>23</v>
      </c>
      <c r="D39" s="152">
        <f>+D23+D29+D35</f>
        <v>0</v>
      </c>
      <c r="E39" s="153">
        <f t="shared" ref="E39:O39" si="7">+E23+E29+E35</f>
        <v>0</v>
      </c>
      <c r="F39" s="153">
        <f t="shared" si="7"/>
        <v>0</v>
      </c>
      <c r="G39" s="154">
        <f t="shared" si="7"/>
        <v>0</v>
      </c>
      <c r="H39" s="152">
        <f t="shared" si="7"/>
        <v>36</v>
      </c>
      <c r="I39" s="153">
        <f t="shared" si="7"/>
        <v>1</v>
      </c>
      <c r="J39" s="153">
        <f t="shared" si="7"/>
        <v>10</v>
      </c>
      <c r="K39" s="154">
        <f t="shared" si="7"/>
        <v>0</v>
      </c>
      <c r="L39" s="152">
        <f t="shared" si="7"/>
        <v>0</v>
      </c>
      <c r="M39" s="153">
        <f t="shared" si="7"/>
        <v>0</v>
      </c>
      <c r="N39" s="153">
        <f t="shared" si="7"/>
        <v>0</v>
      </c>
      <c r="O39" s="155">
        <f t="shared" si="7"/>
        <v>0</v>
      </c>
      <c r="P39" s="89"/>
    </row>
    <row r="40" ht="17.1" customHeight="1" spans="1:16" x14ac:dyDescent="0.25">
      <c r="A40" s="156"/>
      <c r="B40" s="157"/>
      <c r="C40" s="2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9"/>
      <c r="P40" s="158"/>
    </row>
    <row r="41" ht="17.1" customHeight="1" spans="1:16" x14ac:dyDescent="0.25">
      <c r="A41" s="160" t="s">
        <v>32</v>
      </c>
      <c r="B41" s="161"/>
      <c r="C41" s="161"/>
      <c r="D41" s="161"/>
      <c r="E41" s="161"/>
      <c r="F41" s="161"/>
      <c r="G41" s="162"/>
      <c r="H41" s="163" t="s">
        <v>33</v>
      </c>
      <c r="I41" s="164"/>
      <c r="J41" s="164"/>
      <c r="K41" s="164"/>
      <c r="L41" s="164"/>
      <c r="M41" s="164"/>
      <c r="N41" s="164"/>
      <c r="O41" s="165"/>
      <c r="P41" s="166"/>
    </row>
    <row r="42" ht="18" customHeight="1" spans="1:16" x14ac:dyDescent="0.25">
      <c r="A42" s="167"/>
      <c r="B42" s="168"/>
      <c r="C42" s="168"/>
      <c r="D42" s="168"/>
      <c r="E42" s="168"/>
      <c r="F42" s="168"/>
      <c r="G42" s="169"/>
      <c r="H42" s="170"/>
      <c r="I42" s="171"/>
      <c r="J42" s="171"/>
      <c r="K42" s="171"/>
      <c r="L42" s="171"/>
      <c r="M42" s="171"/>
      <c r="N42" s="171"/>
      <c r="O42" s="172"/>
      <c r="P42" s="173"/>
    </row>
    <row r="43" ht="18" customHeight="1" hidden="1" spans="1:16" x14ac:dyDescent="0.25">
      <c r="A43" s="174"/>
      <c r="B43" s="175"/>
      <c r="C43" s="175"/>
      <c r="D43" s="175"/>
      <c r="E43" s="175"/>
      <c r="F43" s="175"/>
      <c r="G43" s="176"/>
      <c r="H43" s="177"/>
      <c r="I43" s="178"/>
      <c r="J43" s="178"/>
      <c r="K43" s="178"/>
      <c r="L43" s="178"/>
      <c r="M43" s="178"/>
      <c r="N43" s="178"/>
      <c r="O43" s="179"/>
      <c r="P43" s="173"/>
    </row>
    <row r="44" ht="18" customHeight="1" spans="1:16" x14ac:dyDescent="0.25">
      <c r="A44" s="177"/>
      <c r="B44" s="178"/>
      <c r="C44" s="178"/>
      <c r="D44" s="178"/>
      <c r="E44" s="178"/>
      <c r="F44" s="178"/>
      <c r="G44" s="179"/>
      <c r="H44" s="177"/>
      <c r="I44" s="178"/>
      <c r="J44" s="178"/>
      <c r="K44" s="178"/>
      <c r="L44" s="178"/>
      <c r="M44" s="178"/>
      <c r="N44" s="178"/>
      <c r="O44" s="179"/>
      <c r="P44" s="178"/>
    </row>
    <row r="45" ht="18" customHeight="1" spans="1:16" x14ac:dyDescent="0.25">
      <c r="A45" s="180"/>
      <c r="B45" s="181"/>
      <c r="C45" s="181"/>
      <c r="D45" s="181"/>
      <c r="E45" s="181"/>
      <c r="F45" s="181"/>
      <c r="G45" s="182"/>
      <c r="H45" s="180"/>
      <c r="I45" s="181"/>
      <c r="J45" s="181"/>
      <c r="K45" s="181"/>
      <c r="L45" s="181"/>
      <c r="M45" s="181"/>
      <c r="N45" s="181"/>
      <c r="O45" s="182"/>
      <c r="P45" s="178"/>
    </row>
    <row r="46" ht="12" customHeight="1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2" customHeight="1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2" customHeight="1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2" customHeight="1" spans="1:15" x14ac:dyDescent="0.25">
      <c r="A49" s="183"/>
      <c r="B49" s="183"/>
      <c r="C49" s="183"/>
      <c r="D49" s="184"/>
      <c r="E49" s="1"/>
      <c r="F49" s="1"/>
      <c r="G49" s="1"/>
      <c r="H49" s="1"/>
      <c r="I49" s="1"/>
      <c r="J49" s="183"/>
      <c r="K49" s="183"/>
      <c r="L49" s="183"/>
      <c r="M49" s="183"/>
      <c r="N49" s="183"/>
      <c r="O49" s="183"/>
    </row>
    <row r="50" ht="19.5" customHeight="1" spans="1:16" x14ac:dyDescent="0.25">
      <c r="A50" s="185" t="s">
        <v>34</v>
      </c>
      <c r="B50" s="185"/>
      <c r="C50" s="185"/>
      <c r="D50" s="185"/>
      <c r="E50" s="186"/>
      <c r="F50" s="186"/>
      <c r="G50" s="186"/>
      <c r="H50" s="186"/>
      <c r="I50" s="1"/>
      <c r="J50" s="185" t="s">
        <v>35</v>
      </c>
      <c r="K50" s="185"/>
      <c r="L50" s="185"/>
      <c r="M50" s="185"/>
      <c r="N50" s="185"/>
      <c r="O50" s="185"/>
      <c r="P50" s="187"/>
    </row>
  </sheetData>
  <sheetProtection selectLockedCells="1"/>
  <mergeCells count="43">
    <mergeCell ref="A1:O1"/>
    <mergeCell ref="C2:L2"/>
    <mergeCell ref="B4:D4"/>
    <mergeCell ref="E4:I4"/>
    <mergeCell ref="L4:O4"/>
    <mergeCell ref="G6:I6"/>
    <mergeCell ref="L6:O6"/>
    <mergeCell ref="D8:G8"/>
    <mergeCell ref="H8:K8"/>
    <mergeCell ref="L8:O8"/>
    <mergeCell ref="A8:A9"/>
    <mergeCell ref="B8:B9"/>
    <mergeCell ref="A10:A23"/>
    <mergeCell ref="B10:B11"/>
    <mergeCell ref="B12:B13"/>
    <mergeCell ref="B14:B15"/>
    <mergeCell ref="B16:B17"/>
    <mergeCell ref="B18:B19"/>
    <mergeCell ref="B20:B21"/>
    <mergeCell ref="B22:B23"/>
    <mergeCell ref="A24:A29"/>
    <mergeCell ref="B24:B25"/>
    <mergeCell ref="B26:B27"/>
    <mergeCell ref="B28:B29"/>
    <mergeCell ref="A30:A35"/>
    <mergeCell ref="B30:B31"/>
    <mergeCell ref="B32:B33"/>
    <mergeCell ref="B34:B35"/>
    <mergeCell ref="A36:A37"/>
    <mergeCell ref="B36:B37"/>
    <mergeCell ref="A38:B39"/>
    <mergeCell ref="A41:G41"/>
    <mergeCell ref="H41:O41"/>
    <mergeCell ref="A42:G42"/>
    <mergeCell ref="H42:O42"/>
    <mergeCell ref="A43:G43"/>
    <mergeCell ref="H43:O43"/>
    <mergeCell ref="A44:G44"/>
    <mergeCell ref="H44:O44"/>
    <mergeCell ref="A45:G45"/>
    <mergeCell ref="H45:O45"/>
    <mergeCell ref="A50:D50"/>
    <mergeCell ref="J50:O50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8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1"/>
  <sheetViews>
    <sheetView workbookViewId="0" zoomScale="80" zoomScaleNormal="80">
      <selection activeCell="L13" sqref="L13"/>
    </sheetView>
  </sheetViews>
  <sheetFormatPr defaultRowHeight="17.25" outlineLevelRow="0" outlineLevelCol="0" x14ac:dyDescent="0" defaultColWidth="9" customHeight="1"/>
  <cols>
    <col min="1" max="1" width="9.62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1" width="7.625" style="3" customWidth="1"/>
    <col min="12" max="14" width="8" style="3" customWidth="1"/>
    <col min="15" max="15" width="8.25" style="3" customWidth="1"/>
    <col min="16" max="18" width="8" style="3" customWidth="1"/>
    <col min="19" max="19" width="6.75" style="3" customWidth="1"/>
    <col min="20" max="16384" width="9" style="3" customWidth="1"/>
  </cols>
  <sheetData>
    <row r="1" ht="27" customHeight="1" spans="1:18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ht="12" customHeight="1" spans="1:18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</row>
    <row r="3" ht="5.25" customHeight="1" x14ac:dyDescent="0.25"/>
    <row r="4" ht="20.25" customHeight="1" spans="1:18" x14ac:dyDescent="0.25">
      <c r="A4" s="239" t="s">
        <v>74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</row>
    <row r="5" ht="4.5" customHeight="1" x14ac:dyDescent="0.25"/>
    <row r="6" spans="1:18" x14ac:dyDescent="0.25">
      <c r="A6" s="3" t="s">
        <v>75</v>
      </c>
      <c r="B6" s="8" t="str">
        <f>'Final Work'!B4</f>
        <v>TIAN HAI PING ZE</v>
      </c>
      <c r="I6" s="3" t="s">
        <v>76</v>
      </c>
      <c r="K6" s="8" t="str">
        <f>'OS-IN'!H6</f>
        <v>2022E</v>
      </c>
      <c r="L6" s="8"/>
      <c r="O6" s="8" t="s">
        <v>77</v>
      </c>
      <c r="P6" s="240">
        <f>'OS-IN'!L6</f>
        <v>46227</v>
      </c>
      <c r="Q6" s="238"/>
      <c r="R6" s="238"/>
    </row>
    <row r="7" ht="11.25" customHeight="1" x14ac:dyDescent="0.25"/>
    <row r="8" spans="1:18" x14ac:dyDescent="0.25">
      <c r="A8" s="8" t="s">
        <v>78</v>
      </c>
      <c r="B8" s="8" t="s">
        <v>37</v>
      </c>
      <c r="C8" s="8"/>
      <c r="D8" s="8"/>
      <c r="E8" s="8"/>
      <c r="I8" s="3" t="s">
        <v>79</v>
      </c>
      <c r="J8" s="238"/>
      <c r="K8" s="8" t="s">
        <v>42</v>
      </c>
      <c r="L8" s="8"/>
      <c r="O8" s="8" t="s">
        <v>80</v>
      </c>
      <c r="P8" s="238">
        <f>+'Final Work'!G6</f>
        <v>15</v>
      </c>
      <c r="Q8" s="238"/>
      <c r="R8" s="238"/>
    </row>
    <row r="9" ht="6.75" customHeight="1" x14ac:dyDescent="0.25"/>
    <row r="10" ht="12" customHeight="1" spans="1:18" x14ac:dyDescent="0.25">
      <c r="A10" s="246" t="s">
        <v>12</v>
      </c>
      <c r="B10" s="246" t="s">
        <v>60</v>
      </c>
      <c r="C10" s="297" t="s">
        <v>81</v>
      </c>
      <c r="D10" s="235"/>
      <c r="E10" s="298"/>
      <c r="F10" s="297" t="s">
        <v>82</v>
      </c>
      <c r="G10" s="235"/>
      <c r="H10" s="235"/>
      <c r="I10" s="298"/>
      <c r="J10" s="246" t="s">
        <v>83</v>
      </c>
      <c r="K10" s="246" t="s">
        <v>84</v>
      </c>
      <c r="L10" s="297" t="s">
        <v>85</v>
      </c>
      <c r="M10" s="235"/>
      <c r="N10" s="235"/>
      <c r="O10" s="235"/>
      <c r="P10" s="235"/>
      <c r="Q10" s="235"/>
      <c r="R10" s="298"/>
    </row>
    <row r="11" ht="12" customHeight="1" spans="1:18" x14ac:dyDescent="0.25">
      <c r="A11" s="251"/>
      <c r="B11" s="251"/>
      <c r="C11" s="299"/>
      <c r="D11" s="300"/>
      <c r="E11" s="301"/>
      <c r="F11" s="299"/>
      <c r="G11" s="300"/>
      <c r="H11" s="300"/>
      <c r="I11" s="301"/>
      <c r="J11" s="251" t="s">
        <v>69</v>
      </c>
      <c r="K11" s="251"/>
      <c r="L11" s="299"/>
      <c r="M11" s="300"/>
      <c r="N11" s="300"/>
      <c r="O11" s="300"/>
      <c r="P11" s="300"/>
      <c r="Q11" s="300"/>
      <c r="R11" s="301"/>
    </row>
    <row r="12" ht="21" customHeight="1" spans="1:18" x14ac:dyDescent="0.25">
      <c r="A12" s="302" t="s">
        <v>24</v>
      </c>
      <c r="B12" s="302" t="s">
        <v>20</v>
      </c>
      <c r="C12" s="303" t="s">
        <v>86</v>
      </c>
      <c r="D12" s="304"/>
      <c r="E12" s="305"/>
      <c r="F12" s="303" t="s">
        <v>87</v>
      </c>
      <c r="G12" s="304"/>
      <c r="H12" s="304"/>
      <c r="I12" s="305"/>
      <c r="J12" s="302">
        <v>1</v>
      </c>
      <c r="K12" s="302" t="s">
        <v>71</v>
      </c>
      <c r="L12" s="306" t="s">
        <v>88</v>
      </c>
      <c r="M12" s="307"/>
      <c r="N12" s="307"/>
      <c r="O12" s="307"/>
      <c r="P12" s="307"/>
      <c r="Q12" s="307"/>
      <c r="R12" s="308"/>
    </row>
    <row r="13" ht="21" customHeight="1" spans="1:18" x14ac:dyDescent="0.25">
      <c r="A13" s="309" t="s">
        <v>24</v>
      </c>
      <c r="B13" s="309" t="s">
        <v>20</v>
      </c>
      <c r="C13" s="310" t="s">
        <v>89</v>
      </c>
      <c r="D13" s="311"/>
      <c r="E13" s="312"/>
      <c r="F13" s="284" t="s">
        <v>87</v>
      </c>
      <c r="G13" s="313"/>
      <c r="H13" s="313"/>
      <c r="I13" s="285"/>
      <c r="J13" s="309">
        <v>1</v>
      </c>
      <c r="K13" s="309" t="s">
        <v>71</v>
      </c>
      <c r="L13" s="314" t="s">
        <v>90</v>
      </c>
      <c r="M13" s="315"/>
      <c r="N13" s="315"/>
      <c r="O13" s="315"/>
      <c r="P13" s="315"/>
      <c r="Q13" s="315"/>
      <c r="R13" s="316"/>
    </row>
    <row r="14" ht="21" customHeight="1" spans="1:18" x14ac:dyDescent="0.25">
      <c r="A14" s="309"/>
      <c r="B14" s="309"/>
      <c r="C14" s="310"/>
      <c r="D14" s="311"/>
      <c r="E14" s="312"/>
      <c r="F14" s="284"/>
      <c r="G14" s="313"/>
      <c r="H14" s="313"/>
      <c r="I14" s="285"/>
      <c r="J14" s="309"/>
      <c r="K14" s="309"/>
      <c r="L14" s="314"/>
      <c r="M14" s="315"/>
      <c r="N14" s="315"/>
      <c r="O14" s="315"/>
      <c r="P14" s="315"/>
      <c r="Q14" s="315"/>
      <c r="R14" s="316"/>
    </row>
    <row r="15" ht="21" customHeight="1" spans="1:18" x14ac:dyDescent="0.25">
      <c r="A15" s="309"/>
      <c r="B15" s="309"/>
      <c r="C15" s="310"/>
      <c r="D15" s="311"/>
      <c r="E15" s="312"/>
      <c r="F15" s="284"/>
      <c r="G15" s="313"/>
      <c r="H15" s="313"/>
      <c r="I15" s="285"/>
      <c r="J15" s="309"/>
      <c r="K15" s="309"/>
      <c r="L15" s="317"/>
      <c r="M15" s="318"/>
      <c r="N15" s="318"/>
      <c r="O15" s="318"/>
      <c r="P15" s="318"/>
      <c r="Q15" s="318"/>
      <c r="R15" s="319"/>
    </row>
    <row r="16" ht="21" customHeight="1" spans="1:18" x14ac:dyDescent="0.25">
      <c r="A16" s="309"/>
      <c r="B16" s="309"/>
      <c r="C16" s="310"/>
      <c r="D16" s="311"/>
      <c r="E16" s="312"/>
      <c r="F16" s="284"/>
      <c r="G16" s="313"/>
      <c r="H16" s="313"/>
      <c r="I16" s="285"/>
      <c r="J16" s="309"/>
      <c r="K16" s="309"/>
      <c r="L16" s="320"/>
      <c r="M16" s="321"/>
      <c r="N16" s="321"/>
      <c r="O16" s="321"/>
      <c r="P16" s="321"/>
      <c r="Q16" s="321"/>
      <c r="R16" s="322"/>
    </row>
    <row r="17" ht="21" customHeight="1" spans="1:18" x14ac:dyDescent="0.25">
      <c r="A17" s="309"/>
      <c r="B17" s="309"/>
      <c r="C17" s="310"/>
      <c r="D17" s="311"/>
      <c r="E17" s="312"/>
      <c r="F17" s="284"/>
      <c r="G17" s="313"/>
      <c r="H17" s="313"/>
      <c r="I17" s="285"/>
      <c r="J17" s="309"/>
      <c r="K17" s="309"/>
      <c r="L17" s="314"/>
      <c r="M17" s="315"/>
      <c r="N17" s="315"/>
      <c r="O17" s="315"/>
      <c r="P17" s="315"/>
      <c r="Q17" s="315"/>
      <c r="R17" s="316"/>
    </row>
    <row r="18" ht="21" customHeight="1" spans="1:18" x14ac:dyDescent="0.25">
      <c r="A18" s="309"/>
      <c r="B18" s="309"/>
      <c r="C18" s="310"/>
      <c r="D18" s="311"/>
      <c r="E18" s="312"/>
      <c r="F18" s="284"/>
      <c r="G18" s="313"/>
      <c r="H18" s="313"/>
      <c r="I18" s="285"/>
      <c r="J18" s="309"/>
      <c r="K18" s="309"/>
      <c r="L18" s="314"/>
      <c r="M18" s="315"/>
      <c r="N18" s="315"/>
      <c r="O18" s="315"/>
      <c r="P18" s="315"/>
      <c r="Q18" s="315"/>
      <c r="R18" s="316"/>
    </row>
    <row r="19" ht="21" customHeight="1" spans="1:18" x14ac:dyDescent="0.25">
      <c r="A19" s="309"/>
      <c r="B19" s="309"/>
      <c r="C19" s="310"/>
      <c r="D19" s="311"/>
      <c r="E19" s="312"/>
      <c r="F19" s="284"/>
      <c r="G19" s="313"/>
      <c r="H19" s="313"/>
      <c r="I19" s="285"/>
      <c r="J19" s="309"/>
      <c r="K19" s="309"/>
      <c r="L19" s="314"/>
      <c r="M19" s="315"/>
      <c r="N19" s="315"/>
      <c r="O19" s="315"/>
      <c r="P19" s="315"/>
      <c r="Q19" s="315"/>
      <c r="R19" s="316"/>
    </row>
    <row r="20" ht="21" customHeight="1" spans="1:18" x14ac:dyDescent="0.25">
      <c r="A20" s="254"/>
      <c r="B20" s="254"/>
      <c r="C20" s="310"/>
      <c r="D20" s="311"/>
      <c r="E20" s="312"/>
      <c r="F20" s="284"/>
      <c r="G20" s="313"/>
      <c r="H20" s="313"/>
      <c r="I20" s="285"/>
      <c r="J20" s="309"/>
      <c r="K20" s="309"/>
      <c r="L20" s="314"/>
      <c r="M20" s="315"/>
      <c r="N20" s="315"/>
      <c r="O20" s="315"/>
      <c r="P20" s="315"/>
      <c r="Q20" s="315"/>
      <c r="R20" s="316"/>
    </row>
    <row r="21" ht="21" customHeight="1" spans="1:18" x14ac:dyDescent="0.25">
      <c r="A21" s="254"/>
      <c r="B21" s="254"/>
      <c r="C21" s="310"/>
      <c r="D21" s="311"/>
      <c r="E21" s="312"/>
      <c r="F21" s="310"/>
      <c r="G21" s="311"/>
      <c r="H21" s="311"/>
      <c r="I21" s="312"/>
      <c r="J21" s="254"/>
      <c r="K21" s="254"/>
      <c r="L21" s="323"/>
      <c r="M21" s="323"/>
      <c r="N21" s="323"/>
      <c r="O21" s="323"/>
      <c r="P21" s="323"/>
      <c r="Q21" s="323"/>
      <c r="R21" s="323"/>
    </row>
    <row r="22" ht="21" customHeight="1" spans="1:18" x14ac:dyDescent="0.25">
      <c r="A22" s="254"/>
      <c r="B22" s="254"/>
      <c r="C22" s="310"/>
      <c r="D22" s="311"/>
      <c r="E22" s="312"/>
      <c r="F22" s="310"/>
      <c r="G22" s="311"/>
      <c r="H22" s="311"/>
      <c r="I22" s="312"/>
      <c r="J22" s="254"/>
      <c r="K22" s="254"/>
      <c r="L22" s="323"/>
      <c r="M22" s="323"/>
      <c r="N22" s="323"/>
      <c r="O22" s="323"/>
      <c r="P22" s="323"/>
      <c r="Q22" s="323"/>
      <c r="R22" s="323"/>
    </row>
    <row r="23" ht="21" customHeight="1" spans="1:18" x14ac:dyDescent="0.25">
      <c r="A23" s="254"/>
      <c r="B23" s="254"/>
      <c r="C23" s="310"/>
      <c r="D23" s="311"/>
      <c r="E23" s="312"/>
      <c r="F23" s="310"/>
      <c r="G23" s="311"/>
      <c r="H23" s="311"/>
      <c r="I23" s="312"/>
      <c r="J23" s="254"/>
      <c r="K23" s="254"/>
      <c r="L23" s="323"/>
      <c r="M23" s="323"/>
      <c r="N23" s="323"/>
      <c r="O23" s="323"/>
      <c r="P23" s="323"/>
      <c r="Q23" s="323"/>
      <c r="R23" s="323"/>
    </row>
    <row r="24" ht="21" customHeight="1" spans="1:18" x14ac:dyDescent="0.25">
      <c r="A24" s="254"/>
      <c r="B24" s="254"/>
      <c r="C24" s="310"/>
      <c r="D24" s="311"/>
      <c r="E24" s="312"/>
      <c r="F24" s="310"/>
      <c r="G24" s="311"/>
      <c r="H24" s="311"/>
      <c r="I24" s="312"/>
      <c r="J24" s="254"/>
      <c r="K24" s="254"/>
      <c r="L24" s="323"/>
      <c r="M24" s="323"/>
      <c r="N24" s="323"/>
      <c r="O24" s="323"/>
      <c r="P24" s="323"/>
      <c r="Q24" s="323"/>
      <c r="R24" s="323"/>
    </row>
    <row r="25" ht="21" customHeight="1" spans="1:18" x14ac:dyDescent="0.25">
      <c r="A25" s="254"/>
      <c r="B25" s="254"/>
      <c r="C25" s="310"/>
      <c r="D25" s="311"/>
      <c r="E25" s="312"/>
      <c r="F25" s="310"/>
      <c r="G25" s="311"/>
      <c r="H25" s="311"/>
      <c r="I25" s="312"/>
      <c r="J25" s="254"/>
      <c r="K25" s="254"/>
      <c r="L25" s="323"/>
      <c r="M25" s="323"/>
      <c r="N25" s="323"/>
      <c r="O25" s="323"/>
      <c r="P25" s="323"/>
      <c r="Q25" s="323"/>
      <c r="R25" s="323"/>
    </row>
    <row r="26" ht="21" customHeight="1" spans="1:18" x14ac:dyDescent="0.25">
      <c r="A26" s="254"/>
      <c r="B26" s="254"/>
      <c r="C26" s="310"/>
      <c r="D26" s="311"/>
      <c r="E26" s="312"/>
      <c r="F26" s="310"/>
      <c r="G26" s="311"/>
      <c r="H26" s="311"/>
      <c r="I26" s="312"/>
      <c r="J26" s="254"/>
      <c r="K26" s="254"/>
      <c r="L26" s="323"/>
      <c r="M26" s="323"/>
      <c r="N26" s="323"/>
      <c r="O26" s="323"/>
      <c r="P26" s="323"/>
      <c r="Q26" s="323"/>
      <c r="R26" s="323"/>
    </row>
    <row r="27" ht="17.1" customHeight="1" x14ac:dyDescent="0.25"/>
    <row r="28" ht="17.1" customHeight="1" x14ac:dyDescent="0.25"/>
    <row r="29" ht="17.1" customHeight="1" x14ac:dyDescent="0.25"/>
    <row r="30" ht="17.1" customHeight="1" spans="1:18" x14ac:dyDescent="0.25">
      <c r="A30" s="234"/>
      <c r="B30" s="234"/>
      <c r="C30" s="234"/>
      <c r="D30" s="234"/>
      <c r="I30" s="234"/>
      <c r="J30" s="234"/>
      <c r="K30" s="234"/>
      <c r="O30" s="234"/>
      <c r="P30" s="234"/>
      <c r="Q30" s="234"/>
      <c r="R30" s="234"/>
    </row>
    <row r="31" spans="1:18" x14ac:dyDescent="0.25">
      <c r="A31" s="235" t="s">
        <v>34</v>
      </c>
      <c r="B31" s="235"/>
      <c r="C31" s="235"/>
      <c r="D31" s="235"/>
      <c r="I31" s="235" t="s">
        <v>73</v>
      </c>
      <c r="J31" s="235"/>
      <c r="K31" s="235"/>
      <c r="O31" s="235" t="s">
        <v>35</v>
      </c>
      <c r="P31" s="235"/>
      <c r="Q31" s="235"/>
      <c r="R31" s="235"/>
    </row>
  </sheetData>
  <mergeCells count="62">
    <mergeCell ref="A1:R1"/>
    <mergeCell ref="A2:R2"/>
    <mergeCell ref="A4:R4"/>
    <mergeCell ref="K6:L6"/>
    <mergeCell ref="P6:R6"/>
    <mergeCell ref="B8:E8"/>
    <mergeCell ref="K8:L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A31:D31"/>
    <mergeCell ref="I31:K31"/>
    <mergeCell ref="O31:R31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6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 zoomScale="85" zoomScaleNormal="85">
      <selection activeCell="B8" sqref="B8"/>
    </sheetView>
  </sheetViews>
  <sheetFormatPr defaultRowHeight="17.25" outlineLevelRow="0" outlineLevelCol="0" x14ac:dyDescent="0" defaultColWidth="9" customHeight="1"/>
  <cols>
    <col min="1" max="1" width="15.125" style="3" customWidth="1"/>
    <col min="2" max="2" width="12.625" style="3" customWidth="1"/>
    <col min="3" max="3" width="7" style="3" customWidth="1"/>
    <col min="4" max="4" width="15.125" style="3" customWidth="1"/>
    <col min="5" max="6" width="14.75" style="3" customWidth="1"/>
    <col min="7" max="7" width="11.625" style="3" customWidth="1"/>
    <col min="8" max="16384" width="9" style="3" customWidth="1"/>
  </cols>
  <sheetData>
    <row r="1" ht="34.9" customHeight="1" spans="1:7" x14ac:dyDescent="0.25">
      <c r="A1" s="237" t="s">
        <v>36</v>
      </c>
      <c r="B1" s="237"/>
      <c r="C1" s="237"/>
      <c r="D1" s="237"/>
      <c r="E1" s="237"/>
      <c r="F1" s="237"/>
      <c r="G1" s="237"/>
    </row>
    <row r="2" ht="25.15" customHeight="1" spans="1:7" x14ac:dyDescent="0.25">
      <c r="A2" s="376" t="s">
        <v>37</v>
      </c>
      <c r="B2" s="376"/>
      <c r="C2" s="376"/>
      <c r="D2" s="376"/>
      <c r="E2" s="376"/>
      <c r="F2" s="376"/>
      <c r="G2" s="376"/>
    </row>
    <row r="3" ht="18" customHeight="1" spans="1:7" x14ac:dyDescent="0.25">
      <c r="A3" s="238"/>
      <c r="B3" s="238"/>
      <c r="C3" s="238"/>
      <c r="D3" s="238"/>
      <c r="E3" s="188"/>
      <c r="F3" s="188"/>
      <c r="G3" s="188"/>
    </row>
    <row r="4" ht="22.15" customHeight="1" spans="1:7" x14ac:dyDescent="0.25">
      <c r="A4" s="3" t="s">
        <v>137</v>
      </c>
      <c r="B4" s="3" t="str">
        <f>'Final Work'!B4</f>
        <v>TIAN HAI PING ZE</v>
      </c>
      <c r="D4" s="377"/>
      <c r="E4" s="378" t="s">
        <v>138</v>
      </c>
      <c r="F4" s="240">
        <f>'OS-IN'!L6</f>
        <v>46227</v>
      </c>
      <c r="G4" s="238"/>
    </row>
    <row r="5" ht="12.75" customHeight="1" spans="1:5" x14ac:dyDescent="0.25">
      <c r="A5" s="379"/>
      <c r="D5" s="377"/>
      <c r="E5" s="380"/>
    </row>
    <row r="6" ht="22.15" customHeight="1" spans="1:6" x14ac:dyDescent="0.25">
      <c r="A6" s="8" t="s">
        <v>139</v>
      </c>
      <c r="B6" s="3" t="str">
        <f>'OS-IN'!H6</f>
        <v>2022E</v>
      </c>
      <c r="D6" s="3" t="s">
        <v>51</v>
      </c>
      <c r="E6" s="378" t="s">
        <v>140</v>
      </c>
      <c r="F6" s="381" t="s">
        <v>37</v>
      </c>
    </row>
    <row r="7" ht="15.75" customHeight="1" spans="1:7" x14ac:dyDescent="0.25">
      <c r="A7" s="377" t="s">
        <v>51</v>
      </c>
      <c r="E7" s="188"/>
      <c r="G7" s="377"/>
    </row>
    <row r="8" ht="30" customHeight="1" spans="2:7" x14ac:dyDescent="0.25">
      <c r="B8" s="382" t="s">
        <v>141</v>
      </c>
      <c r="C8" s="383"/>
      <c r="D8" s="383"/>
      <c r="E8" s="383"/>
      <c r="F8" s="384"/>
      <c r="G8" s="385"/>
    </row>
    <row r="9" ht="17.25" customHeight="1" spans="7:7" x14ac:dyDescent="0.25">
      <c r="G9" s="238" t="s">
        <v>142</v>
      </c>
    </row>
    <row r="10" ht="24" customHeight="1" spans="1:7" x14ac:dyDescent="0.25">
      <c r="A10" s="25" t="s">
        <v>143</v>
      </c>
      <c r="B10" s="331"/>
      <c r="C10" s="23" t="s">
        <v>144</v>
      </c>
      <c r="D10" s="330" t="s">
        <v>145</v>
      </c>
      <c r="E10" s="331"/>
      <c r="F10" s="23" t="s">
        <v>146</v>
      </c>
      <c r="G10" s="386" t="s">
        <v>68</v>
      </c>
    </row>
    <row r="11" ht="24" customHeight="1" spans="1:7" x14ac:dyDescent="0.25">
      <c r="A11" s="387" t="s">
        <v>147</v>
      </c>
      <c r="B11" s="388" t="s">
        <v>148</v>
      </c>
      <c r="C11" s="389"/>
      <c r="D11" s="388" t="s">
        <v>147</v>
      </c>
      <c r="E11" s="388" t="s">
        <v>148</v>
      </c>
      <c r="F11" s="389"/>
      <c r="G11" s="390"/>
    </row>
    <row r="12" ht="21" customHeight="1" spans="1:8" x14ac:dyDescent="0.25">
      <c r="A12" s="391"/>
      <c r="B12" s="392"/>
      <c r="C12" s="392"/>
      <c r="D12" s="393"/>
      <c r="E12" s="394"/>
      <c r="F12" s="395"/>
      <c r="G12" s="396"/>
      <c r="H12" s="3"/>
    </row>
    <row r="13" ht="21" customHeight="1" spans="1:8" x14ac:dyDescent="0.25">
      <c r="A13" s="397"/>
      <c r="B13" s="398"/>
      <c r="C13" s="398"/>
      <c r="D13" s="291"/>
      <c r="E13" s="399"/>
      <c r="F13" s="400"/>
      <c r="G13" s="401"/>
      <c r="H13" s="3"/>
    </row>
    <row r="14" ht="21" customHeight="1" spans="1:8" x14ac:dyDescent="0.25">
      <c r="A14" s="397"/>
      <c r="B14" s="398"/>
      <c r="C14" s="398"/>
      <c r="D14" s="393"/>
      <c r="E14" s="399"/>
      <c r="F14" s="402"/>
      <c r="G14" s="403"/>
      <c r="H14" s="3"/>
    </row>
    <row r="15" ht="21" customHeight="1" spans="1:8" x14ac:dyDescent="0.25">
      <c r="A15" s="397"/>
      <c r="B15" s="398"/>
      <c r="C15" s="398"/>
      <c r="D15" s="393"/>
      <c r="E15" s="399"/>
      <c r="F15" s="402"/>
      <c r="G15" s="403"/>
      <c r="H15" s="3"/>
    </row>
    <row r="16" ht="21" customHeight="1" spans="1:8" x14ac:dyDescent="0.25">
      <c r="A16" s="404"/>
      <c r="B16" s="405"/>
      <c r="C16" s="405"/>
      <c r="D16" s="406"/>
      <c r="E16" s="407"/>
      <c r="F16" s="408"/>
      <c r="G16" s="409"/>
      <c r="H16" s="3"/>
    </row>
    <row r="17" ht="21" customHeight="1" spans="1:8" x14ac:dyDescent="0.25">
      <c r="A17" s="410"/>
      <c r="B17" s="402"/>
      <c r="C17" s="393"/>
      <c r="D17" s="393"/>
      <c r="E17" s="402"/>
      <c r="F17" s="402"/>
      <c r="G17" s="401"/>
      <c r="H17" s="3"/>
    </row>
    <row r="18" ht="21" customHeight="1" spans="1:8" x14ac:dyDescent="0.25">
      <c r="A18" s="411"/>
      <c r="B18" s="412"/>
      <c r="C18" s="291"/>
      <c r="D18" s="291"/>
      <c r="E18" s="412"/>
      <c r="F18" s="400"/>
      <c r="G18" s="403"/>
      <c r="H18" s="3"/>
    </row>
    <row r="19" ht="21" customHeight="1" spans="1:8" x14ac:dyDescent="0.25">
      <c r="A19" s="411"/>
      <c r="B19" s="412"/>
      <c r="C19" s="291"/>
      <c r="D19" s="291"/>
      <c r="E19" s="413"/>
      <c r="F19" s="400"/>
      <c r="G19" s="403"/>
      <c r="H19" s="3"/>
    </row>
    <row r="20" ht="21" customHeight="1" spans="1:8" x14ac:dyDescent="0.25">
      <c r="A20" s="414"/>
      <c r="B20" s="415"/>
      <c r="C20" s="416"/>
      <c r="D20" s="416"/>
      <c r="E20" s="417"/>
      <c r="F20" s="418"/>
      <c r="G20" s="403"/>
      <c r="H20" s="3"/>
    </row>
    <row r="21" ht="21" customHeight="1" spans="1:8" x14ac:dyDescent="0.25">
      <c r="A21" s="419"/>
      <c r="B21" s="420"/>
      <c r="C21" s="406"/>
      <c r="D21" s="406"/>
      <c r="E21" s="421"/>
      <c r="F21" s="408"/>
      <c r="G21" s="409"/>
      <c r="H21" s="3"/>
    </row>
    <row r="22" ht="21" customHeight="1" spans="1:8" x14ac:dyDescent="0.25">
      <c r="A22" s="422"/>
      <c r="B22" s="423"/>
      <c r="C22" s="393"/>
      <c r="D22" s="393"/>
      <c r="E22" s="424"/>
      <c r="F22" s="402"/>
      <c r="G22" s="401"/>
      <c r="H22" s="3"/>
    </row>
    <row r="23" ht="21" customHeight="1" spans="1:8" x14ac:dyDescent="0.25">
      <c r="A23" s="425"/>
      <c r="B23" s="400"/>
      <c r="C23" s="291"/>
      <c r="D23" s="291"/>
      <c r="E23" s="413"/>
      <c r="F23" s="400"/>
      <c r="G23" s="403"/>
      <c r="H23" s="3"/>
    </row>
    <row r="24" ht="21" customHeight="1" spans="1:8" x14ac:dyDescent="0.25">
      <c r="A24" s="425"/>
      <c r="B24" s="400"/>
      <c r="C24" s="291"/>
      <c r="D24" s="291"/>
      <c r="E24" s="400"/>
      <c r="F24" s="400"/>
      <c r="G24" s="403"/>
      <c r="H24" s="3"/>
    </row>
    <row r="25" ht="21" customHeight="1" spans="1:8" x14ac:dyDescent="0.25">
      <c r="A25" s="426"/>
      <c r="B25" s="423"/>
      <c r="C25" s="393"/>
      <c r="D25" s="393"/>
      <c r="E25" s="402"/>
      <c r="F25" s="402"/>
      <c r="G25" s="401"/>
      <c r="H25" s="3"/>
    </row>
    <row r="26" ht="21" customHeight="1" spans="1:8" x14ac:dyDescent="0.25">
      <c r="A26" s="427"/>
      <c r="B26" s="420"/>
      <c r="C26" s="406"/>
      <c r="D26" s="406"/>
      <c r="E26" s="408"/>
      <c r="F26" s="408"/>
      <c r="G26" s="409"/>
      <c r="H26" s="3"/>
    </row>
    <row r="27" ht="21" customHeight="1" spans="1:8" x14ac:dyDescent="0.25">
      <c r="A27" s="426"/>
      <c r="B27" s="402"/>
      <c r="C27" s="393"/>
      <c r="D27" s="393"/>
      <c r="E27" s="402"/>
      <c r="F27" s="402"/>
      <c r="G27" s="401"/>
      <c r="H27" s="3"/>
    </row>
    <row r="28" ht="21" customHeight="1" spans="1:8" x14ac:dyDescent="0.25">
      <c r="A28" s="426"/>
      <c r="B28" s="402"/>
      <c r="C28" s="393"/>
      <c r="D28" s="393"/>
      <c r="E28" s="402"/>
      <c r="F28" s="402"/>
      <c r="G28" s="401"/>
      <c r="H28" s="3"/>
    </row>
    <row r="29" ht="21" customHeight="1" spans="1:8" x14ac:dyDescent="0.25">
      <c r="A29" s="425"/>
      <c r="B29" s="400"/>
      <c r="C29" s="291"/>
      <c r="D29" s="291"/>
      <c r="E29" s="400"/>
      <c r="F29" s="400"/>
      <c r="G29" s="403"/>
      <c r="H29" s="3"/>
    </row>
    <row r="30" ht="21" customHeight="1" spans="1:8" x14ac:dyDescent="0.25">
      <c r="A30" s="425"/>
      <c r="B30" s="400"/>
      <c r="C30" s="291"/>
      <c r="D30" s="291"/>
      <c r="E30" s="400"/>
      <c r="F30" s="400"/>
      <c r="G30" s="403"/>
      <c r="H30" s="428"/>
    </row>
    <row r="31" ht="21" customHeight="1" spans="1:8" x14ac:dyDescent="0.25">
      <c r="A31" s="427"/>
      <c r="B31" s="408"/>
      <c r="C31" s="406"/>
      <c r="D31" s="406"/>
      <c r="E31" s="408"/>
      <c r="F31" s="408"/>
      <c r="G31" s="409"/>
      <c r="H31" s="428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428"/>
    </row>
    <row r="33" ht="21" customHeight="1" spans="1:8" x14ac:dyDescent="0.25">
      <c r="A33" s="429" t="s">
        <v>149</v>
      </c>
      <c r="B33" s="254"/>
      <c r="H33" s="428"/>
    </row>
    <row r="34" ht="21" customHeight="1" spans="1:8" x14ac:dyDescent="0.25">
      <c r="A34" s="429" t="s">
        <v>150</v>
      </c>
      <c r="B34" s="254"/>
      <c r="H34" s="428"/>
    </row>
    <row r="35" ht="21" customHeight="1" spans="1:8" x14ac:dyDescent="0.25">
      <c r="A35" s="429" t="s">
        <v>151</v>
      </c>
      <c r="B35" s="254"/>
      <c r="H35" s="428"/>
    </row>
    <row r="36" ht="21" customHeight="1" spans="1:8" x14ac:dyDescent="0.25">
      <c r="A36" s="429" t="s">
        <v>152</v>
      </c>
      <c r="B36" s="388"/>
      <c r="F36" s="234"/>
      <c r="G36" s="234"/>
      <c r="H36" s="428"/>
    </row>
    <row r="37" ht="21" customHeight="1" spans="1:8" x14ac:dyDescent="0.25">
      <c r="A37" s="430" t="s">
        <v>153</v>
      </c>
      <c r="B37" s="309">
        <f>SUM(B33:B36)</f>
        <v>0</v>
      </c>
      <c r="F37" s="235" t="s">
        <v>34</v>
      </c>
      <c r="G37" s="235"/>
      <c r="H37" s="428"/>
    </row>
    <row r="38" ht="34.9" customHeight="1" spans="1:7" x14ac:dyDescent="0.25">
      <c r="A38" s="237" t="s">
        <v>36</v>
      </c>
      <c r="B38" s="237"/>
      <c r="C38" s="237"/>
      <c r="D38" s="237"/>
      <c r="E38" s="237"/>
      <c r="F38" s="237"/>
      <c r="G38" s="237"/>
    </row>
    <row r="39" ht="25.15" customHeight="1" spans="1:7" x14ac:dyDescent="0.25">
      <c r="A39" s="376" t="s">
        <v>37</v>
      </c>
      <c r="B39" s="376"/>
      <c r="C39" s="376"/>
      <c r="D39" s="376"/>
      <c r="E39" s="376"/>
      <c r="F39" s="376"/>
      <c r="G39" s="376"/>
    </row>
    <row r="40" ht="18" customHeight="1" spans="1:7" x14ac:dyDescent="0.25">
      <c r="A40" s="238"/>
      <c r="B40" s="238"/>
      <c r="C40" s="238"/>
      <c r="D40" s="238"/>
      <c r="E40" s="188"/>
      <c r="F40" s="188"/>
      <c r="G40" s="188"/>
    </row>
    <row r="41" ht="22.15" customHeight="1" spans="1:7" x14ac:dyDescent="0.25">
      <c r="A41" s="3" t="s">
        <v>137</v>
      </c>
      <c r="B41" s="3" t="str">
        <f>B4</f>
        <v>TIAN HAI PING ZE</v>
      </c>
      <c r="D41" s="377"/>
      <c r="E41" s="378" t="s">
        <v>138</v>
      </c>
      <c r="F41" s="240">
        <f>'Final Work'!L4</f>
        <v>46228</v>
      </c>
      <c r="G41" s="238"/>
    </row>
    <row r="42" ht="12.75" customHeight="1" spans="1:5" x14ac:dyDescent="0.25">
      <c r="A42" s="379"/>
      <c r="D42" s="377"/>
      <c r="E42" s="380"/>
    </row>
    <row r="43" ht="22.15" customHeight="1" spans="1:6" x14ac:dyDescent="0.25">
      <c r="A43" s="8" t="s">
        <v>139</v>
      </c>
      <c r="B43" s="3" t="str">
        <f>'OS-OUT'!H6</f>
        <v>2022W</v>
      </c>
      <c r="D43" s="3" t="s">
        <v>51</v>
      </c>
      <c r="E43" s="378" t="s">
        <v>140</v>
      </c>
      <c r="F43" s="381" t="s">
        <v>37</v>
      </c>
    </row>
    <row r="44" ht="15.75" customHeight="1" spans="1:7" x14ac:dyDescent="0.25">
      <c r="A44" s="377" t="s">
        <v>51</v>
      </c>
      <c r="E44" s="188"/>
      <c r="G44" s="377"/>
    </row>
    <row r="45" ht="30" customHeight="1" spans="2:7" x14ac:dyDescent="0.25">
      <c r="B45" s="382" t="s">
        <v>141</v>
      </c>
      <c r="C45" s="383"/>
      <c r="D45" s="383"/>
      <c r="E45" s="383"/>
      <c r="F45" s="384"/>
      <c r="G45" s="385"/>
    </row>
    <row r="46" ht="17.25" customHeight="1" spans="7:7" x14ac:dyDescent="0.25">
      <c r="G46" s="238" t="s">
        <v>154</v>
      </c>
    </row>
    <row r="47" ht="24" customHeight="1" spans="1:7" x14ac:dyDescent="0.25">
      <c r="A47" s="25" t="s">
        <v>143</v>
      </c>
      <c r="B47" s="331"/>
      <c r="C47" s="23" t="s">
        <v>144</v>
      </c>
      <c r="D47" s="330" t="s">
        <v>145</v>
      </c>
      <c r="E47" s="331"/>
      <c r="F47" s="23" t="s">
        <v>146</v>
      </c>
      <c r="G47" s="386" t="s">
        <v>68</v>
      </c>
    </row>
    <row r="48" ht="24" customHeight="1" spans="1:7" x14ac:dyDescent="0.25">
      <c r="A48" s="387" t="s">
        <v>147</v>
      </c>
      <c r="B48" s="388" t="s">
        <v>148</v>
      </c>
      <c r="C48" s="389"/>
      <c r="D48" s="388" t="s">
        <v>147</v>
      </c>
      <c r="E48" s="388" t="s">
        <v>148</v>
      </c>
      <c r="F48" s="389"/>
      <c r="G48" s="390"/>
    </row>
    <row r="49" ht="21" customHeight="1" spans="1:7" x14ac:dyDescent="0.25">
      <c r="A49" s="391" t="s">
        <v>155</v>
      </c>
      <c r="B49" s="431"/>
      <c r="C49" s="431"/>
      <c r="D49" s="309"/>
      <c r="E49" s="431"/>
      <c r="F49" s="302"/>
      <c r="G49" s="396"/>
    </row>
    <row r="50" ht="21" customHeight="1" spans="1:7" x14ac:dyDescent="0.25">
      <c r="A50" s="432"/>
      <c r="B50" s="433"/>
      <c r="C50" s="433"/>
      <c r="D50" s="254"/>
      <c r="E50" s="433"/>
      <c r="F50" s="254"/>
      <c r="G50" s="401"/>
    </row>
    <row r="51" ht="21" customHeight="1" spans="1:7" x14ac:dyDescent="0.25">
      <c r="A51" s="432"/>
      <c r="B51" s="433"/>
      <c r="C51" s="433"/>
      <c r="D51" s="309"/>
      <c r="E51" s="433"/>
      <c r="F51" s="309"/>
      <c r="G51" s="403"/>
    </row>
    <row r="52" ht="21" customHeight="1" spans="1:7" x14ac:dyDescent="0.25">
      <c r="A52" s="432"/>
      <c r="B52" s="433"/>
      <c r="C52" s="433"/>
      <c r="D52" s="309"/>
      <c r="E52" s="434"/>
      <c r="F52" s="309"/>
      <c r="G52" s="403"/>
    </row>
    <row r="53" ht="21" customHeight="1" spans="1:7" x14ac:dyDescent="0.25">
      <c r="A53" s="435"/>
      <c r="B53" s="436"/>
      <c r="C53" s="436"/>
      <c r="D53" s="271"/>
      <c r="E53" s="436"/>
      <c r="F53" s="271"/>
      <c r="G53" s="409"/>
    </row>
    <row r="54" ht="21" customHeight="1" spans="1:7" x14ac:dyDescent="0.25">
      <c r="A54" s="437"/>
      <c r="B54" s="438"/>
      <c r="C54" s="309"/>
      <c r="D54" s="309"/>
      <c r="E54" s="438"/>
      <c r="F54" s="309"/>
      <c r="G54" s="401"/>
    </row>
    <row r="55" ht="21" customHeight="1" spans="1:7" x14ac:dyDescent="0.25">
      <c r="A55" s="439"/>
      <c r="B55" s="440"/>
      <c r="C55" s="254"/>
      <c r="D55" s="254"/>
      <c r="E55" s="440"/>
      <c r="F55" s="254"/>
      <c r="G55" s="403"/>
    </row>
    <row r="56" ht="21" customHeight="1" spans="1:7" x14ac:dyDescent="0.25">
      <c r="A56" s="439"/>
      <c r="B56" s="440"/>
      <c r="C56" s="254"/>
      <c r="D56" s="254"/>
      <c r="E56" s="441"/>
      <c r="F56" s="254"/>
      <c r="G56" s="403"/>
    </row>
    <row r="57" ht="21" customHeight="1" spans="1:7" x14ac:dyDescent="0.25">
      <c r="A57" s="442"/>
      <c r="B57" s="443"/>
      <c r="C57" s="33"/>
      <c r="D57" s="33"/>
      <c r="E57" s="444"/>
      <c r="F57" s="33"/>
      <c r="G57" s="403"/>
    </row>
    <row r="58" ht="21" customHeight="1" spans="1:7" x14ac:dyDescent="0.25">
      <c r="A58" s="445"/>
      <c r="B58" s="446"/>
      <c r="C58" s="271"/>
      <c r="D58" s="271"/>
      <c r="E58" s="447"/>
      <c r="F58" s="271"/>
      <c r="G58" s="409"/>
    </row>
    <row r="59" ht="21" customHeight="1" spans="1:7" x14ac:dyDescent="0.25">
      <c r="A59" s="448"/>
      <c r="B59" s="449"/>
      <c r="C59" s="309"/>
      <c r="D59" s="309"/>
      <c r="E59" s="450"/>
      <c r="F59" s="309"/>
      <c r="G59" s="401"/>
    </row>
    <row r="60" ht="21" customHeight="1" spans="1:7" x14ac:dyDescent="0.25">
      <c r="A60" s="451"/>
      <c r="B60" s="263"/>
      <c r="C60" s="254"/>
      <c r="D60" s="254"/>
      <c r="E60" s="441"/>
      <c r="F60" s="254"/>
      <c r="G60" s="403"/>
    </row>
    <row r="61" ht="21" customHeight="1" spans="1:7" x14ac:dyDescent="0.25">
      <c r="A61" s="451"/>
      <c r="B61" s="263"/>
      <c r="C61" s="254"/>
      <c r="D61" s="254"/>
      <c r="E61" s="254"/>
      <c r="F61" s="254"/>
      <c r="G61" s="403"/>
    </row>
    <row r="62" ht="21" customHeight="1" spans="1:7" x14ac:dyDescent="0.25">
      <c r="A62" s="452"/>
      <c r="B62" s="449"/>
      <c r="C62" s="309"/>
      <c r="D62" s="309"/>
      <c r="E62" s="309"/>
      <c r="F62" s="309"/>
      <c r="G62" s="401"/>
    </row>
    <row r="63" ht="21" customHeight="1" spans="1:7" x14ac:dyDescent="0.25">
      <c r="A63" s="453"/>
      <c r="B63" s="446"/>
      <c r="C63" s="271"/>
      <c r="D63" s="271"/>
      <c r="E63" s="271"/>
      <c r="F63" s="271"/>
      <c r="G63" s="409"/>
    </row>
    <row r="64" ht="21" customHeight="1" spans="1:7" x14ac:dyDescent="0.25">
      <c r="A64" s="452"/>
      <c r="B64" s="438"/>
      <c r="C64" s="309"/>
      <c r="D64" s="309"/>
      <c r="E64" s="309"/>
      <c r="F64" s="309"/>
      <c r="G64" s="401"/>
    </row>
    <row r="65" ht="21" customHeight="1" spans="1:7" x14ac:dyDescent="0.25">
      <c r="A65" s="452"/>
      <c r="B65" s="438"/>
      <c r="C65" s="309"/>
      <c r="D65" s="309"/>
      <c r="E65" s="309"/>
      <c r="F65" s="309"/>
      <c r="G65" s="401"/>
    </row>
    <row r="66" ht="21" customHeight="1" spans="1:7" x14ac:dyDescent="0.25">
      <c r="A66" s="451"/>
      <c r="B66" s="263"/>
      <c r="C66" s="254"/>
      <c r="D66" s="254"/>
      <c r="E66" s="254"/>
      <c r="F66" s="254"/>
      <c r="G66" s="403"/>
    </row>
    <row r="67" ht="21" customHeight="1" spans="1:8" x14ac:dyDescent="0.25">
      <c r="A67" s="451"/>
      <c r="B67" s="263"/>
      <c r="C67" s="254"/>
      <c r="D67" s="254"/>
      <c r="E67" s="254"/>
      <c r="F67" s="254"/>
      <c r="G67" s="403"/>
      <c r="H67" s="428"/>
    </row>
    <row r="68" ht="21" customHeight="1" spans="1:8" x14ac:dyDescent="0.25">
      <c r="A68" s="453"/>
      <c r="B68" s="454"/>
      <c r="C68" s="271"/>
      <c r="D68" s="271"/>
      <c r="E68" s="454"/>
      <c r="F68" s="271"/>
      <c r="G68" s="409"/>
      <c r="H68" s="428"/>
    </row>
    <row r="69" ht="9" customHeight="1" spans="8:8" x14ac:dyDescent="0.25">
      <c r="H69" s="428"/>
    </row>
    <row r="70" ht="21" customHeight="1" spans="1:8" x14ac:dyDescent="0.25">
      <c r="A70" s="429" t="s">
        <v>149</v>
      </c>
      <c r="B70" s="254"/>
      <c r="H70" s="428"/>
    </row>
    <row r="71" ht="21" customHeight="1" spans="1:8" x14ac:dyDescent="0.25">
      <c r="A71" s="429" t="s">
        <v>150</v>
      </c>
      <c r="B71" s="254"/>
      <c r="H71" s="428"/>
    </row>
    <row r="72" ht="21" customHeight="1" spans="1:8" x14ac:dyDescent="0.25">
      <c r="A72" s="429" t="s">
        <v>151</v>
      </c>
      <c r="B72" s="254"/>
      <c r="H72" s="428"/>
    </row>
    <row r="73" ht="21" customHeight="1" spans="1:8" x14ac:dyDescent="0.25">
      <c r="A73" s="429" t="s">
        <v>152</v>
      </c>
      <c r="B73" s="388"/>
      <c r="F73" s="234"/>
      <c r="G73" s="234"/>
      <c r="H73" s="428"/>
    </row>
    <row r="74" ht="21" customHeight="1" spans="1:8" x14ac:dyDescent="0.25">
      <c r="A74" s="430" t="s">
        <v>153</v>
      </c>
      <c r="B74" s="309">
        <f>SUM(B70:B73)</f>
        <v>0</v>
      </c>
      <c r="F74" s="235" t="s">
        <v>34</v>
      </c>
      <c r="G74" s="235"/>
      <c r="H74" s="428"/>
    </row>
  </sheetData>
  <mergeCells count="20">
    <mergeCell ref="A1:G1"/>
    <mergeCell ref="A2:G2"/>
    <mergeCell ref="F4:G4"/>
    <mergeCell ref="B8:F8"/>
    <mergeCell ref="A10:B10"/>
    <mergeCell ref="D10:E10"/>
    <mergeCell ref="C10:C11"/>
    <mergeCell ref="F10:F11"/>
    <mergeCell ref="G10:G11"/>
    <mergeCell ref="F37:G37"/>
    <mergeCell ref="A38:G38"/>
    <mergeCell ref="A39:G39"/>
    <mergeCell ref="F41:G41"/>
    <mergeCell ref="B45:F45"/>
    <mergeCell ref="A47:B47"/>
    <mergeCell ref="D47:E47"/>
    <mergeCell ref="C47:C48"/>
    <mergeCell ref="F47:F48"/>
    <mergeCell ref="G47:G48"/>
    <mergeCell ref="F74:G74"/>
  </mergeCells>
  <printOptions horizontalCentered="1" verticalCentered="1"/>
  <pageMargins left="0.2362204724409449" right="0.2362204724409449" top="0.7874015748031497" bottom="0.3937007874015748" header="0.1968503937007874" footer="0.15748031496062992"/>
  <pageSetup paperSize="9" orientation="portrait" horizontalDpi="4294967295" verticalDpi="4294967295" scale="94" fitToWidth="1" fitToHeight="0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workbookViewId="0" zoomScale="90" zoomScaleNormal="90"/>
  </sheetViews>
  <sheetFormatPr defaultRowHeight="17.25" outlineLevelRow="0" outlineLevelCol="0" x14ac:dyDescent="0" defaultColWidth="9" customHeight="1"/>
  <cols>
    <col min="1" max="1" width="6.875" style="3" customWidth="1"/>
    <col min="2" max="2" width="17.25" style="3" customWidth="1"/>
    <col min="3" max="5" width="10.75" style="3" customWidth="1"/>
    <col min="6" max="6" width="7.125" style="3" customWidth="1"/>
    <col min="7" max="7" width="9.125" style="3" customWidth="1"/>
    <col min="8" max="8" width="14.375" style="3" customWidth="1"/>
    <col min="9" max="9" width="9.125" style="3" customWidth="1"/>
    <col min="10" max="16384" width="9" style="3" customWidth="1"/>
  </cols>
  <sheetData>
    <row r="1" ht="33.75" customHeight="1" spans="1:8" x14ac:dyDescent="0.25">
      <c r="A1" s="4" t="s">
        <v>36</v>
      </c>
      <c r="B1" s="4"/>
      <c r="C1" s="4"/>
      <c r="D1" s="4"/>
      <c r="E1" s="4"/>
      <c r="F1" s="4"/>
      <c r="G1" s="4"/>
      <c r="H1" s="4"/>
    </row>
    <row r="2" spans="1:8" x14ac:dyDescent="0.25">
      <c r="A2" s="188" t="s">
        <v>37</v>
      </c>
      <c r="B2" s="188"/>
      <c r="C2" s="188"/>
      <c r="D2" s="188"/>
      <c r="E2" s="188"/>
      <c r="F2" s="188"/>
      <c r="G2" s="188"/>
      <c r="H2" s="188"/>
    </row>
    <row r="3" ht="24.75" customHeight="1" spans="3:6" x14ac:dyDescent="0.25">
      <c r="C3" s="189" t="s">
        <v>38</v>
      </c>
      <c r="D3" s="190"/>
      <c r="E3" s="190"/>
      <c r="F3" s="191"/>
    </row>
    <row r="4" ht="13.5" customHeight="1" x14ac:dyDescent="0.25"/>
    <row r="5" ht="13.5" customHeight="1" spans="1:8" x14ac:dyDescent="0.25">
      <c r="A5" s="192"/>
      <c r="B5" s="192"/>
      <c r="C5" s="192"/>
      <c r="D5" s="192"/>
      <c r="E5" s="192"/>
      <c r="F5" s="192"/>
      <c r="G5" s="192"/>
      <c r="H5" s="192"/>
    </row>
    <row r="6" ht="24" customHeight="1" spans="1:8" s="193" customFormat="1" x14ac:dyDescent="0.25">
      <c r="A6" s="193" t="s">
        <v>39</v>
      </c>
      <c r="B6" s="194" t="str">
        <f>'Final Work'!B4</f>
        <v>TIAN HAI PING ZE</v>
      </c>
      <c r="C6" s="28" t="str">
        <f>'Final Work'!E4</f>
        <v>VOY # : 2022E / 2022W</v>
      </c>
      <c r="D6" s="28"/>
      <c r="E6" s="28"/>
      <c r="F6" s="28"/>
      <c r="G6" s="195" t="s">
        <v>40</v>
      </c>
      <c r="H6" s="196">
        <f>'Final Work'!L4</f>
        <v>46228</v>
      </c>
    </row>
    <row r="7" ht="11.25" customHeight="1" spans="2:2" s="193" customFormat="1" x14ac:dyDescent="0.25">
      <c r="B7" s="193"/>
    </row>
    <row r="8" ht="24" customHeight="1" spans="1:8" s="193" customFormat="1" x14ac:dyDescent="0.25">
      <c r="A8" s="193" t="s">
        <v>41</v>
      </c>
      <c r="B8" s="197" t="s">
        <v>42</v>
      </c>
      <c r="C8" s="198"/>
      <c r="D8" s="28" t="s">
        <v>43</v>
      </c>
      <c r="E8" s="28">
        <f>'Final Work'!G6</f>
        <v>15</v>
      </c>
      <c r="F8" s="197"/>
      <c r="G8" s="199" t="s">
        <v>44</v>
      </c>
      <c r="H8" s="200" t="s">
        <v>45</v>
      </c>
    </row>
    <row r="9" ht="11.25" customHeight="1" spans="2:2" s="193" customFormat="1" x14ac:dyDescent="0.25">
      <c r="B9" s="193"/>
    </row>
    <row r="10" ht="15" customHeight="1" spans="2:8" s="193" customFormat="1" x14ac:dyDescent="0.25">
      <c r="B10" s="193"/>
      <c r="H10" s="198" t="s">
        <v>46</v>
      </c>
    </row>
    <row r="11" ht="24.75" customHeight="1" spans="1:8" s="193" customFormat="1" x14ac:dyDescent="0.25">
      <c r="A11" s="201" t="s">
        <v>47</v>
      </c>
      <c r="B11" s="202"/>
      <c r="C11" s="203" t="s">
        <v>48</v>
      </c>
      <c r="D11" s="203"/>
      <c r="E11" s="203"/>
      <c r="F11" s="203"/>
      <c r="G11" s="203"/>
      <c r="H11" s="202"/>
    </row>
    <row r="12" ht="18" customHeight="1" spans="1:8" s="193" customFormat="1" x14ac:dyDescent="0.25">
      <c r="A12" s="204" t="s">
        <v>49</v>
      </c>
      <c r="B12" s="205"/>
      <c r="C12" s="206"/>
      <c r="D12" s="207"/>
      <c r="E12" s="207"/>
      <c r="F12" s="207"/>
      <c r="G12" s="207"/>
      <c r="H12" s="208"/>
    </row>
    <row r="13" ht="18" customHeight="1" spans="1:8" x14ac:dyDescent="0.25">
      <c r="A13" s="209"/>
      <c r="B13" s="210"/>
      <c r="C13" s="211"/>
      <c r="D13" s="212"/>
      <c r="E13" s="212"/>
      <c r="F13" s="212"/>
      <c r="G13" s="212"/>
      <c r="H13" s="213"/>
    </row>
    <row r="14" ht="18" customHeight="1" spans="1:8" x14ac:dyDescent="0.25">
      <c r="A14" s="214"/>
      <c r="B14" s="210"/>
      <c r="C14" s="211"/>
      <c r="D14" s="212"/>
      <c r="E14" s="212"/>
      <c r="F14" s="212"/>
      <c r="G14" s="212"/>
      <c r="H14" s="213"/>
    </row>
    <row r="15" ht="18" customHeight="1" spans="1:8" s="193" customFormat="1" x14ac:dyDescent="0.25">
      <c r="A15" s="214"/>
      <c r="B15" s="210"/>
      <c r="C15" s="211"/>
      <c r="D15" s="212"/>
      <c r="E15" s="212"/>
      <c r="F15" s="212"/>
      <c r="G15" s="212"/>
      <c r="H15" s="213"/>
    </row>
    <row r="16" ht="18" customHeight="1" spans="1:8" s="193" customFormat="1" x14ac:dyDescent="0.25">
      <c r="A16" s="215"/>
      <c r="B16" s="216"/>
      <c r="C16" s="217"/>
      <c r="D16" s="218"/>
      <c r="E16" s="218"/>
      <c r="F16" s="218"/>
      <c r="G16" s="218"/>
      <c r="H16" s="219"/>
    </row>
    <row r="17" ht="18" customHeight="1" spans="1:8" x14ac:dyDescent="0.25">
      <c r="A17" s="214"/>
      <c r="B17" s="210"/>
      <c r="C17" s="211"/>
      <c r="D17" s="212"/>
      <c r="E17" s="212"/>
      <c r="F17" s="212"/>
      <c r="G17" s="212"/>
      <c r="H17" s="213"/>
    </row>
    <row r="18" ht="18" customHeight="1" spans="1:8" x14ac:dyDescent="0.25">
      <c r="A18" s="220"/>
      <c r="B18" s="210"/>
      <c r="C18" s="211"/>
      <c r="D18" s="212"/>
      <c r="E18" s="212"/>
      <c r="F18" s="212"/>
      <c r="G18" s="212"/>
      <c r="H18" s="213"/>
    </row>
    <row r="19" ht="18" customHeight="1" spans="1:14" x14ac:dyDescent="0.25">
      <c r="A19" s="221" t="s">
        <v>50</v>
      </c>
      <c r="B19" s="222"/>
      <c r="C19" s="223"/>
      <c r="D19" s="224"/>
      <c r="E19" s="224"/>
      <c r="F19" s="224"/>
      <c r="G19" s="224"/>
      <c r="H19" s="225"/>
      <c r="M19" s="3" t="s">
        <v>51</v>
      </c>
      <c r="N19" s="3" t="s">
        <v>51</v>
      </c>
    </row>
    <row r="20" ht="18" customHeight="1" spans="1:8" x14ac:dyDescent="0.25">
      <c r="A20" s="220"/>
      <c r="B20" s="222"/>
      <c r="C20" s="223"/>
      <c r="D20" s="224"/>
      <c r="E20" s="224"/>
      <c r="F20" s="224"/>
      <c r="G20" s="224"/>
      <c r="H20" s="225"/>
    </row>
    <row r="21" ht="18" customHeight="1" spans="1:8" x14ac:dyDescent="0.25">
      <c r="A21" s="226"/>
      <c r="B21" s="216"/>
      <c r="C21" s="217"/>
      <c r="D21" s="218"/>
      <c r="E21" s="218"/>
      <c r="F21" s="218"/>
      <c r="G21" s="218"/>
      <c r="H21" s="219"/>
    </row>
    <row r="22" ht="18" customHeight="1" spans="1:8" x14ac:dyDescent="0.25">
      <c r="A22" s="227"/>
      <c r="B22" s="210"/>
      <c r="C22" s="223"/>
      <c r="D22" s="224"/>
      <c r="E22" s="224"/>
      <c r="F22" s="224"/>
      <c r="G22" s="224"/>
      <c r="H22" s="225"/>
    </row>
    <row r="23" ht="18" customHeight="1" spans="1:8" x14ac:dyDescent="0.25">
      <c r="A23" s="220"/>
      <c r="B23" s="210"/>
      <c r="C23" s="211"/>
      <c r="D23" s="212"/>
      <c r="E23" s="212"/>
      <c r="F23" s="212"/>
      <c r="G23" s="212"/>
      <c r="H23" s="213"/>
    </row>
    <row r="24" ht="18" customHeight="1" spans="1:8" x14ac:dyDescent="0.25">
      <c r="A24" s="214"/>
      <c r="B24" s="210"/>
      <c r="C24" s="211"/>
      <c r="D24" s="212"/>
      <c r="E24" s="212"/>
      <c r="F24" s="212"/>
      <c r="G24" s="212"/>
      <c r="H24" s="213"/>
    </row>
    <row r="25" ht="18" customHeight="1" spans="1:8" x14ac:dyDescent="0.25">
      <c r="A25" s="214"/>
      <c r="B25" s="210"/>
      <c r="C25" s="211"/>
      <c r="D25" s="212"/>
      <c r="E25" s="212"/>
      <c r="F25" s="212"/>
      <c r="G25" s="212"/>
      <c r="H25" s="213"/>
    </row>
    <row r="26" ht="18" customHeight="1" spans="1:8" x14ac:dyDescent="0.25">
      <c r="A26" s="215"/>
      <c r="B26" s="216"/>
      <c r="C26" s="217"/>
      <c r="D26" s="218"/>
      <c r="E26" s="218"/>
      <c r="F26" s="218"/>
      <c r="G26" s="218"/>
      <c r="H26" s="219"/>
    </row>
    <row r="27" ht="18" customHeight="1" spans="1:8" x14ac:dyDescent="0.25">
      <c r="A27" s="220"/>
      <c r="B27" s="210"/>
      <c r="C27" s="211"/>
      <c r="D27" s="212"/>
      <c r="E27" s="212"/>
      <c r="F27" s="212"/>
      <c r="G27" s="212"/>
      <c r="H27" s="213"/>
    </row>
    <row r="28" ht="18" customHeight="1" spans="1:8" x14ac:dyDescent="0.25">
      <c r="A28" s="220"/>
      <c r="B28" s="210"/>
      <c r="C28" s="211"/>
      <c r="D28" s="212"/>
      <c r="E28" s="212"/>
      <c r="F28" s="212"/>
      <c r="G28" s="212"/>
      <c r="H28" s="213"/>
    </row>
    <row r="29" ht="18" customHeight="1" spans="1:8" x14ac:dyDescent="0.25">
      <c r="A29" s="227"/>
      <c r="B29" s="210"/>
      <c r="C29" s="211"/>
      <c r="D29" s="212"/>
      <c r="E29" s="212"/>
      <c r="F29" s="212"/>
      <c r="G29" s="212"/>
      <c r="H29" s="213"/>
    </row>
    <row r="30" ht="18" customHeight="1" spans="1:8" x14ac:dyDescent="0.25">
      <c r="A30" s="220"/>
      <c r="B30" s="222"/>
      <c r="C30" s="223"/>
      <c r="D30" s="224"/>
      <c r="E30" s="224"/>
      <c r="F30" s="224"/>
      <c r="G30" s="224"/>
      <c r="H30" s="225"/>
    </row>
    <row r="31" ht="18" customHeight="1" spans="1:8" x14ac:dyDescent="0.25">
      <c r="A31" s="215"/>
      <c r="B31" s="216"/>
      <c r="C31" s="217"/>
      <c r="D31" s="218"/>
      <c r="E31" s="218"/>
      <c r="F31" s="218"/>
      <c r="G31" s="218"/>
      <c r="H31" s="219"/>
    </row>
    <row r="32" ht="18" customHeight="1" spans="1:8" x14ac:dyDescent="0.25">
      <c r="A32" s="228"/>
      <c r="B32" s="210"/>
      <c r="C32" s="223"/>
      <c r="D32" s="224"/>
      <c r="E32" s="224"/>
      <c r="F32" s="224"/>
      <c r="G32" s="224"/>
      <c r="H32" s="225"/>
    </row>
    <row r="33" ht="18" customHeight="1" spans="1:8" x14ac:dyDescent="0.25">
      <c r="A33" s="221"/>
      <c r="B33" s="210"/>
      <c r="C33" s="229"/>
      <c r="D33" s="230"/>
      <c r="E33" s="230"/>
      <c r="F33" s="230"/>
      <c r="G33" s="230"/>
      <c r="H33" s="231"/>
    </row>
    <row r="34" ht="18" customHeight="1" spans="1:8" x14ac:dyDescent="0.25">
      <c r="A34" s="227"/>
      <c r="B34" s="210"/>
      <c r="C34" s="229"/>
      <c r="D34" s="230"/>
      <c r="E34" s="230"/>
      <c r="F34" s="230"/>
      <c r="G34" s="230"/>
      <c r="H34" s="231"/>
    </row>
    <row r="35" ht="18" customHeight="1" spans="1:8" x14ac:dyDescent="0.25">
      <c r="A35" s="227"/>
      <c r="B35" s="210"/>
      <c r="C35" s="229"/>
      <c r="D35" s="230"/>
      <c r="E35" s="230"/>
      <c r="F35" s="230"/>
      <c r="G35" s="230"/>
      <c r="H35" s="231"/>
    </row>
    <row r="36" ht="18" customHeight="1" spans="1:8" x14ac:dyDescent="0.25">
      <c r="A36" s="227"/>
      <c r="B36" s="222"/>
      <c r="C36" s="232"/>
      <c r="D36" s="233"/>
      <c r="E36" s="233"/>
      <c r="F36" s="233"/>
      <c r="G36" s="233"/>
      <c r="H36" s="233"/>
    </row>
    <row r="37" ht="15" customHeight="1" spans="1:8" x14ac:dyDescent="0.25">
      <c r="A37" s="3"/>
      <c r="B37" s="3"/>
      <c r="C37" s="3"/>
      <c r="D37" s="3"/>
      <c r="E37" s="3"/>
      <c r="F37" s="3"/>
      <c r="G37" s="3"/>
      <c r="H37" s="3"/>
    </row>
    <row r="38" ht="15" customHeight="1" spans="1:8" x14ac:dyDescent="0.25">
      <c r="A38" s="3"/>
      <c r="B38" s="3"/>
      <c r="C38" s="3"/>
      <c r="D38" s="3"/>
      <c r="E38" s="3"/>
      <c r="F38" s="3"/>
      <c r="G38" s="3"/>
      <c r="H38" s="3"/>
    </row>
    <row r="39" ht="15" customHeight="1" spans="1:8" x14ac:dyDescent="0.25">
      <c r="A39" s="3"/>
      <c r="B39" s="3"/>
      <c r="C39" s="3"/>
      <c r="D39" s="3"/>
      <c r="E39" s="3"/>
      <c r="F39" s="3"/>
      <c r="G39" s="3"/>
      <c r="H39" s="3"/>
    </row>
    <row r="40" ht="15" customHeight="1" spans="1:2" x14ac:dyDescent="0.25">
      <c r="A40" s="234"/>
      <c r="B40" s="234"/>
    </row>
    <row r="41" spans="1:2" x14ac:dyDescent="0.25">
      <c r="A41" s="235" t="s">
        <v>34</v>
      </c>
      <c r="B41" s="236"/>
    </row>
  </sheetData>
  <mergeCells count="32">
    <mergeCell ref="A1:H1"/>
    <mergeCell ref="A2:H2"/>
    <mergeCell ref="C3:F3"/>
    <mergeCell ref="C6:F6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M90"/>
  <sheetViews>
    <sheetView workbookViewId="0" zoomScale="85" zoomScaleNormal="85">
      <selection activeCell="H18" sqref="H18"/>
    </sheetView>
  </sheetViews>
  <sheetFormatPr defaultRowHeight="17.25" outlineLevelRow="0" outlineLevelCol="0" x14ac:dyDescent="0" defaultColWidth="9" customHeight="1"/>
  <cols>
    <col min="1" max="1" width="8.625" style="3" customWidth="1"/>
    <col min="2" max="3" width="7.125" style="3" customWidth="1"/>
    <col min="4" max="6" width="8.125" style="3" customWidth="1"/>
    <col min="7" max="7" width="10.125" style="3" customWidth="1"/>
    <col min="8" max="9" width="6.625" style="3" customWidth="1"/>
    <col min="10" max="10" width="12.625" style="3" customWidth="1"/>
    <col min="11" max="12" width="9.625" style="3" customWidth="1"/>
    <col min="13" max="13" width="27.125" style="3" customWidth="1"/>
    <col min="14" max="16384" width="9" style="3" customWidth="1"/>
  </cols>
  <sheetData>
    <row r="1" ht="27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9.75" customHeight="1" x14ac:dyDescent="0.25"/>
    <row r="4" ht="24" customHeight="1" spans="1:13" x14ac:dyDescent="0.25">
      <c r="A4" s="239" t="s">
        <v>52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ht="10.5" customHeight="1" x14ac:dyDescent="0.25"/>
    <row r="6" ht="17.1" customHeight="1" spans="1:13" x14ac:dyDescent="0.25">
      <c r="A6" s="3" t="s">
        <v>53</v>
      </c>
      <c r="B6" s="8" t="str">
        <f>'Final Work'!B4</f>
        <v>TIAN HAI PING ZE</v>
      </c>
      <c r="G6" s="3" t="s">
        <v>54</v>
      </c>
      <c r="H6" s="238" t="s">
        <v>55</v>
      </c>
      <c r="I6" s="238"/>
      <c r="K6" s="3" t="s">
        <v>56</v>
      </c>
      <c r="L6" s="240">
        <v>46227</v>
      </c>
      <c r="M6" s="238"/>
    </row>
    <row r="7" ht="5.25" customHeight="1" spans="8:9" x14ac:dyDescent="0.25">
      <c r="H7" s="241"/>
      <c r="I7" s="241"/>
    </row>
    <row r="8" ht="17.1" customHeight="1" spans="1:13" x14ac:dyDescent="0.25">
      <c r="A8" s="8" t="s">
        <v>57</v>
      </c>
      <c r="B8" s="3" t="s">
        <v>37</v>
      </c>
      <c r="C8" s="242"/>
      <c r="D8" s="242"/>
      <c r="G8" s="3" t="s">
        <v>58</v>
      </c>
      <c r="H8" s="238" t="s">
        <v>42</v>
      </c>
      <c r="I8" s="238"/>
      <c r="K8" s="8" t="s">
        <v>59</v>
      </c>
      <c r="L8" s="238">
        <f>'Final Work'!G6</f>
        <v>15</v>
      </c>
      <c r="M8" s="238"/>
    </row>
    <row r="9" ht="8.25" customHeight="1" spans="10:10" x14ac:dyDescent="0.25">
      <c r="J9" s="234"/>
    </row>
    <row r="10" ht="21.95" customHeight="1" spans="1:13" x14ac:dyDescent="0.25">
      <c r="A10" s="243" t="s">
        <v>60</v>
      </c>
      <c r="B10" s="244" t="s">
        <v>61</v>
      </c>
      <c r="C10" s="245"/>
      <c r="D10" s="243" t="s">
        <v>62</v>
      </c>
      <c r="E10" s="243"/>
      <c r="F10" s="243"/>
      <c r="G10" s="246" t="s">
        <v>63</v>
      </c>
      <c r="H10" s="244" t="s">
        <v>64</v>
      </c>
      <c r="I10" s="245"/>
      <c r="J10" s="247" t="s">
        <v>65</v>
      </c>
      <c r="K10" s="243" t="s">
        <v>66</v>
      </c>
      <c r="L10" s="243" t="s">
        <v>67</v>
      </c>
      <c r="M10" s="243" t="s">
        <v>68</v>
      </c>
    </row>
    <row r="11" ht="21.95" customHeight="1" spans="1:13" x14ac:dyDescent="0.25">
      <c r="A11" s="248"/>
      <c r="B11" s="249"/>
      <c r="C11" s="250"/>
      <c r="D11" s="248"/>
      <c r="E11" s="248"/>
      <c r="F11" s="248"/>
      <c r="G11" s="251" t="s">
        <v>69</v>
      </c>
      <c r="H11" s="249"/>
      <c r="I11" s="250"/>
      <c r="J11" s="252"/>
      <c r="K11" s="248"/>
      <c r="L11" s="248"/>
      <c r="M11" s="248"/>
    </row>
    <row r="12" ht="24" customHeight="1" spans="1:13" x14ac:dyDescent="0.25">
      <c r="A12" s="253"/>
      <c r="B12" s="254"/>
      <c r="C12" s="254"/>
      <c r="D12" s="255"/>
      <c r="E12" s="256"/>
      <c r="F12" s="257"/>
      <c r="G12" s="254"/>
      <c r="H12" s="258"/>
      <c r="I12" s="258"/>
      <c r="J12" s="258">
        <f t="shared" ref="J12:J17" si="0">SUM(H12)</f>
        <v>33</v>
      </c>
      <c r="K12" s="254"/>
      <c r="L12" s="254"/>
      <c r="M12" s="259"/>
    </row>
    <row r="13" ht="24" customHeight="1" spans="1:13" x14ac:dyDescent="0.25">
      <c r="A13" s="260"/>
      <c r="B13" s="254"/>
      <c r="C13" s="254"/>
      <c r="D13" s="261"/>
      <c r="E13" s="193"/>
      <c r="F13" s="262"/>
      <c r="G13" s="254"/>
      <c r="H13" s="258"/>
      <c r="I13" s="258"/>
      <c r="J13" s="258">
        <f t="shared" si="0"/>
        <v>61</v>
      </c>
      <c r="K13" s="254"/>
      <c r="L13" s="254"/>
      <c r="M13" s="259"/>
    </row>
    <row r="14" ht="24" customHeight="1" spans="1:13" x14ac:dyDescent="0.25">
      <c r="A14" s="260"/>
      <c r="B14" s="263"/>
      <c r="C14" s="263"/>
      <c r="D14" s="264"/>
      <c r="E14" s="265"/>
      <c r="F14" s="266"/>
      <c r="G14" s="263"/>
      <c r="H14" s="267"/>
      <c r="I14" s="267"/>
      <c r="J14" s="258">
        <f t="shared" si="0"/>
        <v>70</v>
      </c>
      <c r="K14" s="263"/>
      <c r="L14" s="263"/>
      <c r="M14" s="268"/>
    </row>
    <row r="15" ht="24" customHeight="1" spans="1:13" x14ac:dyDescent="0.25">
      <c r="A15" s="269"/>
      <c r="B15" s="263"/>
      <c r="C15" s="263"/>
      <c r="D15" s="255"/>
      <c r="E15" s="265"/>
      <c r="F15" s="257"/>
      <c r="G15" s="254"/>
      <c r="H15" s="258"/>
      <c r="I15" s="258"/>
      <c r="J15" s="258">
        <f t="shared" si="0"/>
        <v>2</v>
      </c>
      <c r="K15" s="254"/>
      <c r="L15" s="254"/>
      <c r="M15" s="268"/>
    </row>
    <row r="16" ht="24" customHeight="1" spans="1:13" x14ac:dyDescent="0.25">
      <c r="A16" s="270"/>
      <c r="B16" s="271"/>
      <c r="C16" s="271"/>
      <c r="D16" s="272"/>
      <c r="E16" s="273"/>
      <c r="F16" s="274"/>
      <c r="G16" s="271"/>
      <c r="H16" s="275"/>
      <c r="I16" s="275"/>
      <c r="J16" s="275">
        <f t="shared" si="0"/>
        <v>110</v>
      </c>
      <c r="K16" s="271"/>
      <c r="L16" s="271"/>
      <c r="M16" s="276"/>
    </row>
    <row r="17" ht="24" customHeight="1" hidden="1" spans="1:13" x14ac:dyDescent="0.25">
      <c r="A17" s="277"/>
      <c r="B17" s="278"/>
      <c r="C17" s="278"/>
      <c r="D17" s="279"/>
      <c r="E17" s="280"/>
      <c r="F17" s="281"/>
      <c r="G17" s="278"/>
      <c r="H17" s="282"/>
      <c r="I17" s="282"/>
      <c r="J17" s="282">
        <f t="shared" si="0"/>
        <v>0</v>
      </c>
      <c r="K17" s="278"/>
      <c r="L17" s="278"/>
      <c r="M17" s="283"/>
    </row>
    <row r="18" ht="24" customHeight="1" spans="1:13" x14ac:dyDescent="0.25">
      <c r="A18" s="233"/>
      <c r="B18" s="284"/>
      <c r="C18" s="285"/>
      <c r="D18" s="286" t="s">
        <v>70</v>
      </c>
      <c r="E18" s="286"/>
      <c r="F18" s="286"/>
      <c r="G18" s="286" t="s">
        <v>71</v>
      </c>
      <c r="H18" s="287">
        <f>SUM(H12:I17)</f>
        <v>276</v>
      </c>
      <c r="I18" s="287"/>
      <c r="J18" s="287">
        <f>SUM(J12:J17)</f>
        <v>276</v>
      </c>
      <c r="K18" s="286" t="s">
        <v>72</v>
      </c>
      <c r="L18" s="286" t="s">
        <v>72</v>
      </c>
      <c r="M18" s="233"/>
    </row>
    <row r="19" ht="24" customHeight="1" spans="1:13" x14ac:dyDescent="0.25">
      <c r="A19" s="233"/>
      <c r="B19" s="288"/>
      <c r="C19" s="222"/>
      <c r="D19" s="289"/>
      <c r="E19" s="289"/>
      <c r="F19" s="289"/>
      <c r="G19" s="289"/>
      <c r="H19" s="290"/>
      <c r="I19" s="290"/>
      <c r="J19" s="290"/>
      <c r="K19" s="289"/>
      <c r="L19" s="289"/>
      <c r="M19" s="233"/>
    </row>
    <row r="20" ht="24" customHeight="1" hidden="1" spans="1:13" x14ac:dyDescent="0.25">
      <c r="A20" s="253"/>
      <c r="B20" s="291"/>
      <c r="C20" s="291"/>
      <c r="D20" s="291"/>
      <c r="E20" s="291"/>
      <c r="F20" s="291"/>
      <c r="G20" s="291"/>
      <c r="H20" s="292"/>
      <c r="I20" s="293"/>
      <c r="J20" s="294"/>
      <c r="K20" s="291"/>
      <c r="L20" s="291"/>
      <c r="M20" s="259"/>
    </row>
    <row r="21" ht="24" customHeight="1" hidden="1" spans="1:13" x14ac:dyDescent="0.25">
      <c r="A21" s="253"/>
      <c r="B21" s="291"/>
      <c r="C21" s="291"/>
      <c r="D21" s="291"/>
      <c r="E21" s="291"/>
      <c r="F21" s="291"/>
      <c r="G21" s="291"/>
      <c r="H21" s="292"/>
      <c r="I21" s="293"/>
      <c r="J21" s="294"/>
      <c r="K21" s="291"/>
      <c r="L21" s="291"/>
      <c r="M21" s="259"/>
    </row>
    <row r="22" ht="24" customHeight="1" spans="1:13" x14ac:dyDescent="0.25">
      <c r="A22" s="253"/>
      <c r="B22" s="291"/>
      <c r="C22" s="291"/>
      <c r="D22" s="295"/>
      <c r="E22" s="295"/>
      <c r="F22" s="295"/>
      <c r="G22" s="295"/>
      <c r="H22" s="296"/>
      <c r="I22" s="296"/>
      <c r="J22" s="296"/>
      <c r="K22" s="295"/>
      <c r="L22" s="295"/>
      <c r="M22" s="253"/>
    </row>
    <row r="23" ht="24" customHeight="1" spans="1:13" x14ac:dyDescent="0.25">
      <c r="A23" s="253"/>
      <c r="B23" s="291"/>
      <c r="C23" s="291"/>
      <c r="D23" s="291"/>
      <c r="E23" s="291"/>
      <c r="F23" s="291"/>
      <c r="G23" s="291"/>
      <c r="H23" s="292"/>
      <c r="I23" s="293"/>
      <c r="J23" s="294"/>
      <c r="K23" s="291"/>
      <c r="L23" s="291"/>
      <c r="M23" s="259"/>
    </row>
    <row r="24" ht="24" customHeight="1" spans="1:13" x14ac:dyDescent="0.25">
      <c r="A24" s="253"/>
      <c r="B24" s="291"/>
      <c r="C24" s="291"/>
      <c r="D24" s="291"/>
      <c r="E24" s="291"/>
      <c r="F24" s="291"/>
      <c r="G24" s="291"/>
      <c r="H24" s="294"/>
      <c r="I24" s="294"/>
      <c r="J24" s="294"/>
      <c r="K24" s="291"/>
      <c r="L24" s="291"/>
      <c r="M24" s="259"/>
    </row>
    <row r="25" ht="21.95" customHeight="1" spans="1:1" x14ac:dyDescent="0.25">
      <c r="A25" s="3"/>
    </row>
    <row r="26" ht="21.95" customHeight="1" spans="1:1" x14ac:dyDescent="0.25">
      <c r="A26" s="3"/>
    </row>
    <row r="27" ht="20.1" customHeight="1" spans="1:1" x14ac:dyDescent="0.25">
      <c r="A27" s="3"/>
    </row>
    <row r="28" ht="20.1" customHeight="1" spans="1:13" x14ac:dyDescent="0.25">
      <c r="A28" s="234"/>
      <c r="B28" s="234"/>
      <c r="C28" s="234"/>
      <c r="G28" s="234"/>
      <c r="H28" s="234"/>
      <c r="I28" s="234"/>
      <c r="L28" s="234"/>
      <c r="M28" s="234"/>
    </row>
    <row r="29" spans="1:13" x14ac:dyDescent="0.25">
      <c r="A29" s="235" t="s">
        <v>34</v>
      </c>
      <c r="B29" s="235"/>
      <c r="C29" s="235"/>
      <c r="G29" s="235" t="s">
        <v>73</v>
      </c>
      <c r="H29" s="235"/>
      <c r="I29" s="235"/>
      <c r="L29" s="235" t="s">
        <v>35</v>
      </c>
      <c r="M29" s="235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51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D18:F18"/>
    <mergeCell ref="H18:I18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90"/>
  <sheetViews>
    <sheetView workbookViewId="0" zoomScale="85" zoomScaleNormal="85">
      <selection activeCell="N13" sqref="N13"/>
    </sheetView>
  </sheetViews>
  <sheetFormatPr defaultRowHeight="17.25" outlineLevelRow="0" outlineLevelCol="0" x14ac:dyDescent="0" defaultColWidth="9" customHeight="1"/>
  <cols>
    <col min="1" max="1" width="9.25" style="3" customWidth="1"/>
    <col min="2" max="3" width="7.625" style="3" customWidth="1"/>
    <col min="4" max="6" width="9.125" style="3" customWidth="1"/>
    <col min="7" max="7" width="10.125" style="3" customWidth="1"/>
    <col min="8" max="9" width="7.875" style="3" customWidth="1"/>
    <col min="10" max="10" width="15" style="3" customWidth="1"/>
    <col min="11" max="12" width="9.875" style="3" customWidth="1"/>
    <col min="13" max="13" width="17.5" style="3" customWidth="1"/>
    <col min="14" max="16384" width="9" style="3" customWidth="1"/>
  </cols>
  <sheetData>
    <row r="1" ht="27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9.75" customHeight="1" x14ac:dyDescent="0.25"/>
    <row r="4" ht="24" customHeight="1" spans="1:13" x14ac:dyDescent="0.25">
      <c r="A4" s="239" t="s">
        <v>91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</row>
    <row r="5" ht="10.5" customHeight="1" x14ac:dyDescent="0.25"/>
    <row r="6" ht="17.1" customHeight="1" spans="1:14" x14ac:dyDescent="0.25">
      <c r="A6" s="3" t="s">
        <v>53</v>
      </c>
      <c r="B6" s="8" t="str">
        <f>'Final Work'!B4</f>
        <v>TIAN HAI PING ZE</v>
      </c>
      <c r="G6" s="3" t="s">
        <v>54</v>
      </c>
      <c r="H6" s="238" t="s">
        <v>92</v>
      </c>
      <c r="I6" s="238"/>
      <c r="K6" s="3" t="s">
        <v>56</v>
      </c>
      <c r="L6" s="240">
        <f>'Final Work'!L4:O4</f>
        <v>46228</v>
      </c>
      <c r="M6" s="238"/>
      <c r="N6" s="1"/>
    </row>
    <row r="7" ht="5.25" customHeight="1" spans="8:9" x14ac:dyDescent="0.25">
      <c r="H7" s="241"/>
      <c r="I7" s="241"/>
    </row>
    <row r="8" ht="17.1" customHeight="1" spans="1:13" x14ac:dyDescent="0.25">
      <c r="A8" s="8" t="s">
        <v>93</v>
      </c>
      <c r="B8" s="3" t="s">
        <v>37</v>
      </c>
      <c r="C8" s="242"/>
      <c r="D8" s="242"/>
      <c r="G8" s="3" t="s">
        <v>58</v>
      </c>
      <c r="H8" s="238" t="s">
        <v>42</v>
      </c>
      <c r="I8" s="238"/>
      <c r="K8" s="8" t="s">
        <v>59</v>
      </c>
      <c r="L8" s="238">
        <f>'Final Work'!G6</f>
        <v>15</v>
      </c>
      <c r="M8" s="238"/>
    </row>
    <row r="9" ht="8.25" customHeight="1" spans="10:10" x14ac:dyDescent="0.25">
      <c r="J9" s="234"/>
    </row>
    <row r="10" ht="21.95" customHeight="1" spans="1:13" x14ac:dyDescent="0.25">
      <c r="A10" s="243" t="s">
        <v>60</v>
      </c>
      <c r="B10" s="243" t="s">
        <v>61</v>
      </c>
      <c r="C10" s="243"/>
      <c r="D10" s="243" t="s">
        <v>62</v>
      </c>
      <c r="E10" s="243"/>
      <c r="F10" s="243"/>
      <c r="G10" s="246" t="s">
        <v>63</v>
      </c>
      <c r="H10" s="297" t="s">
        <v>64</v>
      </c>
      <c r="I10" s="298"/>
      <c r="J10" s="246" t="s">
        <v>94</v>
      </c>
      <c r="K10" s="243" t="s">
        <v>66</v>
      </c>
      <c r="L10" s="243" t="s">
        <v>67</v>
      </c>
      <c r="M10" s="243" t="s">
        <v>68</v>
      </c>
    </row>
    <row r="11" ht="21.95" customHeight="1" spans="1:13" x14ac:dyDescent="0.25">
      <c r="A11" s="248"/>
      <c r="B11" s="248"/>
      <c r="C11" s="248"/>
      <c r="D11" s="248"/>
      <c r="E11" s="248"/>
      <c r="F11" s="248"/>
      <c r="G11" s="251" t="s">
        <v>69</v>
      </c>
      <c r="H11" s="299"/>
      <c r="I11" s="301"/>
      <c r="J11" s="251"/>
      <c r="K11" s="248"/>
      <c r="L11" s="248"/>
      <c r="M11" s="248"/>
    </row>
    <row r="12" ht="24.95" customHeight="1" spans="1:13" x14ac:dyDescent="0.25">
      <c r="A12" s="253"/>
      <c r="B12" s="254"/>
      <c r="C12" s="254"/>
      <c r="D12" s="255"/>
      <c r="E12" s="256"/>
      <c r="F12" s="257"/>
      <c r="G12" s="254"/>
      <c r="H12" s="324"/>
      <c r="I12" s="325"/>
      <c r="J12" s="258">
        <f t="shared" ref="J12:J21" si="0">SUM(H12)</f>
        <v>14</v>
      </c>
      <c r="K12" s="254"/>
      <c r="L12" s="254"/>
      <c r="M12" s="326"/>
    </row>
    <row r="13" ht="24.95" customHeight="1" spans="1:13" x14ac:dyDescent="0.25">
      <c r="A13" s="253"/>
      <c r="B13" s="254"/>
      <c r="C13" s="254"/>
      <c r="D13" s="255"/>
      <c r="E13" s="256"/>
      <c r="F13" s="257"/>
      <c r="G13" s="254"/>
      <c r="H13" s="324"/>
      <c r="I13" s="325"/>
      <c r="J13" s="258">
        <f t="shared" si="0"/>
        <v>20</v>
      </c>
      <c r="K13" s="254"/>
      <c r="L13" s="254"/>
      <c r="M13" s="327"/>
    </row>
    <row r="14" ht="24.95" customHeight="1" hidden="1" spans="1:13" x14ac:dyDescent="0.25">
      <c r="A14" s="253"/>
      <c r="B14" s="254"/>
      <c r="C14" s="254"/>
      <c r="D14" s="255"/>
      <c r="E14" s="256"/>
      <c r="F14" s="257"/>
      <c r="G14" s="254"/>
      <c r="H14" s="324"/>
      <c r="I14" s="325"/>
      <c r="J14" s="258">
        <f t="shared" si="0"/>
        <v>0</v>
      </c>
      <c r="K14" s="254"/>
      <c r="L14" s="254"/>
      <c r="M14" s="327"/>
    </row>
    <row r="15" ht="24.95" customHeight="1" spans="1:13" x14ac:dyDescent="0.25">
      <c r="A15" s="253"/>
      <c r="B15" s="254"/>
      <c r="C15" s="254"/>
      <c r="D15" s="255"/>
      <c r="E15" s="256"/>
      <c r="F15" s="257"/>
      <c r="G15" s="254"/>
      <c r="H15" s="324"/>
      <c r="I15" s="325"/>
      <c r="J15" s="258">
        <f t="shared" si="0"/>
        <v>70</v>
      </c>
      <c r="K15" s="254"/>
      <c r="L15" s="254"/>
      <c r="M15" s="327"/>
    </row>
    <row r="16" ht="24.95" customHeight="1" hidden="1" spans="1:13" x14ac:dyDescent="0.25">
      <c r="A16" s="253"/>
      <c r="B16" s="254"/>
      <c r="C16" s="254"/>
      <c r="D16" s="255"/>
      <c r="E16" s="256"/>
      <c r="F16" s="257"/>
      <c r="G16" s="254"/>
      <c r="H16" s="324"/>
      <c r="I16" s="325"/>
      <c r="J16" s="258">
        <f t="shared" si="0"/>
        <v>0</v>
      </c>
      <c r="K16" s="254"/>
      <c r="L16" s="254"/>
      <c r="M16" s="327"/>
    </row>
    <row r="17" ht="24.95" customHeight="1" spans="1:13" x14ac:dyDescent="0.25">
      <c r="A17" s="253"/>
      <c r="B17" s="254"/>
      <c r="C17" s="254"/>
      <c r="D17" s="255"/>
      <c r="E17" s="256"/>
      <c r="F17" s="257"/>
      <c r="G17" s="254"/>
      <c r="H17" s="324"/>
      <c r="I17" s="325"/>
      <c r="J17" s="258">
        <f t="shared" si="0"/>
        <v>10</v>
      </c>
      <c r="K17" s="254"/>
      <c r="L17" s="254"/>
      <c r="M17" s="328"/>
    </row>
    <row r="18" ht="24.95" customHeight="1" spans="1:13" x14ac:dyDescent="0.25">
      <c r="A18" s="253"/>
      <c r="B18" s="254"/>
      <c r="C18" s="254"/>
      <c r="D18" s="255"/>
      <c r="E18" s="256"/>
      <c r="F18" s="257"/>
      <c r="G18" s="254"/>
      <c r="H18" s="324"/>
      <c r="I18" s="325"/>
      <c r="J18" s="258">
        <f t="shared" si="0"/>
        <v>13</v>
      </c>
      <c r="K18" s="254"/>
      <c r="L18" s="254"/>
      <c r="M18" s="326"/>
    </row>
    <row r="19" ht="24.95" customHeight="1" spans="1:13" x14ac:dyDescent="0.25">
      <c r="A19" s="253"/>
      <c r="B19" s="254"/>
      <c r="C19" s="254"/>
      <c r="D19" s="255"/>
      <c r="E19" s="256"/>
      <c r="F19" s="257"/>
      <c r="G19" s="254"/>
      <c r="H19" s="324"/>
      <c r="I19" s="325"/>
      <c r="J19" s="258">
        <f t="shared" si="0"/>
        <v>16</v>
      </c>
      <c r="K19" s="254"/>
      <c r="L19" s="254"/>
      <c r="M19" s="327"/>
    </row>
    <row r="20" ht="24.95" customHeight="1" spans="1:13" x14ac:dyDescent="0.25">
      <c r="A20" s="253"/>
      <c r="B20" s="254"/>
      <c r="C20" s="254"/>
      <c r="D20" s="255"/>
      <c r="E20" s="256"/>
      <c r="F20" s="257"/>
      <c r="G20" s="254"/>
      <c r="H20" s="324"/>
      <c r="I20" s="325"/>
      <c r="J20" s="258">
        <f t="shared" si="0"/>
        <v>1</v>
      </c>
      <c r="K20" s="254"/>
      <c r="L20" s="254"/>
      <c r="M20" s="328"/>
    </row>
    <row r="21" ht="24.95" customHeight="1" spans="1:13" x14ac:dyDescent="0.25">
      <c r="A21" s="233"/>
      <c r="B21" s="254"/>
      <c r="C21" s="254"/>
      <c r="D21" s="255"/>
      <c r="E21" s="256"/>
      <c r="F21" s="257"/>
      <c r="G21" s="254"/>
      <c r="H21" s="324"/>
      <c r="I21" s="325"/>
      <c r="J21" s="258">
        <f t="shared" si="0"/>
        <v>83</v>
      </c>
      <c r="K21" s="254"/>
      <c r="L21" s="254"/>
      <c r="M21" s="328"/>
    </row>
    <row r="22" ht="24.95" customHeight="1" spans="1:13" x14ac:dyDescent="0.25">
      <c r="A22" s="329"/>
      <c r="B22" s="330"/>
      <c r="C22" s="331"/>
      <c r="D22" s="332" t="s">
        <v>70</v>
      </c>
      <c r="E22" s="332"/>
      <c r="F22" s="332"/>
      <c r="G22" s="332" t="s">
        <v>71</v>
      </c>
      <c r="H22" s="333">
        <f>SUM(H12:I21)</f>
        <v>227</v>
      </c>
      <c r="I22" s="334"/>
      <c r="J22" s="335">
        <f>SUM(J12:J21)</f>
        <v>227</v>
      </c>
      <c r="K22" s="332" t="s">
        <v>72</v>
      </c>
      <c r="L22" s="332" t="s">
        <v>72</v>
      </c>
      <c r="M22" s="329"/>
    </row>
    <row r="23" ht="24.95" customHeight="1" hidden="1" spans="1:13" x14ac:dyDescent="0.25">
      <c r="A23" s="253"/>
      <c r="B23" s="291"/>
      <c r="C23" s="291"/>
      <c r="D23" s="291"/>
      <c r="E23" s="291"/>
      <c r="F23" s="291"/>
      <c r="G23" s="291"/>
      <c r="H23" s="294"/>
      <c r="I23" s="294"/>
      <c r="J23" s="294"/>
      <c r="K23" s="291"/>
      <c r="L23" s="291"/>
      <c r="M23" s="259"/>
    </row>
    <row r="24" ht="24.95" customHeight="1" spans="1:13" x14ac:dyDescent="0.25">
      <c r="A24" s="253"/>
      <c r="B24" s="291"/>
      <c r="C24" s="291"/>
      <c r="D24" s="291"/>
      <c r="E24" s="291"/>
      <c r="F24" s="291"/>
      <c r="G24" s="291"/>
      <c r="H24" s="294"/>
      <c r="I24" s="294"/>
      <c r="J24" s="294"/>
      <c r="K24" s="291"/>
      <c r="L24" s="291"/>
      <c r="M24" s="259"/>
    </row>
    <row r="25" ht="20.1" customHeight="1" spans="1:13" x14ac:dyDescent="0.25">
      <c r="A25" s="336"/>
      <c r="B25" s="337"/>
      <c r="C25" s="337"/>
      <c r="D25" s="337"/>
      <c r="E25" s="337"/>
      <c r="F25" s="337"/>
      <c r="G25" s="337"/>
      <c r="H25" s="337"/>
      <c r="I25" s="337"/>
      <c r="J25" s="337"/>
      <c r="K25" s="337"/>
      <c r="L25" s="337"/>
      <c r="M25" s="337"/>
    </row>
    <row r="26" ht="20.1" customHeight="1" spans="1:13" x14ac:dyDescent="0.25">
      <c r="A26" s="338"/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</row>
    <row r="27" ht="20.1" customHeight="1" spans="1:13" x14ac:dyDescent="0.25">
      <c r="A27" s="338"/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</row>
    <row r="28" ht="20.1" customHeight="1" spans="1:13" x14ac:dyDescent="0.25">
      <c r="A28" s="234"/>
      <c r="B28" s="234"/>
      <c r="C28" s="234"/>
      <c r="G28" s="234"/>
      <c r="H28" s="234"/>
      <c r="I28" s="234"/>
      <c r="L28" s="234"/>
      <c r="M28" s="234"/>
    </row>
    <row r="29" spans="1:13" x14ac:dyDescent="0.25">
      <c r="A29" s="235" t="s">
        <v>34</v>
      </c>
      <c r="B29" s="235"/>
      <c r="C29" s="235"/>
      <c r="G29" s="235" t="s">
        <v>73</v>
      </c>
      <c r="H29" s="235"/>
      <c r="I29" s="235"/>
      <c r="L29" s="235" t="s">
        <v>35</v>
      </c>
      <c r="M29" s="235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47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9:C29"/>
    <mergeCell ref="G29:I29"/>
    <mergeCell ref="L29:M2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workbookViewId="0" zoomScale="80" zoomScaleNormal="80">
      <selection activeCell="O79" sqref="O79"/>
    </sheetView>
  </sheetViews>
  <sheetFormatPr defaultRowHeight="13.5" outlineLevelRow="0" outlineLevelCol="0" x14ac:dyDescent="0" defaultColWidth="9" customHeight="1"/>
  <cols>
    <col min="1" max="1" width="7" style="186" customWidth="1"/>
    <col min="2" max="2" width="7.5" style="186" customWidth="1"/>
    <col min="3" max="3" width="6.75" style="186" customWidth="1"/>
    <col min="4" max="4" width="6.875" style="186" customWidth="1"/>
    <col min="5" max="5" width="7" style="186" customWidth="1"/>
    <col min="6" max="6" width="7.5" style="186" customWidth="1"/>
    <col min="7" max="7" width="6.625" style="186" customWidth="1"/>
    <col min="8" max="12" width="7.125" style="186" customWidth="1"/>
    <col min="13" max="13" width="6.75" style="186" customWidth="1"/>
    <col min="14" max="16384" width="9" style="186" customWidth="1"/>
  </cols>
  <sheetData>
    <row r="1" ht="37.9" customHeight="1" spans="1:13" x14ac:dyDescent="0.25">
      <c r="A1" s="237" t="s">
        <v>36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ht="18.75" customHeight="1" spans="1:13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</row>
    <row r="3" ht="3" customHeight="1" x14ac:dyDescent="0.25"/>
    <row r="4" ht="30" customHeight="1" spans="1:13" x14ac:dyDescent="0.25">
      <c r="A4" s="340" t="s">
        <v>96</v>
      </c>
      <c r="B4" s="340"/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</row>
    <row r="5" ht="10.5" customHeight="1" x14ac:dyDescent="0.25"/>
    <row r="6" ht="22.15" customHeight="1" spans="1:13" s="21" customFormat="1" x14ac:dyDescent="0.25">
      <c r="A6" s="193" t="s">
        <v>97</v>
      </c>
      <c r="B6" s="197" t="str">
        <f>'Final Work'!B4</f>
        <v>TIAN HAI PING ZE</v>
      </c>
      <c r="C6" s="193"/>
      <c r="D6" s="193"/>
      <c r="E6" s="28" t="s">
        <v>98</v>
      </c>
      <c r="F6" s="28"/>
      <c r="G6" s="28" t="str">
        <f>'OS-IN'!H6</f>
        <v>2022E</v>
      </c>
      <c r="H6" s="28"/>
      <c r="I6" s="193"/>
      <c r="J6" s="193" t="s">
        <v>99</v>
      </c>
      <c r="K6" s="341">
        <f>'OS-IN'!L6</f>
        <v>46227</v>
      </c>
      <c r="L6" s="28"/>
      <c r="M6" s="28"/>
    </row>
    <row r="7" ht="14.25" customHeight="1" spans="1:13" s="21" customFormat="1" x14ac:dyDescent="0.25">
      <c r="A7" s="193"/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</row>
    <row r="8" ht="22.15" customHeight="1" spans="1:13" s="193" customFormat="1" x14ac:dyDescent="0.25">
      <c r="A8" s="37" t="s">
        <v>100</v>
      </c>
      <c r="B8" s="37"/>
      <c r="C8" s="193" t="s">
        <v>86</v>
      </c>
      <c r="E8" s="28" t="s">
        <v>101</v>
      </c>
      <c r="F8" s="28"/>
      <c r="G8" s="28" t="s">
        <v>102</v>
      </c>
      <c r="H8" s="28"/>
      <c r="J8" s="193" t="s">
        <v>103</v>
      </c>
      <c r="K8" s="28" t="s">
        <v>15</v>
      </c>
      <c r="L8" s="28" t="s">
        <v>16</v>
      </c>
      <c r="M8" s="28" t="s">
        <v>18</v>
      </c>
    </row>
    <row r="9" ht="22.15" customHeight="1" spans="1:3" s="193" customFormat="1" x14ac:dyDescent="0.25">
      <c r="A9" s="37" t="s">
        <v>104</v>
      </c>
      <c r="B9" s="37"/>
      <c r="C9" s="193" t="s">
        <v>105</v>
      </c>
    </row>
    <row r="10" ht="13.5" customHeight="1" spans="13:13" s="37" customFormat="1" x14ac:dyDescent="0.25">
      <c r="M10" s="342" t="s">
        <v>106</v>
      </c>
    </row>
    <row r="11" ht="16.9" customHeight="1" spans="1:13" s="37" customFormat="1" x14ac:dyDescent="0.25">
      <c r="A11" s="343"/>
      <c r="B11" s="344"/>
      <c r="C11" s="344"/>
      <c r="D11" s="344"/>
      <c r="E11" s="344"/>
      <c r="F11" s="344"/>
      <c r="G11" s="344"/>
      <c r="H11" s="344"/>
      <c r="I11" s="344"/>
      <c r="J11" s="344"/>
      <c r="K11" s="344"/>
      <c r="L11" s="344"/>
      <c r="M11" s="345"/>
    </row>
    <row r="12" ht="16.9" customHeight="1" spans="1:13" s="37" customFormat="1" x14ac:dyDescent="0.25">
      <c r="A12" s="346"/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86"/>
      <c r="M12" s="347"/>
    </row>
    <row r="13" ht="16.9" customHeight="1" spans="1:13" x14ac:dyDescent="0.25">
      <c r="A13" s="346"/>
      <c r="M13" s="347"/>
    </row>
    <row r="14" ht="16.9" customHeight="1" spans="1:13" x14ac:dyDescent="0.25">
      <c r="A14" s="346"/>
      <c r="M14" s="347"/>
    </row>
    <row r="15" ht="16.9" customHeight="1" spans="1:13" x14ac:dyDescent="0.25">
      <c r="A15" s="346"/>
      <c r="M15" s="347"/>
    </row>
    <row r="16" ht="16.9" customHeight="1" spans="1:13" x14ac:dyDescent="0.25">
      <c r="A16" s="346"/>
      <c r="M16" s="347"/>
    </row>
    <row r="17" ht="16.9" customHeight="1" spans="1:13" x14ac:dyDescent="0.25">
      <c r="A17" s="346"/>
      <c r="M17" s="347"/>
    </row>
    <row r="18" ht="16.9" customHeight="1" spans="1:13" x14ac:dyDescent="0.25">
      <c r="A18" s="346"/>
      <c r="M18" s="347"/>
    </row>
    <row r="19" ht="16.9" customHeight="1" spans="1:13" x14ac:dyDescent="0.25">
      <c r="A19" s="346"/>
      <c r="M19" s="347"/>
    </row>
    <row r="20" ht="16.9" customHeight="1" spans="1:13" x14ac:dyDescent="0.25">
      <c r="A20" s="346"/>
      <c r="M20" s="347"/>
    </row>
    <row r="21" ht="16.9" customHeight="1" spans="1:13" x14ac:dyDescent="0.25">
      <c r="A21" s="346"/>
      <c r="M21" s="347"/>
    </row>
    <row r="22" ht="16.9" customHeight="1" spans="1:13" x14ac:dyDescent="0.25">
      <c r="A22" s="346"/>
      <c r="M22" s="347"/>
    </row>
    <row r="23" ht="16.9" customHeight="1" spans="1:13" x14ac:dyDescent="0.25">
      <c r="A23" s="346"/>
      <c r="M23" s="347"/>
    </row>
    <row r="24" ht="16.9" customHeight="1" spans="1:13" x14ac:dyDescent="0.25">
      <c r="A24" s="346"/>
      <c r="M24" s="347"/>
    </row>
    <row r="25" ht="16.9" customHeight="1" spans="1:13" x14ac:dyDescent="0.25">
      <c r="A25" s="346"/>
      <c r="M25" s="347"/>
    </row>
    <row r="26" ht="9.75" customHeight="1" spans="1:13" x14ac:dyDescent="0.25">
      <c r="A26" s="348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50"/>
    </row>
    <row r="27" ht="9.75" customHeight="1" x14ac:dyDescent="0.25"/>
    <row r="28" ht="18" customHeight="1" spans="1:12" x14ac:dyDescent="0.25">
      <c r="A28" s="351" t="s">
        <v>107</v>
      </c>
      <c r="B28" s="351"/>
      <c r="C28" s="351"/>
      <c r="D28" s="352"/>
      <c r="E28" s="352"/>
      <c r="F28" s="352"/>
      <c r="G28" s="352"/>
      <c r="H28" s="352"/>
      <c r="I28" s="352"/>
      <c r="J28" s="352"/>
      <c r="K28" s="352"/>
      <c r="L28" s="352"/>
    </row>
    <row r="29" ht="22.15" customHeight="1" spans="1:13" x14ac:dyDescent="0.25">
      <c r="A29" s="353"/>
      <c r="B29" s="354" t="s">
        <v>108</v>
      </c>
      <c r="C29" s="354"/>
      <c r="D29" s="354"/>
      <c r="E29" s="354"/>
      <c r="F29" s="354"/>
      <c r="G29" s="354"/>
      <c r="H29" s="354"/>
      <c r="I29" s="354"/>
      <c r="J29" s="354"/>
      <c r="K29" s="354"/>
      <c r="L29" s="354"/>
      <c r="M29" s="354"/>
    </row>
    <row r="30" ht="22.15" customHeight="1" spans="1:13" x14ac:dyDescent="0.25">
      <c r="A30" s="355"/>
      <c r="B30" s="356" t="s">
        <v>88</v>
      </c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</row>
    <row r="31" ht="22.15" customHeight="1" spans="1:13" s="37" customFormat="1" x14ac:dyDescent="0.25">
      <c r="A31" s="357"/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</row>
    <row r="32" ht="22.15" customHeight="1" spans="1:13" s="37" customFormat="1" x14ac:dyDescent="0.25">
      <c r="A32" s="353"/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</row>
    <row r="33" ht="22.15" customHeight="1" spans="1:13" s="37" customFormat="1" x14ac:dyDescent="0.25">
      <c r="A33" s="353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354"/>
      <c r="M33" s="354"/>
    </row>
    <row r="34" ht="22.15" customHeight="1" spans="1:13" s="37" customFormat="1" x14ac:dyDescent="0.25">
      <c r="A34" s="353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354"/>
      <c r="M34" s="354"/>
    </row>
    <row r="35" ht="21.95" customHeight="1" spans="1:13" s="37" customFormat="1" x14ac:dyDescent="0.25">
      <c r="A35" s="359" t="s">
        <v>109</v>
      </c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349"/>
    </row>
    <row r="36" ht="21.75" customHeight="1" spans="1:13" s="37" customFormat="1" x14ac:dyDescent="0.25">
      <c r="A36" s="360" t="s">
        <v>110</v>
      </c>
      <c r="B36" s="361" t="s">
        <v>111</v>
      </c>
      <c r="C36" s="360" t="s">
        <v>112</v>
      </c>
      <c r="D36" s="361" t="s">
        <v>113</v>
      </c>
      <c r="E36" s="360" t="s">
        <v>114</v>
      </c>
      <c r="F36" s="360" t="s">
        <v>115</v>
      </c>
      <c r="G36" s="291" t="s">
        <v>116</v>
      </c>
      <c r="H36" s="361" t="s">
        <v>117</v>
      </c>
      <c r="I36" s="362" t="s">
        <v>118</v>
      </c>
      <c r="J36" s="291" t="s">
        <v>119</v>
      </c>
      <c r="K36" s="363" t="s">
        <v>120</v>
      </c>
      <c r="L36" s="291" t="s">
        <v>121</v>
      </c>
      <c r="M36" s="210" t="s">
        <v>122</v>
      </c>
    </row>
    <row r="37" ht="18" customHeight="1" spans="1:13" x14ac:dyDescent="0.25">
      <c r="A37" s="364" t="s">
        <v>123</v>
      </c>
      <c r="B37" s="364" t="s">
        <v>124</v>
      </c>
      <c r="C37" s="364" t="s">
        <v>125</v>
      </c>
      <c r="D37" s="364" t="s">
        <v>126</v>
      </c>
      <c r="E37" s="364" t="s">
        <v>127</v>
      </c>
      <c r="F37" s="364" t="s">
        <v>128</v>
      </c>
      <c r="G37" s="365" t="s">
        <v>129</v>
      </c>
      <c r="H37" s="366" t="s">
        <v>130</v>
      </c>
      <c r="I37" s="366" t="s">
        <v>131</v>
      </c>
      <c r="J37" s="364" t="s">
        <v>132</v>
      </c>
      <c r="K37" s="367" t="s">
        <v>133</v>
      </c>
      <c r="L37" s="364" t="s">
        <v>134</v>
      </c>
      <c r="M37" s="368" t="s">
        <v>135</v>
      </c>
    </row>
    <row r="38" ht="15.75" customHeight="1" spans="1:13" s="37" customFormat="1" x14ac:dyDescent="0.25">
      <c r="A38" s="369"/>
      <c r="B38" s="369"/>
      <c r="C38" s="369"/>
      <c r="D38" s="369"/>
      <c r="E38" s="369"/>
      <c r="F38" s="369"/>
      <c r="G38" s="370"/>
      <c r="H38" s="371"/>
      <c r="I38" s="371"/>
      <c r="J38" s="369"/>
      <c r="K38" s="372"/>
      <c r="L38" s="369"/>
      <c r="M38" s="373"/>
    </row>
    <row r="39" ht="15" customHeight="1" spans="1:13" s="374" customFormat="1" x14ac:dyDescent="0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/>
      <c r="M39" s="186"/>
    </row>
    <row r="40" ht="15" customHeight="1" spans="1:13" s="374" customFormat="1" x14ac:dyDescent="0.25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</row>
    <row r="41" ht="15" customHeight="1" x14ac:dyDescent="0.25"/>
    <row r="42" ht="15" customHeight="1" x14ac:dyDescent="0.25"/>
    <row r="43" ht="15" customHeight="1" spans="1:13" x14ac:dyDescent="0.25">
      <c r="A43" s="349"/>
      <c r="B43" s="349"/>
      <c r="C43" s="349"/>
      <c r="D43" s="3"/>
      <c r="E43" s="3"/>
      <c r="F43" s="349"/>
      <c r="G43" s="349"/>
      <c r="H43" s="349"/>
      <c r="K43" s="349"/>
      <c r="L43" s="349"/>
      <c r="M43" s="349"/>
    </row>
    <row r="44" ht="17.25" customHeight="1" spans="1:13" x14ac:dyDescent="0.25">
      <c r="A44" s="375" t="s">
        <v>34</v>
      </c>
      <c r="B44" s="185"/>
      <c r="C44" s="185"/>
      <c r="D44" s="21"/>
      <c r="E44" s="21"/>
      <c r="F44" s="375" t="s">
        <v>136</v>
      </c>
      <c r="G44" s="185"/>
      <c r="H44" s="185"/>
      <c r="K44" s="375" t="s">
        <v>35</v>
      </c>
      <c r="L44" s="185"/>
      <c r="M44" s="185"/>
    </row>
    <row r="45" ht="37.9" customHeight="1" spans="1:13" x14ac:dyDescent="0.25">
      <c r="A45" s="237" t="s">
        <v>36</v>
      </c>
      <c r="B45" s="237"/>
      <c r="C45" s="237"/>
      <c r="D45" s="237"/>
      <c r="E45" s="237"/>
      <c r="F45" s="237"/>
      <c r="G45" s="237"/>
      <c r="H45" s="237"/>
      <c r="I45" s="237"/>
      <c r="J45" s="237"/>
      <c r="K45" s="237"/>
      <c r="L45" s="237"/>
      <c r="M45" s="237"/>
    </row>
    <row r="46" ht="18.75" customHeight="1" spans="1:13" x14ac:dyDescent="0.25">
      <c r="A46" s="238" t="s">
        <v>37</v>
      </c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</row>
    <row r="47" ht="3" customHeight="1" x14ac:dyDescent="0.25"/>
    <row r="48" ht="30" customHeight="1" spans="1:13" x14ac:dyDescent="0.25">
      <c r="A48" s="340" t="s">
        <v>96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</row>
    <row r="49" ht="10.5" customHeight="1" x14ac:dyDescent="0.25"/>
    <row r="50" ht="22.15" customHeight="1" spans="1:13" s="21" customFormat="1" x14ac:dyDescent="0.25">
      <c r="A50" s="193" t="s">
        <v>97</v>
      </c>
      <c r="B50" s="197" t="str">
        <f>'Final Work'!B4</f>
        <v>TIAN HAI PING ZE</v>
      </c>
      <c r="C50" s="193"/>
      <c r="D50" s="193"/>
      <c r="E50" s="28" t="s">
        <v>98</v>
      </c>
      <c r="F50" s="28"/>
      <c r="G50" s="28" t="str">
        <f>'OS-IN'!H6</f>
        <v>2022E</v>
      </c>
      <c r="H50" s="28"/>
      <c r="I50" s="193"/>
      <c r="J50" s="193" t="s">
        <v>99</v>
      </c>
      <c r="K50" s="341">
        <f>'OS-IN'!L6</f>
        <v>46227</v>
      </c>
      <c r="L50" s="28"/>
      <c r="M50" s="28"/>
    </row>
    <row r="51" ht="14.25" customHeight="1" spans="1:13" s="21" customFormat="1" x14ac:dyDescent="0.25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</row>
    <row r="52" ht="22.15" customHeight="1" spans="1:13" s="193" customFormat="1" x14ac:dyDescent="0.25">
      <c r="A52" s="37" t="s">
        <v>100</v>
      </c>
      <c r="B52" s="37"/>
      <c r="C52" s="193" t="s">
        <v>89</v>
      </c>
      <c r="E52" s="28" t="s">
        <v>101</v>
      </c>
      <c r="F52" s="28"/>
      <c r="G52" s="28" t="s">
        <v>102</v>
      </c>
      <c r="H52" s="28"/>
      <c r="J52" s="193" t="s">
        <v>103</v>
      </c>
      <c r="K52" s="28" t="s">
        <v>15</v>
      </c>
      <c r="L52" s="28" t="s">
        <v>16</v>
      </c>
      <c r="M52" s="28" t="s">
        <v>18</v>
      </c>
    </row>
    <row r="53" ht="22.15" customHeight="1" spans="1:3" s="193" customFormat="1" x14ac:dyDescent="0.25">
      <c r="A53" s="37" t="s">
        <v>104</v>
      </c>
      <c r="B53" s="37"/>
      <c r="C53" s="193" t="s">
        <v>105</v>
      </c>
    </row>
    <row r="54" ht="13.5" customHeight="1" spans="13:13" s="37" customFormat="1" x14ac:dyDescent="0.25">
      <c r="M54" s="342" t="s">
        <v>106</v>
      </c>
    </row>
    <row r="55" ht="16.9" customHeight="1" spans="1:13" s="37" customFormat="1" x14ac:dyDescent="0.25">
      <c r="A55" s="343"/>
      <c r="B55" s="344"/>
      <c r="C55" s="344"/>
      <c r="D55" s="344"/>
      <c r="E55" s="344"/>
      <c r="F55" s="344"/>
      <c r="G55" s="344"/>
      <c r="H55" s="344"/>
      <c r="I55" s="344"/>
      <c r="J55" s="344"/>
      <c r="K55" s="344"/>
      <c r="L55" s="344"/>
      <c r="M55" s="345"/>
    </row>
    <row r="56" ht="16.9" customHeight="1" spans="1:13" s="37" customFormat="1" x14ac:dyDescent="0.25">
      <c r="A56" s="346"/>
      <c r="B56" s="186"/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347"/>
    </row>
    <row r="57" ht="16.9" customHeight="1" spans="1:13" x14ac:dyDescent="0.25">
      <c r="A57" s="346"/>
      <c r="M57" s="347"/>
    </row>
    <row r="58" ht="16.9" customHeight="1" spans="1:13" x14ac:dyDescent="0.25">
      <c r="A58" s="346"/>
      <c r="M58" s="347"/>
    </row>
    <row r="59" ht="16.9" customHeight="1" spans="1:13" x14ac:dyDescent="0.25">
      <c r="A59" s="346"/>
      <c r="M59" s="347"/>
    </row>
    <row r="60" ht="16.9" customHeight="1" spans="1:13" x14ac:dyDescent="0.25">
      <c r="A60" s="346"/>
      <c r="M60" s="347"/>
    </row>
    <row r="61" ht="16.9" customHeight="1" spans="1:13" x14ac:dyDescent="0.25">
      <c r="A61" s="346"/>
      <c r="M61" s="347"/>
    </row>
    <row r="62" ht="16.9" customHeight="1" spans="1:13" x14ac:dyDescent="0.25">
      <c r="A62" s="346"/>
      <c r="M62" s="347"/>
    </row>
    <row r="63" ht="16.9" customHeight="1" spans="1:13" x14ac:dyDescent="0.25">
      <c r="A63" s="346"/>
      <c r="M63" s="347"/>
    </row>
    <row r="64" ht="16.9" customHeight="1" spans="1:13" x14ac:dyDescent="0.25">
      <c r="A64" s="346"/>
      <c r="M64" s="347"/>
    </row>
    <row r="65" ht="16.9" customHeight="1" spans="1:13" x14ac:dyDescent="0.25">
      <c r="A65" s="346"/>
      <c r="M65" s="347"/>
    </row>
    <row r="66" ht="16.9" customHeight="1" spans="1:13" x14ac:dyDescent="0.25">
      <c r="A66" s="346"/>
      <c r="M66" s="347"/>
    </row>
    <row r="67" ht="16.9" customHeight="1" spans="1:13" x14ac:dyDescent="0.25">
      <c r="A67" s="346"/>
      <c r="M67" s="347"/>
    </row>
    <row r="68" ht="16.9" customHeight="1" spans="1:13" x14ac:dyDescent="0.25">
      <c r="A68" s="346"/>
      <c r="M68" s="347"/>
    </row>
    <row r="69" ht="16.9" customHeight="1" spans="1:13" x14ac:dyDescent="0.25">
      <c r="A69" s="346"/>
      <c r="M69" s="347"/>
    </row>
    <row r="70" ht="9.75" customHeight="1" spans="1:13" x14ac:dyDescent="0.25">
      <c r="A70" s="348"/>
      <c r="B70" s="349"/>
      <c r="C70" s="349"/>
      <c r="D70" s="349"/>
      <c r="E70" s="349"/>
      <c r="F70" s="349"/>
      <c r="G70" s="349"/>
      <c r="H70" s="349"/>
      <c r="I70" s="349"/>
      <c r="J70" s="349"/>
      <c r="K70" s="349"/>
      <c r="L70" s="349"/>
      <c r="M70" s="350"/>
    </row>
    <row r="71" ht="9.75" customHeight="1" x14ac:dyDescent="0.25"/>
    <row r="72" ht="18" customHeight="1" spans="1:12" x14ac:dyDescent="0.25">
      <c r="A72" s="351" t="s">
        <v>107</v>
      </c>
      <c r="B72" s="351"/>
      <c r="C72" s="351"/>
      <c r="D72" s="352"/>
      <c r="E72" s="352"/>
      <c r="F72" s="352"/>
      <c r="G72" s="352"/>
      <c r="H72" s="352"/>
      <c r="I72" s="352"/>
      <c r="J72" s="352"/>
      <c r="K72" s="352"/>
      <c r="L72" s="352"/>
    </row>
    <row r="73" ht="22.15" customHeight="1" spans="1:13" x14ac:dyDescent="0.25">
      <c r="A73" s="353"/>
      <c r="B73" s="354" t="s">
        <v>108</v>
      </c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</row>
    <row r="74" ht="22.15" customHeight="1" spans="1:13" x14ac:dyDescent="0.25">
      <c r="A74" s="355"/>
      <c r="B74" s="356" t="s">
        <v>90</v>
      </c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</row>
    <row r="75" ht="22.15" customHeight="1" spans="1:13" s="37" customFormat="1" x14ac:dyDescent="0.25">
      <c r="A75" s="357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</row>
    <row r="76" ht="22.15" customHeight="1" spans="1:13" s="37" customFormat="1" x14ac:dyDescent="0.25">
      <c r="A76" s="353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</row>
    <row r="77" ht="22.15" customHeight="1" spans="1:13" s="37" customFormat="1" x14ac:dyDescent="0.25">
      <c r="A77" s="353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</row>
    <row r="78" ht="22.15" customHeight="1" spans="1:13" s="37" customFormat="1" x14ac:dyDescent="0.25">
      <c r="A78" s="353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</row>
    <row r="79" ht="21.95" customHeight="1" spans="1:13" s="37" customFormat="1" x14ac:dyDescent="0.25">
      <c r="A79" s="359" t="s">
        <v>109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</row>
    <row r="80" ht="21.75" customHeight="1" spans="1:13" s="37" customFormat="1" x14ac:dyDescent="0.25">
      <c r="A80" s="360" t="s">
        <v>110</v>
      </c>
      <c r="B80" s="361" t="s">
        <v>111</v>
      </c>
      <c r="C80" s="360" t="s">
        <v>112</v>
      </c>
      <c r="D80" s="361" t="s">
        <v>113</v>
      </c>
      <c r="E80" s="360" t="s">
        <v>114</v>
      </c>
      <c r="F80" s="360" t="s">
        <v>115</v>
      </c>
      <c r="G80" s="291" t="s">
        <v>116</v>
      </c>
      <c r="H80" s="361" t="s">
        <v>117</v>
      </c>
      <c r="I80" s="362" t="s">
        <v>118</v>
      </c>
      <c r="J80" s="291" t="s">
        <v>119</v>
      </c>
      <c r="K80" s="363" t="s">
        <v>120</v>
      </c>
      <c r="L80" s="291" t="s">
        <v>121</v>
      </c>
      <c r="M80" s="210" t="s">
        <v>122</v>
      </c>
    </row>
    <row r="81" ht="18" customHeight="1" spans="1:13" x14ac:dyDescent="0.25">
      <c r="A81" s="364" t="s">
        <v>123</v>
      </c>
      <c r="B81" s="364" t="s">
        <v>124</v>
      </c>
      <c r="C81" s="364" t="s">
        <v>125</v>
      </c>
      <c r="D81" s="364" t="s">
        <v>126</v>
      </c>
      <c r="E81" s="364" t="s">
        <v>127</v>
      </c>
      <c r="F81" s="364" t="s">
        <v>128</v>
      </c>
      <c r="G81" s="365" t="s">
        <v>129</v>
      </c>
      <c r="H81" s="366" t="s">
        <v>130</v>
      </c>
      <c r="I81" s="366" t="s">
        <v>131</v>
      </c>
      <c r="J81" s="364" t="s">
        <v>132</v>
      </c>
      <c r="K81" s="367" t="s">
        <v>133</v>
      </c>
      <c r="L81" s="364" t="s">
        <v>134</v>
      </c>
      <c r="M81" s="368" t="s">
        <v>135</v>
      </c>
    </row>
    <row r="82" ht="15.75" customHeight="1" spans="1:13" s="37" customFormat="1" x14ac:dyDescent="0.25">
      <c r="A82" s="369"/>
      <c r="B82" s="369"/>
      <c r="C82" s="369"/>
      <c r="D82" s="369"/>
      <c r="E82" s="369"/>
      <c r="F82" s="369"/>
      <c r="G82" s="370"/>
      <c r="H82" s="371"/>
      <c r="I82" s="371"/>
      <c r="J82" s="369"/>
      <c r="K82" s="372"/>
      <c r="L82" s="369"/>
      <c r="M82" s="373"/>
    </row>
    <row r="83" ht="15" customHeight="1" spans="1:13" s="374" customFormat="1" x14ac:dyDescent="0.25">
      <c r="A83" s="186"/>
      <c r="B83" s="186"/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</row>
    <row r="84" ht="15" customHeight="1" spans="1:13" s="374" customFormat="1" x14ac:dyDescent="0.25">
      <c r="A84" s="186"/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6"/>
    </row>
    <row r="85" ht="15" customHeight="1" x14ac:dyDescent="0.25"/>
    <row r="86" ht="15" customHeight="1" x14ac:dyDescent="0.25"/>
    <row r="87" ht="15" customHeight="1" spans="1:13" x14ac:dyDescent="0.25">
      <c r="A87" s="349"/>
      <c r="B87" s="349"/>
      <c r="C87" s="349"/>
      <c r="D87" s="3"/>
      <c r="E87" s="3"/>
      <c r="F87" s="349"/>
      <c r="G87" s="349"/>
      <c r="H87" s="349"/>
      <c r="K87" s="349"/>
      <c r="L87" s="349"/>
      <c r="M87" s="349"/>
    </row>
    <row r="88" ht="17.25" customHeight="1" spans="1:13" x14ac:dyDescent="0.25">
      <c r="A88" s="375" t="s">
        <v>34</v>
      </c>
      <c r="B88" s="185"/>
      <c r="C88" s="185"/>
      <c r="D88" s="21"/>
      <c r="E88" s="21"/>
      <c r="F88" s="375" t="s">
        <v>136</v>
      </c>
      <c r="G88" s="185"/>
      <c r="H88" s="185"/>
      <c r="K88" s="375" t="s">
        <v>35</v>
      </c>
      <c r="L88" s="185"/>
      <c r="M88" s="185"/>
    </row>
  </sheetData>
  <mergeCells count="62">
    <mergeCell ref="A1:M1"/>
    <mergeCell ref="A2:M2"/>
    <mergeCell ref="A4:M4"/>
    <mergeCell ref="E6:F6"/>
    <mergeCell ref="G6:H6"/>
    <mergeCell ref="K6:M6"/>
    <mergeCell ref="E8:F8"/>
    <mergeCell ref="G8:H8"/>
    <mergeCell ref="A28:C28"/>
    <mergeCell ref="B29:M29"/>
    <mergeCell ref="B30:M30"/>
    <mergeCell ref="B31:M31"/>
    <mergeCell ref="B32:M32"/>
    <mergeCell ref="B33:M33"/>
    <mergeCell ref="B34:M34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A44:C44"/>
    <mergeCell ref="F44:H44"/>
    <mergeCell ref="K44:M44"/>
    <mergeCell ref="A45:M45"/>
    <mergeCell ref="A46:M46"/>
    <mergeCell ref="A48:M48"/>
    <mergeCell ref="E50:F50"/>
    <mergeCell ref="G50:H50"/>
    <mergeCell ref="K50:M50"/>
    <mergeCell ref="E52:F52"/>
    <mergeCell ref="G52:H52"/>
    <mergeCell ref="A72:C72"/>
    <mergeCell ref="B73:M73"/>
    <mergeCell ref="B74:M74"/>
    <mergeCell ref="B75:M75"/>
    <mergeCell ref="B76:M76"/>
    <mergeCell ref="B77:M77"/>
    <mergeCell ref="B78:M78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A88:C88"/>
    <mergeCell ref="F88:H88"/>
    <mergeCell ref="K88:M88"/>
  </mergeCells>
  <printOptions horizontalCentered="1" verticalCentered="1"/>
  <pageMargins left="0.2362204724409449" right="0.2362204724409449" top="0.7874015748031497" bottom="0.5905511811023623" header="0.31496062992125984" footer="0.31496062992125984"/>
  <pageSetup paperSize="9" orientation="portrait" horizontalDpi="4294967295" verticalDpi="4294967295" scale="92" fitToWidth="1" fitToHeight="0" firstPageNumber="1" useFirstPageNumber="1" copies="1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6"/>
  <sheetViews>
    <sheetView workbookViewId="0" zoomScale="90" zoomScaleNormal="90">
      <selection activeCell="K60" sqref="K60"/>
    </sheetView>
  </sheetViews>
  <sheetFormatPr defaultRowHeight="16.5" outlineLevelRow="0" outlineLevelCol="0" x14ac:dyDescent="0" defaultColWidth="9" customHeight="1"/>
  <cols>
    <col min="1" max="3" width="2.25" style="193" customWidth="1"/>
    <col min="4" max="7" width="2" style="193" customWidth="1"/>
    <col min="8" max="8" width="2.25" style="193" customWidth="1"/>
    <col min="9" max="9" width="3.375" style="193" customWidth="1"/>
    <col min="10" max="11" width="2.25" style="193" customWidth="1"/>
    <col min="12" max="12" width="3" style="193" customWidth="1"/>
    <col min="13" max="15" width="2.25" style="193" customWidth="1"/>
    <col min="16" max="17" width="2.625" style="193" customWidth="1"/>
    <col min="18" max="26" width="2.25" style="193" customWidth="1"/>
    <col min="27" max="32" width="2.5" style="193" customWidth="1"/>
    <col min="33" max="33" width="1.625" style="193" customWidth="1"/>
    <col min="34" max="35" width="2.625" style="193" customWidth="1"/>
    <col min="36" max="36" width="11.75" style="193" customWidth="1"/>
    <col min="37" max="16384" width="9" style="193" customWidth="1"/>
  </cols>
  <sheetData>
    <row r="1" ht="27" customHeight="1" spans="1:36" x14ac:dyDescent="0.25">
      <c r="A1" s="455" t="s">
        <v>178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5"/>
    </row>
    <row r="2" ht="12" customHeight="1" spans="1:36" x14ac:dyDescent="0.25">
      <c r="A2" s="238" t="s">
        <v>37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</row>
    <row r="3" ht="4.5" customHeight="1" spans="1:36" x14ac:dyDescent="0.25">
      <c r="A3" s="238"/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238"/>
      <c r="AI3" s="238"/>
      <c r="AJ3" s="238"/>
    </row>
    <row r="4" ht="26.25" customHeight="1" spans="1:36" x14ac:dyDescent="0.25">
      <c r="A4" s="239" t="s">
        <v>179</v>
      </c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</row>
    <row r="5" ht="6" customHeight="1" spans="1:36" x14ac:dyDescent="0.25">
      <c r="A5" s="499"/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/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</row>
    <row r="6" spans="1:36" s="21" customFormat="1" x14ac:dyDescent="0.25">
      <c r="A6" s="37" t="s">
        <v>180</v>
      </c>
      <c r="B6" s="37"/>
      <c r="C6" s="37"/>
      <c r="D6" s="339" t="str">
        <f>'Final Work'!B4</f>
        <v>TIAN HAI PING ZE</v>
      </c>
      <c r="E6" s="339"/>
      <c r="F6" s="339"/>
      <c r="G6" s="339"/>
      <c r="H6" s="339"/>
      <c r="I6" s="339"/>
      <c r="J6" s="339"/>
      <c r="K6" s="339"/>
      <c r="L6" s="339"/>
      <c r="M6" s="37"/>
      <c r="N6" s="199" t="str">
        <f>'Final Work'!E4</f>
        <v>VOY # : 2022E / 2022W</v>
      </c>
      <c r="O6" s="199"/>
      <c r="P6" s="199"/>
      <c r="Q6" s="199"/>
      <c r="R6" s="199"/>
      <c r="S6" s="199"/>
      <c r="T6" s="199"/>
      <c r="U6" s="199"/>
      <c r="V6" s="199"/>
      <c r="W6" s="199"/>
      <c r="X6" s="37"/>
      <c r="Y6" s="199" t="s">
        <v>138</v>
      </c>
      <c r="Z6" s="199"/>
      <c r="AA6" s="199"/>
      <c r="AB6" s="500">
        <f>'Final Work'!L4</f>
        <v>46228</v>
      </c>
      <c r="AC6" s="338"/>
      <c r="AD6" s="338"/>
      <c r="AE6" s="338"/>
      <c r="AF6" s="338"/>
      <c r="AG6" s="338"/>
      <c r="AH6" s="338"/>
      <c r="AI6" s="338"/>
      <c r="AJ6" s="338"/>
    </row>
    <row r="7" ht="6" customHeight="1" spans="1:36" s="21" customFormat="1" x14ac:dyDescent="0.25">
      <c r="A7" s="352"/>
      <c r="B7" s="352"/>
      <c r="C7" s="352"/>
      <c r="D7" s="352"/>
      <c r="E7" s="352"/>
      <c r="F7" s="352"/>
      <c r="G7" s="352"/>
      <c r="H7" s="352"/>
      <c r="I7" s="352"/>
      <c r="J7" s="352"/>
      <c r="K7" s="352"/>
      <c r="L7" s="352"/>
      <c r="M7" s="352"/>
      <c r="N7" s="352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</row>
    <row r="8" spans="1:36" s="21" customFormat="1" x14ac:dyDescent="0.25">
      <c r="A8" s="186" t="s">
        <v>181</v>
      </c>
      <c r="B8" s="186"/>
      <c r="C8" s="186"/>
      <c r="D8" s="351" t="s">
        <v>42</v>
      </c>
      <c r="E8" s="351"/>
      <c r="F8" s="351"/>
      <c r="G8" s="351"/>
      <c r="H8" s="351"/>
      <c r="I8" s="351"/>
      <c r="J8" s="186"/>
      <c r="K8" s="186"/>
      <c r="L8" s="37"/>
      <c r="M8" s="37"/>
      <c r="N8" s="37"/>
      <c r="O8" s="351" t="s">
        <v>8</v>
      </c>
      <c r="P8" s="186"/>
      <c r="Q8" s="186"/>
      <c r="R8" s="352">
        <f>'Final Work'!G6</f>
        <v>15</v>
      </c>
      <c r="S8" s="352"/>
      <c r="T8" s="352"/>
      <c r="U8" s="352"/>
      <c r="V8" s="352"/>
      <c r="W8" s="352"/>
      <c r="X8" s="186"/>
      <c r="Y8" s="352" t="s">
        <v>9</v>
      </c>
      <c r="Z8" s="352"/>
      <c r="AA8" s="352"/>
      <c r="AB8" s="352" t="s">
        <v>37</v>
      </c>
      <c r="AC8" s="352"/>
      <c r="AD8" s="352"/>
      <c r="AE8" s="352"/>
      <c r="AF8" s="352"/>
      <c r="AG8" s="352"/>
      <c r="AH8" s="352"/>
      <c r="AI8" s="352"/>
      <c r="AJ8" s="352"/>
    </row>
    <row r="9" ht="4.5" customHeight="1" spans="1:36" x14ac:dyDescent="0.25">
      <c r="A9" s="501"/>
      <c r="B9" s="501"/>
      <c r="C9" s="501"/>
      <c r="D9" s="501"/>
      <c r="E9" s="501"/>
      <c r="F9" s="501"/>
      <c r="G9" s="501"/>
      <c r="H9" s="501"/>
      <c r="I9" s="501"/>
      <c r="J9" s="501"/>
      <c r="K9" s="501"/>
      <c r="L9" s="501"/>
      <c r="M9" s="501"/>
      <c r="N9" s="501"/>
      <c r="O9" s="501"/>
      <c r="P9" s="501"/>
      <c r="Q9" s="501"/>
      <c r="R9" s="501"/>
      <c r="S9" s="501"/>
      <c r="T9" s="501"/>
      <c r="U9" s="501"/>
      <c r="V9" s="501"/>
      <c r="W9" s="501"/>
      <c r="X9" s="501"/>
      <c r="Y9" s="501"/>
      <c r="Z9" s="501"/>
      <c r="AA9" s="501"/>
      <c r="AB9" s="501"/>
      <c r="AC9" s="501"/>
      <c r="AD9" s="501"/>
      <c r="AE9" s="501"/>
      <c r="AF9" s="501"/>
      <c r="AG9" s="501"/>
      <c r="AH9" s="501"/>
      <c r="AI9" s="501"/>
      <c r="AJ9" s="501"/>
    </row>
    <row r="10" ht="17.1" customHeight="1" spans="1:36" s="37" customFormat="1" x14ac:dyDescent="0.25">
      <c r="A10" s="502" t="s">
        <v>182</v>
      </c>
      <c r="B10" s="503"/>
      <c r="C10" s="503"/>
      <c r="D10" s="503"/>
      <c r="E10" s="503"/>
      <c r="F10" s="503"/>
      <c r="G10" s="503"/>
      <c r="H10" s="504" t="s">
        <v>102</v>
      </c>
      <c r="I10" s="494"/>
      <c r="J10" s="494"/>
      <c r="K10" s="494"/>
      <c r="L10" s="494"/>
      <c r="M10" s="494"/>
      <c r="N10" s="494"/>
      <c r="O10" s="505"/>
      <c r="P10" s="504" t="s">
        <v>183</v>
      </c>
      <c r="Q10" s="494"/>
      <c r="R10" s="494"/>
      <c r="S10" s="494"/>
      <c r="T10" s="494"/>
      <c r="U10" s="494"/>
      <c r="V10" s="494"/>
      <c r="W10" s="506"/>
      <c r="X10" s="504" t="s">
        <v>153</v>
      </c>
      <c r="Y10" s="494"/>
      <c r="Z10" s="505"/>
      <c r="AA10" s="507" t="s">
        <v>68</v>
      </c>
      <c r="AB10" s="494"/>
      <c r="AC10" s="494"/>
      <c r="AD10" s="494"/>
      <c r="AE10" s="494"/>
      <c r="AF10" s="494"/>
      <c r="AG10" s="494"/>
      <c r="AH10" s="494"/>
      <c r="AI10" s="494"/>
      <c r="AJ10" s="505"/>
    </row>
    <row r="11" ht="17.1" customHeight="1" spans="1:36" s="37" customFormat="1" x14ac:dyDescent="0.25">
      <c r="A11" s="508" t="s">
        <v>184</v>
      </c>
      <c r="B11" s="509"/>
      <c r="C11" s="509"/>
      <c r="D11" s="509"/>
      <c r="E11" s="509"/>
      <c r="F11" s="509"/>
      <c r="G11" s="509"/>
      <c r="H11" s="510" t="s">
        <v>15</v>
      </c>
      <c r="I11" s="511"/>
      <c r="J11" s="511" t="s">
        <v>16</v>
      </c>
      <c r="K11" s="511"/>
      <c r="L11" s="511" t="s">
        <v>19</v>
      </c>
      <c r="M11" s="511"/>
      <c r="N11" s="511" t="s">
        <v>18</v>
      </c>
      <c r="O11" s="512"/>
      <c r="P11" s="510" t="s">
        <v>15</v>
      </c>
      <c r="Q11" s="511"/>
      <c r="R11" s="511" t="s">
        <v>16</v>
      </c>
      <c r="S11" s="511"/>
      <c r="T11" s="511" t="s">
        <v>19</v>
      </c>
      <c r="U11" s="511"/>
      <c r="V11" s="511" t="s">
        <v>18</v>
      </c>
      <c r="W11" s="513"/>
      <c r="X11" s="510"/>
      <c r="Y11" s="511"/>
      <c r="Z11" s="512"/>
      <c r="AA11" s="514"/>
      <c r="AB11" s="511"/>
      <c r="AC11" s="511"/>
      <c r="AD11" s="511"/>
      <c r="AE11" s="511"/>
      <c r="AF11" s="511"/>
      <c r="AG11" s="511"/>
      <c r="AH11" s="511"/>
      <c r="AI11" s="511"/>
      <c r="AJ11" s="512"/>
    </row>
    <row r="12" ht="17.1" customHeight="1" spans="1:37" s="37" customFormat="1" x14ac:dyDescent="0.25">
      <c r="A12" s="515" t="s">
        <v>185</v>
      </c>
      <c r="B12" s="516"/>
      <c r="C12" s="516"/>
      <c r="D12" s="517" t="s">
        <v>20</v>
      </c>
      <c r="E12" s="518"/>
      <c r="F12" s="518"/>
      <c r="G12" s="519"/>
      <c r="H12" s="520">
        <v>83</v>
      </c>
      <c r="I12" s="521"/>
      <c r="J12" s="522">
        <v>2</v>
      </c>
      <c r="K12" s="522"/>
      <c r="L12" s="523">
        <v>147</v>
      </c>
      <c r="M12" s="524"/>
      <c r="N12" s="523"/>
      <c r="O12" s="524"/>
      <c r="P12" s="520"/>
      <c r="Q12" s="521"/>
      <c r="R12" s="522"/>
      <c r="S12" s="522"/>
      <c r="T12" s="523"/>
      <c r="U12" s="524"/>
      <c r="V12" s="523"/>
      <c r="W12" s="521"/>
      <c r="X12" s="525">
        <f>SUM(H12:W12)</f>
        <v>232</v>
      </c>
      <c r="Y12" s="522"/>
      <c r="Z12" s="526"/>
      <c r="AA12" s="527" t="s">
        <v>186</v>
      </c>
      <c r="AB12" s="528"/>
      <c r="AC12" s="528"/>
      <c r="AD12" s="528"/>
      <c r="AE12" s="528"/>
      <c r="AF12" s="528"/>
      <c r="AG12" s="528"/>
      <c r="AH12" s="528"/>
      <c r="AI12" s="528"/>
      <c r="AJ12" s="529"/>
      <c r="AK12" s="530"/>
    </row>
    <row r="13" ht="17.1" customHeight="1" spans="1:36" s="37" customFormat="1" x14ac:dyDescent="0.25">
      <c r="A13" s="531"/>
      <c r="B13" s="532"/>
      <c r="C13" s="532"/>
      <c r="D13" s="214" t="s">
        <v>30</v>
      </c>
      <c r="E13" s="363"/>
      <c r="F13" s="363"/>
      <c r="G13" s="533"/>
      <c r="H13" s="520">
        <v>20</v>
      </c>
      <c r="I13" s="521"/>
      <c r="J13" s="524"/>
      <c r="K13" s="524"/>
      <c r="L13" s="523">
        <v>24</v>
      </c>
      <c r="M13" s="524"/>
      <c r="N13" s="523"/>
      <c r="O13" s="524"/>
      <c r="P13" s="520"/>
      <c r="Q13" s="521"/>
      <c r="R13" s="534"/>
      <c r="S13" s="534"/>
      <c r="T13" s="523"/>
      <c r="U13" s="524"/>
      <c r="V13" s="523"/>
      <c r="W13" s="521"/>
      <c r="X13" s="535">
        <f>SUM(H13:W13)</f>
        <v>44</v>
      </c>
      <c r="Y13" s="534"/>
      <c r="Z13" s="536"/>
      <c r="AA13" s="537" t="s">
        <v>187</v>
      </c>
      <c r="AB13" s="538"/>
      <c r="AC13" s="538"/>
      <c r="AD13" s="538"/>
      <c r="AE13" s="538"/>
      <c r="AF13" s="538"/>
      <c r="AG13" s="538"/>
      <c r="AH13" s="538"/>
      <c r="AI13" s="538"/>
      <c r="AJ13" s="539"/>
    </row>
    <row r="14" ht="17.1" customHeight="1" spans="1:36" s="37" customFormat="1" x14ac:dyDescent="0.25">
      <c r="A14" s="531"/>
      <c r="B14" s="532"/>
      <c r="C14" s="532"/>
      <c r="D14" s="214" t="s">
        <v>188</v>
      </c>
      <c r="E14" s="363"/>
      <c r="F14" s="363"/>
      <c r="G14" s="533"/>
      <c r="H14" s="520"/>
      <c r="I14" s="521"/>
      <c r="J14" s="524"/>
      <c r="K14" s="524"/>
      <c r="L14" s="523"/>
      <c r="M14" s="524"/>
      <c r="N14" s="523"/>
      <c r="O14" s="524"/>
      <c r="P14" s="520"/>
      <c r="Q14" s="521"/>
      <c r="R14" s="524"/>
      <c r="S14" s="524"/>
      <c r="T14" s="523"/>
      <c r="U14" s="524"/>
      <c r="V14" s="523"/>
      <c r="W14" s="521"/>
      <c r="X14" s="520">
        <f>SUM(H14:W14)</f>
        <v>0</v>
      </c>
      <c r="Y14" s="524"/>
      <c r="Z14" s="540"/>
      <c r="AA14" s="537"/>
      <c r="AB14" s="538"/>
      <c r="AC14" s="538"/>
      <c r="AD14" s="538"/>
      <c r="AE14" s="538"/>
      <c r="AF14" s="538"/>
      <c r="AG14" s="538"/>
      <c r="AH14" s="538"/>
      <c r="AI14" s="538"/>
      <c r="AJ14" s="539"/>
    </row>
    <row r="15" ht="17.1" customHeight="1" spans="1:36" s="37" customFormat="1" x14ac:dyDescent="0.25">
      <c r="A15" s="531"/>
      <c r="B15" s="532"/>
      <c r="C15" s="532"/>
      <c r="D15" s="291" t="s">
        <v>189</v>
      </c>
      <c r="E15" s="291"/>
      <c r="F15" s="291"/>
      <c r="G15" s="214"/>
      <c r="H15" s="520"/>
      <c r="I15" s="521"/>
      <c r="J15" s="541"/>
      <c r="K15" s="542"/>
      <c r="L15" s="541"/>
      <c r="M15" s="542"/>
      <c r="N15" s="541"/>
      <c r="O15" s="543"/>
      <c r="P15" s="520"/>
      <c r="Q15" s="521"/>
      <c r="R15" s="524"/>
      <c r="S15" s="524"/>
      <c r="T15" s="523"/>
      <c r="U15" s="524"/>
      <c r="V15" s="523"/>
      <c r="W15" s="521"/>
      <c r="X15" s="520">
        <f>SUM(H15:W15)</f>
        <v>0</v>
      </c>
      <c r="Y15" s="524"/>
      <c r="Z15" s="540"/>
      <c r="AA15" s="537"/>
      <c r="AB15" s="538"/>
      <c r="AC15" s="538"/>
      <c r="AD15" s="538"/>
      <c r="AE15" s="538"/>
      <c r="AF15" s="538"/>
      <c r="AG15" s="538"/>
      <c r="AH15" s="538"/>
      <c r="AI15" s="538"/>
      <c r="AJ15" s="539"/>
    </row>
    <row r="16" ht="17.1" customHeight="1" spans="1:36" s="37" customFormat="1" x14ac:dyDescent="0.25">
      <c r="A16" s="531"/>
      <c r="B16" s="532"/>
      <c r="C16" s="532"/>
      <c r="D16" s="511"/>
      <c r="E16" s="511"/>
      <c r="F16" s="511"/>
      <c r="G16" s="513"/>
      <c r="H16" s="544"/>
      <c r="I16" s="545"/>
      <c r="J16" s="546"/>
      <c r="K16" s="546"/>
      <c r="L16" s="547"/>
      <c r="M16" s="546"/>
      <c r="N16" s="546"/>
      <c r="O16" s="548"/>
      <c r="P16" s="544"/>
      <c r="Q16" s="545"/>
      <c r="R16" s="546"/>
      <c r="S16" s="546"/>
      <c r="T16" s="547"/>
      <c r="U16" s="546"/>
      <c r="V16" s="546"/>
      <c r="W16" s="545"/>
      <c r="X16" s="544">
        <f>SUM(H16:W16)</f>
        <v>0</v>
      </c>
      <c r="Y16" s="546"/>
      <c r="Z16" s="548"/>
      <c r="AA16" s="549"/>
      <c r="AB16" s="550"/>
      <c r="AC16" s="550"/>
      <c r="AD16" s="550"/>
      <c r="AE16" s="550"/>
      <c r="AF16" s="550"/>
      <c r="AG16" s="550"/>
      <c r="AH16" s="550"/>
      <c r="AI16" s="550"/>
      <c r="AJ16" s="551"/>
    </row>
    <row r="17" ht="17.1" customHeight="1" spans="1:36" s="37" customFormat="1" x14ac:dyDescent="0.25">
      <c r="A17" s="552"/>
      <c r="B17" s="553"/>
      <c r="C17" s="553"/>
      <c r="D17" s="554" t="s">
        <v>190</v>
      </c>
      <c r="E17" s="554"/>
      <c r="F17" s="554"/>
      <c r="G17" s="555"/>
      <c r="H17" s="556">
        <f>SUM(H12:I16)</f>
        <v>103</v>
      </c>
      <c r="I17" s="557"/>
      <c r="J17" s="557">
        <f>SUM(J12:K16)</f>
        <v>2</v>
      </c>
      <c r="K17" s="557"/>
      <c r="L17" s="557">
        <f>SUM(L12:M16)</f>
        <v>171</v>
      </c>
      <c r="M17" s="557"/>
      <c r="N17" s="557">
        <f>SUM(N12:O16)</f>
        <v>0</v>
      </c>
      <c r="O17" s="558"/>
      <c r="P17" s="556">
        <f>SUM(P12:Q16)</f>
        <v>0</v>
      </c>
      <c r="Q17" s="557"/>
      <c r="R17" s="557">
        <f>SUM(R12:S16)</f>
        <v>0</v>
      </c>
      <c r="S17" s="557"/>
      <c r="T17" s="557">
        <f>SUM(T12:U16)</f>
        <v>0</v>
      </c>
      <c r="U17" s="557"/>
      <c r="V17" s="557">
        <f>SUM(V12:W16)</f>
        <v>0</v>
      </c>
      <c r="W17" s="559"/>
      <c r="X17" s="556">
        <f>SUM(X12:Z16)</f>
        <v>276</v>
      </c>
      <c r="Y17" s="557"/>
      <c r="Z17" s="558"/>
      <c r="AA17" s="560"/>
      <c r="AB17" s="561"/>
      <c r="AC17" s="561"/>
      <c r="AD17" s="561"/>
      <c r="AE17" s="561"/>
      <c r="AF17" s="561"/>
      <c r="AG17" s="561"/>
      <c r="AH17" s="561"/>
      <c r="AI17" s="561"/>
      <c r="AJ17" s="562"/>
    </row>
    <row r="18" ht="17.1" customHeight="1" spans="1:36" s="37" customFormat="1" x14ac:dyDescent="0.25">
      <c r="A18" s="563" t="s">
        <v>191</v>
      </c>
      <c r="B18" s="564"/>
      <c r="C18" s="565"/>
      <c r="D18" s="288" t="s">
        <v>20</v>
      </c>
      <c r="E18" s="566"/>
      <c r="F18" s="566"/>
      <c r="G18" s="567"/>
      <c r="H18" s="520">
        <v>21</v>
      </c>
      <c r="I18" s="521"/>
      <c r="J18" s="524"/>
      <c r="K18" s="524"/>
      <c r="L18" s="524">
        <v>122</v>
      </c>
      <c r="M18" s="524"/>
      <c r="N18" s="524"/>
      <c r="O18" s="524"/>
      <c r="P18" s="520">
        <v>36</v>
      </c>
      <c r="Q18" s="521"/>
      <c r="R18" s="524">
        <v>1</v>
      </c>
      <c r="S18" s="524"/>
      <c r="T18" s="524">
        <v>10</v>
      </c>
      <c r="U18" s="524"/>
      <c r="V18" s="524"/>
      <c r="W18" s="521"/>
      <c r="X18" s="568">
        <f>SUM(H18:W18)</f>
        <v>190</v>
      </c>
      <c r="Y18" s="569"/>
      <c r="Z18" s="570"/>
      <c r="AA18" s="527"/>
      <c r="AB18" s="528"/>
      <c r="AC18" s="528"/>
      <c r="AD18" s="528"/>
      <c r="AE18" s="528"/>
      <c r="AF18" s="528"/>
      <c r="AG18" s="528"/>
      <c r="AH18" s="528"/>
      <c r="AI18" s="528"/>
      <c r="AJ18" s="529"/>
    </row>
    <row r="19" ht="17.1" customHeight="1" spans="1:36" s="37" customFormat="1" x14ac:dyDescent="0.25">
      <c r="A19" s="531"/>
      <c r="B19" s="532"/>
      <c r="C19" s="571"/>
      <c r="D19" s="214" t="s">
        <v>30</v>
      </c>
      <c r="E19" s="363"/>
      <c r="F19" s="363"/>
      <c r="G19" s="533"/>
      <c r="H19" s="520">
        <v>6</v>
      </c>
      <c r="I19" s="521"/>
      <c r="J19" s="524"/>
      <c r="K19" s="524"/>
      <c r="L19" s="523">
        <v>31</v>
      </c>
      <c r="M19" s="524"/>
      <c r="N19" s="523"/>
      <c r="O19" s="524"/>
      <c r="P19" s="520"/>
      <c r="Q19" s="521"/>
      <c r="R19" s="534"/>
      <c r="S19" s="534"/>
      <c r="T19" s="523"/>
      <c r="U19" s="524"/>
      <c r="V19" s="523"/>
      <c r="W19" s="521"/>
      <c r="X19" s="535">
        <f>SUM(H19:W19)</f>
        <v>37</v>
      </c>
      <c r="Y19" s="534"/>
      <c r="Z19" s="536"/>
      <c r="AA19" s="537"/>
      <c r="AB19" s="538"/>
      <c r="AC19" s="538"/>
      <c r="AD19" s="538"/>
      <c r="AE19" s="538"/>
      <c r="AF19" s="538"/>
      <c r="AG19" s="538"/>
      <c r="AH19" s="538"/>
      <c r="AI19" s="538"/>
      <c r="AJ19" s="539"/>
    </row>
    <row r="20" ht="17.1" customHeight="1" spans="1:36" s="37" customFormat="1" x14ac:dyDescent="0.25">
      <c r="A20" s="531"/>
      <c r="B20" s="532"/>
      <c r="C20" s="571"/>
      <c r="D20" s="214" t="s">
        <v>188</v>
      </c>
      <c r="E20" s="363"/>
      <c r="F20" s="363"/>
      <c r="G20" s="533"/>
      <c r="H20" s="520"/>
      <c r="I20" s="521"/>
      <c r="J20" s="524"/>
      <c r="K20" s="524"/>
      <c r="L20" s="524"/>
      <c r="M20" s="524"/>
      <c r="N20" s="524"/>
      <c r="O20" s="524"/>
      <c r="P20" s="520"/>
      <c r="Q20" s="521"/>
      <c r="R20" s="524"/>
      <c r="S20" s="524"/>
      <c r="T20" s="524"/>
      <c r="U20" s="524"/>
      <c r="V20" s="524"/>
      <c r="W20" s="521"/>
      <c r="X20" s="535">
        <f>SUM(H20:W20)</f>
        <v>0</v>
      </c>
      <c r="Y20" s="534"/>
      <c r="Z20" s="536"/>
      <c r="AA20" s="572"/>
      <c r="AB20" s="573"/>
      <c r="AC20" s="573"/>
      <c r="AD20" s="573"/>
      <c r="AE20" s="573"/>
      <c r="AF20" s="573"/>
      <c r="AG20" s="573"/>
      <c r="AH20" s="573"/>
      <c r="AI20" s="573"/>
      <c r="AJ20" s="574"/>
    </row>
    <row r="21" ht="17.1" customHeight="1" spans="1:36" s="37" customFormat="1" x14ac:dyDescent="0.25">
      <c r="A21" s="531"/>
      <c r="B21" s="532"/>
      <c r="C21" s="571"/>
      <c r="D21" s="291" t="s">
        <v>189</v>
      </c>
      <c r="E21" s="291"/>
      <c r="F21" s="291"/>
      <c r="G21" s="214"/>
      <c r="H21" s="520"/>
      <c r="I21" s="521"/>
      <c r="J21" s="524"/>
      <c r="K21" s="524"/>
      <c r="L21" s="524"/>
      <c r="M21" s="524"/>
      <c r="N21" s="524"/>
      <c r="O21" s="524"/>
      <c r="P21" s="520"/>
      <c r="Q21" s="521"/>
      <c r="R21" s="524"/>
      <c r="S21" s="524"/>
      <c r="T21" s="524"/>
      <c r="U21" s="524"/>
      <c r="V21" s="524"/>
      <c r="W21" s="521"/>
      <c r="X21" s="520">
        <f>SUM(H21:W21)</f>
        <v>0</v>
      </c>
      <c r="Y21" s="524"/>
      <c r="Z21" s="540"/>
      <c r="AA21" s="537"/>
      <c r="AB21" s="538"/>
      <c r="AC21" s="538"/>
      <c r="AD21" s="538"/>
      <c r="AE21" s="538"/>
      <c r="AF21" s="538"/>
      <c r="AG21" s="538"/>
      <c r="AH21" s="538"/>
      <c r="AI21" s="538"/>
      <c r="AJ21" s="539"/>
    </row>
    <row r="22" ht="17.1" customHeight="1" spans="1:36" s="37" customFormat="1" x14ac:dyDescent="0.25">
      <c r="A22" s="531"/>
      <c r="B22" s="532"/>
      <c r="C22" s="571"/>
      <c r="D22" s="511"/>
      <c r="E22" s="511"/>
      <c r="F22" s="511"/>
      <c r="G22" s="513"/>
      <c r="H22" s="544"/>
      <c r="I22" s="545"/>
      <c r="J22" s="546"/>
      <c r="K22" s="546"/>
      <c r="L22" s="546"/>
      <c r="M22" s="546"/>
      <c r="N22" s="546"/>
      <c r="O22" s="548"/>
      <c r="P22" s="544"/>
      <c r="Q22" s="545"/>
      <c r="R22" s="546"/>
      <c r="S22" s="546"/>
      <c r="T22" s="546"/>
      <c r="U22" s="546"/>
      <c r="V22" s="546"/>
      <c r="W22" s="548"/>
      <c r="X22" s="544">
        <f>SUM(H22:W22)</f>
        <v>0</v>
      </c>
      <c r="Y22" s="546"/>
      <c r="Z22" s="548"/>
      <c r="AA22" s="575"/>
      <c r="AB22" s="576"/>
      <c r="AC22" s="576"/>
      <c r="AD22" s="576"/>
      <c r="AE22" s="576"/>
      <c r="AF22" s="576"/>
      <c r="AG22" s="576"/>
      <c r="AH22" s="576"/>
      <c r="AI22" s="576"/>
      <c r="AJ22" s="577"/>
    </row>
    <row r="23" ht="17.1" customHeight="1" spans="1:36" s="37" customFormat="1" x14ac:dyDescent="0.25">
      <c r="A23" s="552"/>
      <c r="B23" s="553"/>
      <c r="C23" s="578"/>
      <c r="D23" s="579" t="s">
        <v>190</v>
      </c>
      <c r="E23" s="579"/>
      <c r="F23" s="579"/>
      <c r="G23" s="580"/>
      <c r="H23" s="556">
        <f>SUM(H18:I22)</f>
        <v>27</v>
      </c>
      <c r="I23" s="557"/>
      <c r="J23" s="557">
        <f>SUM(J18:K22)</f>
        <v>0</v>
      </c>
      <c r="K23" s="557"/>
      <c r="L23" s="557">
        <f>SUM(L18:M22)</f>
        <v>153</v>
      </c>
      <c r="M23" s="557"/>
      <c r="N23" s="557">
        <f>SUM(N18:O22)</f>
        <v>0</v>
      </c>
      <c r="O23" s="558"/>
      <c r="P23" s="556">
        <f>SUM(P18:Q22)</f>
        <v>36</v>
      </c>
      <c r="Q23" s="557"/>
      <c r="R23" s="557">
        <f>SUM(R18:S22)</f>
        <v>1</v>
      </c>
      <c r="S23" s="557"/>
      <c r="T23" s="557">
        <f>SUM(T18:U22)</f>
        <v>10</v>
      </c>
      <c r="U23" s="557"/>
      <c r="V23" s="557">
        <f>SUM(V18:W22)</f>
        <v>0</v>
      </c>
      <c r="W23" s="558"/>
      <c r="X23" s="581">
        <f>SUM(X18:Z22)</f>
        <v>227</v>
      </c>
      <c r="Y23" s="557"/>
      <c r="Z23" s="558"/>
      <c r="AA23" s="582"/>
      <c r="AB23" s="583"/>
      <c r="AC23" s="583"/>
      <c r="AD23" s="583"/>
      <c r="AE23" s="583"/>
      <c r="AF23" s="583"/>
      <c r="AG23" s="583"/>
      <c r="AH23" s="583"/>
      <c r="AI23" s="583"/>
      <c r="AJ23" s="584"/>
    </row>
    <row r="24" ht="17.1" customHeight="1" spans="1:36" s="37" customFormat="1" x14ac:dyDescent="0.25">
      <c r="A24" s="585" t="s">
        <v>192</v>
      </c>
      <c r="B24" s="393"/>
      <c r="C24" s="393"/>
      <c r="D24" s="393" t="s">
        <v>193</v>
      </c>
      <c r="E24" s="393"/>
      <c r="F24" s="393"/>
      <c r="G24" s="288"/>
      <c r="H24" s="520"/>
      <c r="I24" s="524"/>
      <c r="J24" s="524"/>
      <c r="K24" s="524"/>
      <c r="L24" s="524"/>
      <c r="M24" s="524"/>
      <c r="N24" s="524"/>
      <c r="O24" s="540"/>
      <c r="P24" s="520"/>
      <c r="Q24" s="524"/>
      <c r="R24" s="524"/>
      <c r="S24" s="524"/>
      <c r="T24" s="524"/>
      <c r="U24" s="524"/>
      <c r="V24" s="524"/>
      <c r="W24" s="540"/>
      <c r="X24" s="523"/>
      <c r="Y24" s="524"/>
      <c r="Z24" s="540"/>
      <c r="AA24" s="537"/>
      <c r="AB24" s="538"/>
      <c r="AC24" s="538"/>
      <c r="AD24" s="538"/>
      <c r="AE24" s="538"/>
      <c r="AF24" s="538"/>
      <c r="AG24" s="538"/>
      <c r="AH24" s="538"/>
      <c r="AI24" s="538"/>
      <c r="AJ24" s="539"/>
    </row>
    <row r="25" ht="17.1" customHeight="1" spans="1:36" s="37" customFormat="1" x14ac:dyDescent="0.25">
      <c r="A25" s="510"/>
      <c r="B25" s="511"/>
      <c r="C25" s="511"/>
      <c r="D25" s="511" t="s">
        <v>193</v>
      </c>
      <c r="E25" s="511"/>
      <c r="F25" s="511"/>
      <c r="G25" s="513"/>
      <c r="H25" s="544"/>
      <c r="I25" s="546"/>
      <c r="J25" s="546"/>
      <c r="K25" s="546"/>
      <c r="L25" s="546"/>
      <c r="M25" s="546"/>
      <c r="N25" s="546"/>
      <c r="O25" s="548"/>
      <c r="P25" s="544"/>
      <c r="Q25" s="546"/>
      <c r="R25" s="546"/>
      <c r="S25" s="546"/>
      <c r="T25" s="546"/>
      <c r="U25" s="546"/>
      <c r="V25" s="546"/>
      <c r="W25" s="548"/>
      <c r="X25" s="547"/>
      <c r="Y25" s="546"/>
      <c r="Z25" s="548"/>
      <c r="AA25" s="549"/>
      <c r="AB25" s="550"/>
      <c r="AC25" s="550"/>
      <c r="AD25" s="550"/>
      <c r="AE25" s="550"/>
      <c r="AF25" s="550"/>
      <c r="AG25" s="550"/>
      <c r="AH25" s="550"/>
      <c r="AI25" s="550"/>
      <c r="AJ25" s="551"/>
    </row>
    <row r="26" ht="17.1" customHeight="1" spans="1:36" s="37" customFormat="1" x14ac:dyDescent="0.25">
      <c r="A26" s="586" t="s">
        <v>194</v>
      </c>
      <c r="B26" s="579"/>
      <c r="C26" s="579"/>
      <c r="D26" s="579"/>
      <c r="E26" s="579"/>
      <c r="F26" s="579"/>
      <c r="G26" s="580"/>
      <c r="H26" s="556">
        <f>SUM(H17+H23+H24+H25)</f>
        <v>130</v>
      </c>
      <c r="I26" s="557"/>
      <c r="J26" s="557">
        <f>SUM(J17+J23+J24+J25)</f>
        <v>2</v>
      </c>
      <c r="K26" s="557"/>
      <c r="L26" s="557">
        <f>SUM(L17+L23+L24+L25)</f>
        <v>324</v>
      </c>
      <c r="M26" s="557"/>
      <c r="N26" s="557">
        <f>SUM(N17+N23+N24+N25)</f>
        <v>0</v>
      </c>
      <c r="O26" s="558"/>
      <c r="P26" s="556">
        <f>SUM(P17+P23+P24+P25)</f>
        <v>36</v>
      </c>
      <c r="Q26" s="557"/>
      <c r="R26" s="557">
        <f>SUM(R17+R23+R24+R25)</f>
        <v>1</v>
      </c>
      <c r="S26" s="557"/>
      <c r="T26" s="557">
        <f>SUM(T17+T23+T24+T25)</f>
        <v>10</v>
      </c>
      <c r="U26" s="557"/>
      <c r="V26" s="557">
        <f>SUM(V17+V23+V24+V25)</f>
        <v>0</v>
      </c>
      <c r="W26" s="558"/>
      <c r="X26" s="581">
        <f>SUM(X17+X23+X24+X25)</f>
        <v>503</v>
      </c>
      <c r="Y26" s="557"/>
      <c r="Z26" s="558"/>
      <c r="AA26" s="582"/>
      <c r="AB26" s="583"/>
      <c r="AC26" s="583"/>
      <c r="AD26" s="583"/>
      <c r="AE26" s="583"/>
      <c r="AF26" s="583"/>
      <c r="AG26" s="583"/>
      <c r="AH26" s="583"/>
      <c r="AI26" s="583"/>
      <c r="AJ26" s="584"/>
    </row>
    <row r="27" ht="8.25" customHeight="1" x14ac:dyDescent="0.25"/>
    <row r="28" spans="1:1" x14ac:dyDescent="0.25">
      <c r="A28" s="587" t="s">
        <v>195</v>
      </c>
    </row>
    <row r="29" ht="3.75" customHeight="1" x14ac:dyDescent="0.25"/>
    <row r="30" ht="15.75" customHeight="1" hidden="1" spans="1:36" x14ac:dyDescent="0.25">
      <c r="A30" s="588" t="s">
        <v>196</v>
      </c>
      <c r="B30" s="589"/>
      <c r="C30" s="589"/>
      <c r="D30" s="590"/>
      <c r="E30" s="591" t="s">
        <v>197</v>
      </c>
      <c r="F30" s="592"/>
      <c r="G30" s="592"/>
      <c r="H30" s="592"/>
      <c r="I30" s="592"/>
      <c r="J30" s="592"/>
      <c r="K30" s="592" t="s">
        <v>198</v>
      </c>
      <c r="L30" s="592"/>
      <c r="M30" s="592"/>
      <c r="N30" s="592"/>
      <c r="O30" s="592"/>
      <c r="P30" s="593"/>
      <c r="Q30" s="591" t="s">
        <v>199</v>
      </c>
      <c r="R30" s="592"/>
      <c r="S30" s="592"/>
      <c r="T30" s="592"/>
      <c r="U30" s="592"/>
      <c r="V30" s="593"/>
      <c r="W30" s="591" t="s">
        <v>68</v>
      </c>
      <c r="X30" s="592"/>
      <c r="Y30" s="592"/>
      <c r="Z30" s="592"/>
      <c r="AA30" s="592"/>
      <c r="AB30" s="592"/>
      <c r="AC30" s="592"/>
      <c r="AD30" s="592"/>
      <c r="AE30" s="592"/>
      <c r="AF30" s="592"/>
      <c r="AG30" s="592"/>
      <c r="AH30" s="592"/>
      <c r="AI30" s="592"/>
      <c r="AJ30" s="593"/>
    </row>
    <row r="31" ht="15.75" customHeight="1" hidden="1" spans="1:36" s="594" customFormat="1" x14ac:dyDescent="0.25">
      <c r="A31" s="595" t="s">
        <v>200</v>
      </c>
      <c r="B31" s="596"/>
      <c r="C31" s="596"/>
      <c r="D31" s="597"/>
      <c r="E31" s="598"/>
      <c r="F31" s="599"/>
      <c r="G31" s="599"/>
      <c r="H31" s="599"/>
      <c r="I31" s="599"/>
      <c r="J31" s="600"/>
      <c r="K31" s="601"/>
      <c r="L31" s="602"/>
      <c r="M31" s="602"/>
      <c r="N31" s="602"/>
      <c r="O31" s="602"/>
      <c r="P31" s="603"/>
      <c r="Q31" s="598"/>
      <c r="R31" s="599"/>
      <c r="S31" s="599"/>
      <c r="T31" s="599"/>
      <c r="U31" s="599"/>
      <c r="V31" s="604"/>
      <c r="W31" s="605"/>
      <c r="X31" s="606"/>
      <c r="Y31" s="606"/>
      <c r="Z31" s="606"/>
      <c r="AA31" s="606"/>
      <c r="AB31" s="606"/>
      <c r="AC31" s="606"/>
      <c r="AD31" s="606"/>
      <c r="AE31" s="606"/>
      <c r="AF31" s="606"/>
      <c r="AG31" s="606"/>
      <c r="AH31" s="606"/>
      <c r="AI31" s="606"/>
      <c r="AJ31" s="607"/>
    </row>
    <row r="32" ht="15.75" customHeight="1" hidden="1" spans="1:36" s="594" customFormat="1" x14ac:dyDescent="0.25">
      <c r="A32" s="608"/>
      <c r="B32" s="609"/>
      <c r="C32" s="609"/>
      <c r="D32" s="610"/>
      <c r="E32" s="611"/>
      <c r="F32" s="612"/>
      <c r="G32" s="612"/>
      <c r="H32" s="612"/>
      <c r="I32" s="612"/>
      <c r="J32" s="612"/>
      <c r="K32" s="613"/>
      <c r="L32" s="599"/>
      <c r="M32" s="599"/>
      <c r="N32" s="599"/>
      <c r="O32" s="599"/>
      <c r="P32" s="604"/>
      <c r="Q32" s="598"/>
      <c r="R32" s="599"/>
      <c r="S32" s="599"/>
      <c r="T32" s="599"/>
      <c r="U32" s="599"/>
      <c r="V32" s="604"/>
      <c r="W32" s="614"/>
      <c r="X32" s="615"/>
      <c r="Y32" s="615"/>
      <c r="Z32" s="615"/>
      <c r="AA32" s="615"/>
      <c r="AB32" s="615"/>
      <c r="AC32" s="615"/>
      <c r="AD32" s="615"/>
      <c r="AE32" s="615"/>
      <c r="AF32" s="615"/>
      <c r="AG32" s="615"/>
      <c r="AH32" s="615"/>
      <c r="AI32" s="615"/>
      <c r="AJ32" s="616"/>
    </row>
    <row r="33" ht="15.75" customHeight="1" hidden="1" spans="1:36" s="594" customFormat="1" x14ac:dyDescent="0.25">
      <c r="A33" s="608"/>
      <c r="B33" s="609"/>
      <c r="C33" s="609"/>
      <c r="D33" s="610"/>
      <c r="E33" s="611"/>
      <c r="F33" s="612"/>
      <c r="G33" s="612"/>
      <c r="H33" s="612"/>
      <c r="I33" s="612"/>
      <c r="J33" s="612"/>
      <c r="K33" s="613"/>
      <c r="L33" s="599"/>
      <c r="M33" s="599"/>
      <c r="N33" s="599"/>
      <c r="O33" s="599"/>
      <c r="P33" s="604"/>
      <c r="Q33" s="598"/>
      <c r="R33" s="599"/>
      <c r="S33" s="599"/>
      <c r="T33" s="599"/>
      <c r="U33" s="599"/>
      <c r="V33" s="604"/>
      <c r="W33" s="614"/>
      <c r="X33" s="615"/>
      <c r="Y33" s="615"/>
      <c r="Z33" s="615"/>
      <c r="AA33" s="615"/>
      <c r="AB33" s="615"/>
      <c r="AC33" s="615"/>
      <c r="AD33" s="615"/>
      <c r="AE33" s="615"/>
      <c r="AF33" s="615"/>
      <c r="AG33" s="615"/>
      <c r="AH33" s="615"/>
      <c r="AI33" s="615"/>
      <c r="AJ33" s="616"/>
    </row>
    <row r="34" ht="15.75" customHeight="1" hidden="1" spans="1:36" s="594" customFormat="1" x14ac:dyDescent="0.25">
      <c r="A34" s="608"/>
      <c r="B34" s="609"/>
      <c r="C34" s="609"/>
      <c r="D34" s="610"/>
      <c r="E34" s="611"/>
      <c r="F34" s="612"/>
      <c r="G34" s="612"/>
      <c r="H34" s="612"/>
      <c r="I34" s="612"/>
      <c r="J34" s="612"/>
      <c r="K34" s="613"/>
      <c r="L34" s="599"/>
      <c r="M34" s="599"/>
      <c r="N34" s="599"/>
      <c r="O34" s="599"/>
      <c r="P34" s="604"/>
      <c r="Q34" s="598"/>
      <c r="R34" s="599"/>
      <c r="S34" s="599"/>
      <c r="T34" s="599"/>
      <c r="U34" s="599"/>
      <c r="V34" s="604"/>
      <c r="W34" s="614"/>
      <c r="X34" s="615"/>
      <c r="Y34" s="615"/>
      <c r="Z34" s="615"/>
      <c r="AA34" s="615"/>
      <c r="AB34" s="615"/>
      <c r="AC34" s="615"/>
      <c r="AD34" s="615"/>
      <c r="AE34" s="615"/>
      <c r="AF34" s="615"/>
      <c r="AG34" s="615"/>
      <c r="AH34" s="615"/>
      <c r="AI34" s="615"/>
      <c r="AJ34" s="616"/>
    </row>
    <row r="35" ht="15.75" customHeight="1" hidden="1" spans="1:36" s="594" customFormat="1" x14ac:dyDescent="0.25">
      <c r="A35" s="608"/>
      <c r="B35" s="609"/>
      <c r="C35" s="609"/>
      <c r="D35" s="610"/>
      <c r="E35" s="611"/>
      <c r="F35" s="612"/>
      <c r="G35" s="612"/>
      <c r="H35" s="612"/>
      <c r="I35" s="612"/>
      <c r="J35" s="612"/>
      <c r="K35" s="613"/>
      <c r="L35" s="599"/>
      <c r="M35" s="599"/>
      <c r="N35" s="599"/>
      <c r="O35" s="599"/>
      <c r="P35" s="604"/>
      <c r="Q35" s="598"/>
      <c r="R35" s="599"/>
      <c r="S35" s="599"/>
      <c r="T35" s="599"/>
      <c r="U35" s="599"/>
      <c r="V35" s="604"/>
      <c r="W35" s="617"/>
      <c r="X35" s="618"/>
      <c r="Y35" s="618"/>
      <c r="Z35" s="618"/>
      <c r="AA35" s="618"/>
      <c r="AB35" s="618"/>
      <c r="AC35" s="618"/>
      <c r="AD35" s="618"/>
      <c r="AE35" s="618"/>
      <c r="AF35" s="618"/>
      <c r="AG35" s="618"/>
      <c r="AH35" s="618"/>
      <c r="AI35" s="618"/>
      <c r="AJ35" s="619"/>
    </row>
    <row r="36" ht="15.75" customHeight="1" hidden="1" spans="1:36" s="594" customFormat="1" x14ac:dyDescent="0.25">
      <c r="A36" s="608"/>
      <c r="B36" s="609"/>
      <c r="C36" s="609"/>
      <c r="D36" s="610"/>
      <c r="E36" s="598"/>
      <c r="F36" s="599"/>
      <c r="G36" s="599"/>
      <c r="H36" s="599"/>
      <c r="I36" s="599"/>
      <c r="J36" s="600"/>
      <c r="K36" s="613"/>
      <c r="L36" s="599"/>
      <c r="M36" s="599"/>
      <c r="N36" s="599"/>
      <c r="O36" s="599"/>
      <c r="P36" s="604"/>
      <c r="Q36" s="598"/>
      <c r="R36" s="599"/>
      <c r="S36" s="599"/>
      <c r="T36" s="599"/>
      <c r="U36" s="599"/>
      <c r="V36" s="604"/>
      <c r="W36" s="617"/>
      <c r="X36" s="618"/>
      <c r="Y36" s="618"/>
      <c r="Z36" s="618"/>
      <c r="AA36" s="618"/>
      <c r="AB36" s="618"/>
      <c r="AC36" s="618"/>
      <c r="AD36" s="618"/>
      <c r="AE36" s="618"/>
      <c r="AF36" s="618"/>
      <c r="AG36" s="618"/>
      <c r="AH36" s="618"/>
      <c r="AI36" s="618"/>
      <c r="AJ36" s="619"/>
    </row>
    <row r="37" ht="15.75" customHeight="1" hidden="1" spans="1:36" s="594" customFormat="1" x14ac:dyDescent="0.25">
      <c r="A37" s="608"/>
      <c r="B37" s="609"/>
      <c r="C37" s="609"/>
      <c r="D37" s="610"/>
      <c r="E37" s="611"/>
      <c r="F37" s="612"/>
      <c r="G37" s="612"/>
      <c r="H37" s="612"/>
      <c r="I37" s="612"/>
      <c r="J37" s="612"/>
      <c r="K37" s="613"/>
      <c r="L37" s="599"/>
      <c r="M37" s="599"/>
      <c r="N37" s="599"/>
      <c r="O37" s="599"/>
      <c r="P37" s="604"/>
      <c r="Q37" s="598"/>
      <c r="R37" s="599"/>
      <c r="S37" s="599"/>
      <c r="T37" s="599"/>
      <c r="U37" s="599"/>
      <c r="V37" s="604"/>
      <c r="W37" s="617"/>
      <c r="X37" s="618"/>
      <c r="Y37" s="618"/>
      <c r="Z37" s="618"/>
      <c r="AA37" s="618"/>
      <c r="AB37" s="618"/>
      <c r="AC37" s="618"/>
      <c r="AD37" s="618"/>
      <c r="AE37" s="618"/>
      <c r="AF37" s="618"/>
      <c r="AG37" s="618"/>
      <c r="AH37" s="618"/>
      <c r="AI37" s="618"/>
      <c r="AJ37" s="619"/>
    </row>
    <row r="38" ht="15.75" customHeight="1" hidden="1" spans="1:36" s="594" customFormat="1" x14ac:dyDescent="0.25">
      <c r="A38" s="608"/>
      <c r="B38" s="609"/>
      <c r="C38" s="609"/>
      <c r="D38" s="610"/>
      <c r="E38" s="611"/>
      <c r="F38" s="612"/>
      <c r="G38" s="612"/>
      <c r="H38" s="612"/>
      <c r="I38" s="612"/>
      <c r="J38" s="612"/>
      <c r="K38" s="613"/>
      <c r="L38" s="599"/>
      <c r="M38" s="599"/>
      <c r="N38" s="599"/>
      <c r="O38" s="599"/>
      <c r="P38" s="604"/>
      <c r="Q38" s="598"/>
      <c r="R38" s="599"/>
      <c r="S38" s="599"/>
      <c r="T38" s="599"/>
      <c r="U38" s="599"/>
      <c r="V38" s="604"/>
      <c r="W38" s="617"/>
      <c r="X38" s="618"/>
      <c r="Y38" s="618"/>
      <c r="Z38" s="618"/>
      <c r="AA38" s="618"/>
      <c r="AB38" s="618"/>
      <c r="AC38" s="618"/>
      <c r="AD38" s="618"/>
      <c r="AE38" s="618"/>
      <c r="AF38" s="618"/>
      <c r="AG38" s="618"/>
      <c r="AH38" s="618"/>
      <c r="AI38" s="618"/>
      <c r="AJ38" s="619"/>
    </row>
    <row r="39" ht="15.75" customHeight="1" hidden="1" spans="1:36" s="594" customFormat="1" x14ac:dyDescent="0.25">
      <c r="A39" s="608"/>
      <c r="B39" s="609"/>
      <c r="C39" s="609"/>
      <c r="D39" s="610"/>
      <c r="E39" s="598"/>
      <c r="F39" s="599"/>
      <c r="G39" s="599"/>
      <c r="H39" s="599"/>
      <c r="I39" s="599"/>
      <c r="J39" s="600"/>
      <c r="K39" s="613"/>
      <c r="L39" s="599"/>
      <c r="M39" s="599"/>
      <c r="N39" s="599"/>
      <c r="O39" s="599"/>
      <c r="P39" s="604"/>
      <c r="Q39" s="598"/>
      <c r="R39" s="599"/>
      <c r="S39" s="599"/>
      <c r="T39" s="599"/>
      <c r="U39" s="599"/>
      <c r="V39" s="604"/>
      <c r="W39" s="617"/>
      <c r="X39" s="618"/>
      <c r="Y39" s="618"/>
      <c r="Z39" s="618"/>
      <c r="AA39" s="618"/>
      <c r="AB39" s="618"/>
      <c r="AC39" s="618"/>
      <c r="AD39" s="618"/>
      <c r="AE39" s="618"/>
      <c r="AF39" s="618"/>
      <c r="AG39" s="618"/>
      <c r="AH39" s="618"/>
      <c r="AI39" s="618"/>
      <c r="AJ39" s="619"/>
    </row>
    <row r="40" ht="15.75" customHeight="1" hidden="1" spans="1:36" s="594" customFormat="1" x14ac:dyDescent="0.25">
      <c r="A40" s="608"/>
      <c r="B40" s="609"/>
      <c r="C40" s="609"/>
      <c r="D40" s="610"/>
      <c r="E40" s="611"/>
      <c r="F40" s="612"/>
      <c r="G40" s="612"/>
      <c r="H40" s="612"/>
      <c r="I40" s="612"/>
      <c r="J40" s="612"/>
      <c r="K40" s="620"/>
      <c r="L40" s="612"/>
      <c r="M40" s="612"/>
      <c r="N40" s="612"/>
      <c r="O40" s="612"/>
      <c r="P40" s="621"/>
      <c r="Q40" s="598"/>
      <c r="R40" s="599"/>
      <c r="S40" s="599"/>
      <c r="T40" s="599"/>
      <c r="U40" s="599"/>
      <c r="V40" s="604"/>
      <c r="W40" s="617"/>
      <c r="X40" s="618"/>
      <c r="Y40" s="618"/>
      <c r="Z40" s="618"/>
      <c r="AA40" s="618"/>
      <c r="AB40" s="618"/>
      <c r="AC40" s="618"/>
      <c r="AD40" s="618"/>
      <c r="AE40" s="618"/>
      <c r="AF40" s="618"/>
      <c r="AG40" s="618"/>
      <c r="AH40" s="618"/>
      <c r="AI40" s="618"/>
      <c r="AJ40" s="619"/>
    </row>
    <row r="41" ht="15.75" customHeight="1" hidden="1" spans="1:36" s="594" customFormat="1" x14ac:dyDescent="0.25">
      <c r="A41" s="608"/>
      <c r="B41" s="609"/>
      <c r="C41" s="609"/>
      <c r="D41" s="610"/>
      <c r="E41" s="611"/>
      <c r="F41" s="612"/>
      <c r="G41" s="612"/>
      <c r="H41" s="612"/>
      <c r="I41" s="612"/>
      <c r="J41" s="612"/>
      <c r="K41" s="613"/>
      <c r="L41" s="599"/>
      <c r="M41" s="599"/>
      <c r="N41" s="599"/>
      <c r="O41" s="599"/>
      <c r="P41" s="604"/>
      <c r="Q41" s="598"/>
      <c r="R41" s="599"/>
      <c r="S41" s="599"/>
      <c r="T41" s="599"/>
      <c r="U41" s="599"/>
      <c r="V41" s="604"/>
      <c r="W41" s="617"/>
      <c r="X41" s="618"/>
      <c r="Y41" s="618"/>
      <c r="Z41" s="618"/>
      <c r="AA41" s="618"/>
      <c r="AB41" s="618"/>
      <c r="AC41" s="618"/>
      <c r="AD41" s="618"/>
      <c r="AE41" s="618"/>
      <c r="AF41" s="618"/>
      <c r="AG41" s="618"/>
      <c r="AH41" s="618"/>
      <c r="AI41" s="618"/>
      <c r="AJ41" s="619"/>
    </row>
    <row r="42" ht="15.75" customHeight="1" hidden="1" spans="1:36" s="594" customFormat="1" x14ac:dyDescent="0.25">
      <c r="A42" s="608"/>
      <c r="B42" s="609"/>
      <c r="C42" s="609"/>
      <c r="D42" s="610"/>
      <c r="E42" s="598"/>
      <c r="F42" s="599"/>
      <c r="G42" s="599"/>
      <c r="H42" s="599"/>
      <c r="I42" s="599"/>
      <c r="J42" s="600"/>
      <c r="K42" s="620"/>
      <c r="L42" s="612"/>
      <c r="M42" s="612"/>
      <c r="N42" s="612"/>
      <c r="O42" s="612"/>
      <c r="P42" s="621"/>
      <c r="Q42" s="598"/>
      <c r="R42" s="599"/>
      <c r="S42" s="599"/>
      <c r="T42" s="599"/>
      <c r="U42" s="599"/>
      <c r="V42" s="604"/>
      <c r="W42" s="617"/>
      <c r="X42" s="618"/>
      <c r="Y42" s="618"/>
      <c r="Z42" s="618"/>
      <c r="AA42" s="618"/>
      <c r="AB42" s="618"/>
      <c r="AC42" s="618"/>
      <c r="AD42" s="618"/>
      <c r="AE42" s="618"/>
      <c r="AF42" s="618"/>
      <c r="AG42" s="618"/>
      <c r="AH42" s="618"/>
      <c r="AI42" s="618"/>
      <c r="AJ42" s="619"/>
    </row>
    <row r="43" ht="15.75" customHeight="1" hidden="1" spans="1:36" s="594" customFormat="1" x14ac:dyDescent="0.25">
      <c r="A43" s="608"/>
      <c r="B43" s="609"/>
      <c r="C43" s="609"/>
      <c r="D43" s="610"/>
      <c r="E43" s="598"/>
      <c r="F43" s="599"/>
      <c r="G43" s="599"/>
      <c r="H43" s="599"/>
      <c r="I43" s="599"/>
      <c r="J43" s="600"/>
      <c r="K43" s="613"/>
      <c r="L43" s="599"/>
      <c r="M43" s="599"/>
      <c r="N43" s="599"/>
      <c r="O43" s="599"/>
      <c r="P43" s="604"/>
      <c r="Q43" s="598">
        <f t="shared" ref="Q43:Q48" si="0">IF(AND(NOT(ISBLANK(K43)),NOT(ISBLANK(E43))), IF(K43&gt;E43,K43-E43,24-E43+K43), "")</f>
      </c>
      <c r="R43" s="599"/>
      <c r="S43" s="599"/>
      <c r="T43" s="599"/>
      <c r="U43" s="599"/>
      <c r="V43" s="604"/>
      <c r="W43" s="617"/>
      <c r="X43" s="618"/>
      <c r="Y43" s="618"/>
      <c r="Z43" s="618"/>
      <c r="AA43" s="618"/>
      <c r="AB43" s="618"/>
      <c r="AC43" s="618"/>
      <c r="AD43" s="618"/>
      <c r="AE43" s="618"/>
      <c r="AF43" s="618"/>
      <c r="AG43" s="618"/>
      <c r="AH43" s="618"/>
      <c r="AI43" s="618"/>
      <c r="AJ43" s="619"/>
    </row>
    <row r="44" ht="15.75" customHeight="1" hidden="1" spans="1:36" s="594" customFormat="1" x14ac:dyDescent="0.25">
      <c r="A44" s="608"/>
      <c r="B44" s="609"/>
      <c r="C44" s="609"/>
      <c r="D44" s="610"/>
      <c r="E44" s="611"/>
      <c r="F44" s="612"/>
      <c r="G44" s="612"/>
      <c r="H44" s="612"/>
      <c r="I44" s="612"/>
      <c r="J44" s="612"/>
      <c r="K44" s="620"/>
      <c r="L44" s="612"/>
      <c r="M44" s="612"/>
      <c r="N44" s="612"/>
      <c r="O44" s="612"/>
      <c r="P44" s="621"/>
      <c r="Q44" s="598">
        <f t="shared" si="0"/>
      </c>
      <c r="R44" s="599"/>
      <c r="S44" s="599"/>
      <c r="T44" s="599"/>
      <c r="U44" s="599"/>
      <c r="V44" s="604"/>
      <c r="W44" s="617"/>
      <c r="X44" s="618"/>
      <c r="Y44" s="618"/>
      <c r="Z44" s="618"/>
      <c r="AA44" s="618"/>
      <c r="AB44" s="618"/>
      <c r="AC44" s="618"/>
      <c r="AD44" s="618"/>
      <c r="AE44" s="618"/>
      <c r="AF44" s="618"/>
      <c r="AG44" s="618"/>
      <c r="AH44" s="618"/>
      <c r="AI44" s="618"/>
      <c r="AJ44" s="619"/>
    </row>
    <row r="45" ht="15.75" customHeight="1" hidden="1" spans="1:36" s="594" customFormat="1" x14ac:dyDescent="0.25">
      <c r="A45" s="608"/>
      <c r="B45" s="609"/>
      <c r="C45" s="609"/>
      <c r="D45" s="610"/>
      <c r="E45" s="598"/>
      <c r="F45" s="599"/>
      <c r="G45" s="599"/>
      <c r="H45" s="599"/>
      <c r="I45" s="599"/>
      <c r="J45" s="600"/>
      <c r="K45" s="620"/>
      <c r="L45" s="612"/>
      <c r="M45" s="612"/>
      <c r="N45" s="612"/>
      <c r="O45" s="612"/>
      <c r="P45" s="621"/>
      <c r="Q45" s="598">
        <f t="shared" si="0"/>
      </c>
      <c r="R45" s="599"/>
      <c r="S45" s="599"/>
      <c r="T45" s="599"/>
      <c r="U45" s="599"/>
      <c r="V45" s="604"/>
      <c r="W45" s="617"/>
      <c r="X45" s="618"/>
      <c r="Y45" s="618"/>
      <c r="Z45" s="618"/>
      <c r="AA45" s="618"/>
      <c r="AB45" s="618"/>
      <c r="AC45" s="618"/>
      <c r="AD45" s="618"/>
      <c r="AE45" s="618"/>
      <c r="AF45" s="618"/>
      <c r="AG45" s="618"/>
      <c r="AH45" s="618"/>
      <c r="AI45" s="618"/>
      <c r="AJ45" s="619"/>
    </row>
    <row r="46" ht="15.75" customHeight="1" hidden="1" spans="1:36" s="594" customFormat="1" x14ac:dyDescent="0.25">
      <c r="A46" s="608"/>
      <c r="B46" s="609"/>
      <c r="C46" s="609"/>
      <c r="D46" s="610"/>
      <c r="E46" s="598"/>
      <c r="F46" s="599"/>
      <c r="G46" s="599"/>
      <c r="H46" s="599"/>
      <c r="I46" s="599"/>
      <c r="J46" s="600"/>
      <c r="K46" s="613"/>
      <c r="L46" s="599"/>
      <c r="M46" s="599"/>
      <c r="N46" s="599"/>
      <c r="O46" s="599"/>
      <c r="P46" s="604"/>
      <c r="Q46" s="598">
        <f t="shared" si="0"/>
      </c>
      <c r="R46" s="599"/>
      <c r="S46" s="599"/>
      <c r="T46" s="599"/>
      <c r="U46" s="599"/>
      <c r="V46" s="604"/>
      <c r="W46" s="617"/>
      <c r="X46" s="618"/>
      <c r="Y46" s="618"/>
      <c r="Z46" s="618"/>
      <c r="AA46" s="618"/>
      <c r="AB46" s="618"/>
      <c r="AC46" s="618"/>
      <c r="AD46" s="618"/>
      <c r="AE46" s="618"/>
      <c r="AF46" s="618"/>
      <c r="AG46" s="618"/>
      <c r="AH46" s="618"/>
      <c r="AI46" s="618"/>
      <c r="AJ46" s="619"/>
    </row>
    <row r="47" ht="15.75" customHeight="1" hidden="1" spans="1:36" s="594" customFormat="1" x14ac:dyDescent="0.25">
      <c r="A47" s="608"/>
      <c r="B47" s="609"/>
      <c r="C47" s="609"/>
      <c r="D47" s="610"/>
      <c r="E47" s="598"/>
      <c r="F47" s="599"/>
      <c r="G47" s="599"/>
      <c r="H47" s="599"/>
      <c r="I47" s="599"/>
      <c r="J47" s="600"/>
      <c r="K47" s="613"/>
      <c r="L47" s="599"/>
      <c r="M47" s="599"/>
      <c r="N47" s="599"/>
      <c r="O47" s="599"/>
      <c r="P47" s="604"/>
      <c r="Q47" s="598">
        <f t="shared" si="0"/>
      </c>
      <c r="R47" s="599"/>
      <c r="S47" s="599"/>
      <c r="T47" s="599"/>
      <c r="U47" s="599"/>
      <c r="V47" s="604"/>
      <c r="W47" s="617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9"/>
    </row>
    <row r="48" ht="15.75" customHeight="1" hidden="1" spans="1:36" s="594" customFormat="1" x14ac:dyDescent="0.25">
      <c r="A48" s="622"/>
      <c r="B48" s="154"/>
      <c r="C48" s="154"/>
      <c r="D48" s="155"/>
      <c r="E48" s="623"/>
      <c r="F48" s="624"/>
      <c r="G48" s="624"/>
      <c r="H48" s="624"/>
      <c r="I48" s="624"/>
      <c r="J48" s="625"/>
      <c r="K48" s="626"/>
      <c r="L48" s="624"/>
      <c r="M48" s="624"/>
      <c r="N48" s="624"/>
      <c r="O48" s="624"/>
      <c r="P48" s="627"/>
      <c r="Q48" s="623">
        <f t="shared" si="0"/>
      </c>
      <c r="R48" s="624"/>
      <c r="S48" s="624"/>
      <c r="T48" s="624"/>
      <c r="U48" s="624"/>
      <c r="V48" s="627"/>
      <c r="W48" s="628"/>
      <c r="X48" s="629"/>
      <c r="Y48" s="629"/>
      <c r="Z48" s="629"/>
      <c r="AA48" s="629"/>
      <c r="AB48" s="629"/>
      <c r="AC48" s="629"/>
      <c r="AD48" s="629"/>
      <c r="AE48" s="629"/>
      <c r="AF48" s="629"/>
      <c r="AG48" s="629"/>
      <c r="AH48" s="629"/>
      <c r="AI48" s="629"/>
      <c r="AJ48" s="630"/>
    </row>
    <row r="49" ht="15.75" customHeight="1" hidden="1" spans="1:36" s="594" customFormat="1" x14ac:dyDescent="0.25">
      <c r="A49" s="588"/>
      <c r="B49" s="589"/>
      <c r="C49" s="589"/>
      <c r="D49" s="589"/>
      <c r="E49" s="589"/>
      <c r="F49" s="589"/>
      <c r="G49" s="589"/>
      <c r="H49" s="589"/>
      <c r="I49" s="589"/>
      <c r="J49" s="589"/>
      <c r="K49" s="589"/>
      <c r="L49" s="589"/>
      <c r="M49" s="589"/>
      <c r="N49" s="589"/>
      <c r="O49" s="589"/>
      <c r="P49" s="590"/>
      <c r="Q49" s="631">
        <f>SUM(Q31:V48)</f>
        <v>0</v>
      </c>
      <c r="R49" s="631"/>
      <c r="S49" s="631"/>
      <c r="T49" s="631"/>
      <c r="U49" s="631"/>
      <c r="V49" s="631"/>
      <c r="W49" s="632"/>
      <c r="X49" s="633"/>
      <c r="Y49" s="633"/>
      <c r="Z49" s="633"/>
      <c r="AA49" s="633"/>
      <c r="AB49" s="633"/>
      <c r="AC49" s="633"/>
      <c r="AD49" s="633"/>
      <c r="AE49" s="633"/>
      <c r="AF49" s="633"/>
      <c r="AG49" s="633"/>
      <c r="AH49" s="633"/>
      <c r="AI49" s="633"/>
      <c r="AJ49" s="634"/>
    </row>
    <row r="50" ht="15.75" customHeight="1" spans="1:36" x14ac:dyDescent="0.25">
      <c r="A50" s="588" t="s">
        <v>196</v>
      </c>
      <c r="B50" s="589"/>
      <c r="C50" s="589"/>
      <c r="D50" s="590"/>
      <c r="E50" s="591" t="s">
        <v>197</v>
      </c>
      <c r="F50" s="592"/>
      <c r="G50" s="592"/>
      <c r="H50" s="592"/>
      <c r="I50" s="592"/>
      <c r="J50" s="592"/>
      <c r="K50" s="592" t="s">
        <v>198</v>
      </c>
      <c r="L50" s="592"/>
      <c r="M50" s="592"/>
      <c r="N50" s="592"/>
      <c r="O50" s="592"/>
      <c r="P50" s="593"/>
      <c r="Q50" s="591" t="s">
        <v>199</v>
      </c>
      <c r="R50" s="592"/>
      <c r="S50" s="592"/>
      <c r="T50" s="592"/>
      <c r="U50" s="592"/>
      <c r="V50" s="593"/>
      <c r="W50" s="591" t="s">
        <v>68</v>
      </c>
      <c r="X50" s="592"/>
      <c r="Y50" s="592"/>
      <c r="Z50" s="592"/>
      <c r="AA50" s="592"/>
      <c r="AB50" s="592"/>
      <c r="AC50" s="592"/>
      <c r="AD50" s="592"/>
      <c r="AE50" s="592"/>
      <c r="AF50" s="592"/>
      <c r="AG50" s="592"/>
      <c r="AH50" s="592"/>
      <c r="AI50" s="592"/>
      <c r="AJ50" s="593"/>
    </row>
    <row r="51" ht="15.75" customHeight="1" spans="1:36" s="594" customFormat="1" x14ac:dyDescent="0.25">
      <c r="A51" s="595" t="s">
        <v>201</v>
      </c>
      <c r="B51" s="596"/>
      <c r="C51" s="596"/>
      <c r="D51" s="597"/>
      <c r="E51" s="598">
        <v>0.5416666666678793</v>
      </c>
      <c r="F51" s="599"/>
      <c r="G51" s="599"/>
      <c r="H51" s="599"/>
      <c r="I51" s="599"/>
      <c r="J51" s="600"/>
      <c r="K51" s="601"/>
      <c r="L51" s="602"/>
      <c r="M51" s="602"/>
      <c r="N51" s="602"/>
      <c r="O51" s="602"/>
      <c r="P51" s="603"/>
      <c r="Q51" s="598">
        <f t="shared" ref="Q51:Q57" si="1">IF(AND(NOT(ISBLANK(K51)),NOT(ISBLANK(E51))), IF(K51&gt;E51,K51-E51,24-E51+K51), "")</f>
      </c>
      <c r="R51" s="599"/>
      <c r="S51" s="599"/>
      <c r="T51" s="599"/>
      <c r="U51" s="599"/>
      <c r="V51" s="604"/>
      <c r="W51" s="605" t="s">
        <v>202</v>
      </c>
      <c r="X51" s="606"/>
      <c r="Y51" s="606"/>
      <c r="Z51" s="606"/>
      <c r="AA51" s="606"/>
      <c r="AB51" s="606"/>
      <c r="AC51" s="606"/>
      <c r="AD51" s="606"/>
      <c r="AE51" s="606"/>
      <c r="AF51" s="606"/>
      <c r="AG51" s="606"/>
      <c r="AH51" s="606"/>
      <c r="AI51" s="606"/>
      <c r="AJ51" s="607"/>
    </row>
    <row r="52" ht="15.75" customHeight="1" spans="1:36" s="594" customFormat="1" x14ac:dyDescent="0.25">
      <c r="A52" s="608" t="s">
        <v>49</v>
      </c>
      <c r="B52" s="609"/>
      <c r="C52" s="609"/>
      <c r="D52" s="610"/>
      <c r="E52" s="611">
        <f>E51</f>
        <v>0.5416666666678793</v>
      </c>
      <c r="F52" s="612"/>
      <c r="G52" s="612"/>
      <c r="H52" s="612"/>
      <c r="I52" s="612"/>
      <c r="J52" s="612"/>
      <c r="K52" s="613">
        <v>0.7291666666678793</v>
      </c>
      <c r="L52" s="599"/>
      <c r="M52" s="599"/>
      <c r="N52" s="599"/>
      <c r="O52" s="599"/>
      <c r="P52" s="604"/>
      <c r="Q52" s="598">
        <f t="shared" si="1"/>
        <v>0.1875</v>
      </c>
      <c r="R52" s="599"/>
      <c r="S52" s="599"/>
      <c r="T52" s="599"/>
      <c r="U52" s="599"/>
      <c r="V52" s="604"/>
      <c r="W52" s="614" t="s">
        <v>203</v>
      </c>
      <c r="X52" s="615"/>
      <c r="Y52" s="615"/>
      <c r="Z52" s="615"/>
      <c r="AA52" s="615"/>
      <c r="AB52" s="615"/>
      <c r="AC52" s="615"/>
      <c r="AD52" s="615"/>
      <c r="AE52" s="615"/>
      <c r="AF52" s="615"/>
      <c r="AG52" s="615"/>
      <c r="AH52" s="615"/>
      <c r="AI52" s="615"/>
      <c r="AJ52" s="616"/>
    </row>
    <row r="53" ht="15.75" customHeight="1" spans="1:36" s="594" customFormat="1" x14ac:dyDescent="0.25">
      <c r="A53" s="608"/>
      <c r="B53" s="609"/>
      <c r="C53" s="609"/>
      <c r="D53" s="610"/>
      <c r="E53" s="611">
        <v>0.7291666666678793</v>
      </c>
      <c r="F53" s="612"/>
      <c r="G53" s="612"/>
      <c r="H53" s="612"/>
      <c r="I53" s="612"/>
      <c r="J53" s="612"/>
      <c r="K53" s="613">
        <v>0.7916666666678793</v>
      </c>
      <c r="L53" s="599"/>
      <c r="M53" s="599"/>
      <c r="N53" s="599"/>
      <c r="O53" s="599"/>
      <c r="P53" s="604"/>
      <c r="Q53" s="598">
        <f>IF(AND(NOT(ISBLANK(K53)),NOT(ISBLANK(E53))), IF(K53&gt;E53,K53-E53,24-E53+K53), "")</f>
        <v>0.0625</v>
      </c>
      <c r="R53" s="599"/>
      <c r="S53" s="599"/>
      <c r="T53" s="599"/>
      <c r="U53" s="599"/>
      <c r="V53" s="604"/>
      <c r="W53" s="614" t="s">
        <v>204</v>
      </c>
      <c r="X53" s="615"/>
      <c r="Y53" s="615"/>
      <c r="Z53" s="615"/>
      <c r="AA53" s="615"/>
      <c r="AB53" s="615"/>
      <c r="AC53" s="615"/>
      <c r="AD53" s="615"/>
      <c r="AE53" s="615"/>
      <c r="AF53" s="615"/>
      <c r="AG53" s="615"/>
      <c r="AH53" s="615"/>
      <c r="AI53" s="615"/>
      <c r="AJ53" s="616"/>
    </row>
    <row r="54" ht="15.75" customHeight="1" spans="1:36" s="594" customFormat="1" x14ac:dyDescent="0.25">
      <c r="A54" s="608"/>
      <c r="B54" s="609"/>
      <c r="C54" s="609"/>
      <c r="D54" s="610"/>
      <c r="E54" s="611">
        <v>0.7916666666678793</v>
      </c>
      <c r="F54" s="612"/>
      <c r="G54" s="612"/>
      <c r="H54" s="612"/>
      <c r="I54" s="612"/>
      <c r="J54" s="612"/>
      <c r="K54" s="613">
        <v>0.8993055555547471</v>
      </c>
      <c r="L54" s="599"/>
      <c r="M54" s="599"/>
      <c r="N54" s="599"/>
      <c r="O54" s="599"/>
      <c r="P54" s="604"/>
      <c r="Q54" s="598">
        <f>IF(AND(NOT(ISBLANK(K54)),NOT(ISBLANK(E54))), IF(K54&gt;E54,K54-E54,24-E54+K54), "")</f>
        <v>0.10763888889050577</v>
      </c>
      <c r="R54" s="599"/>
      <c r="S54" s="599"/>
      <c r="T54" s="599"/>
      <c r="U54" s="599"/>
      <c r="V54" s="604"/>
      <c r="W54" s="614" t="s">
        <v>203</v>
      </c>
      <c r="X54" s="615"/>
      <c r="Y54" s="615"/>
      <c r="Z54" s="615"/>
      <c r="AA54" s="615"/>
      <c r="AB54" s="615"/>
      <c r="AC54" s="615"/>
      <c r="AD54" s="615"/>
      <c r="AE54" s="615"/>
      <c r="AF54" s="615"/>
      <c r="AG54" s="615"/>
      <c r="AH54" s="615"/>
      <c r="AI54" s="615"/>
      <c r="AJ54" s="616"/>
    </row>
    <row r="55" ht="15.75" customHeight="1" spans="1:36" s="594" customFormat="1" x14ac:dyDescent="0.25">
      <c r="A55" s="608"/>
      <c r="B55" s="609"/>
      <c r="C55" s="609"/>
      <c r="D55" s="610"/>
      <c r="E55" s="611"/>
      <c r="F55" s="612"/>
      <c r="G55" s="612"/>
      <c r="H55" s="612"/>
      <c r="I55" s="612"/>
      <c r="J55" s="612"/>
      <c r="K55" s="613">
        <v>0.8993055555547471</v>
      </c>
      <c r="L55" s="599"/>
      <c r="M55" s="599"/>
      <c r="N55" s="599"/>
      <c r="O55" s="599"/>
      <c r="P55" s="604"/>
      <c r="Q55" s="598">
        <f t="shared" si="1"/>
      </c>
      <c r="R55" s="599"/>
      <c r="S55" s="599"/>
      <c r="T55" s="599"/>
      <c r="U55" s="599"/>
      <c r="V55" s="604"/>
      <c r="W55" s="617" t="s">
        <v>205</v>
      </c>
      <c r="X55" s="618"/>
      <c r="Y55" s="618"/>
      <c r="Z55" s="618"/>
      <c r="AA55" s="618"/>
      <c r="AB55" s="618"/>
      <c r="AC55" s="618"/>
      <c r="AD55" s="618"/>
      <c r="AE55" s="618"/>
      <c r="AF55" s="618"/>
      <c r="AG55" s="618"/>
      <c r="AH55" s="618"/>
      <c r="AI55" s="618"/>
      <c r="AJ55" s="619"/>
    </row>
    <row r="56" ht="15.75" customHeight="1" spans="1:36" s="594" customFormat="1" x14ac:dyDescent="0.25">
      <c r="A56" s="608"/>
      <c r="B56" s="609"/>
      <c r="C56" s="609"/>
      <c r="D56" s="610"/>
      <c r="E56" s="598">
        <v>0.9027777777773736</v>
      </c>
      <c r="F56" s="599"/>
      <c r="G56" s="599"/>
      <c r="H56" s="599"/>
      <c r="I56" s="599"/>
      <c r="J56" s="600"/>
      <c r="K56" s="613"/>
      <c r="L56" s="599"/>
      <c r="M56" s="599"/>
      <c r="N56" s="599"/>
      <c r="O56" s="599"/>
      <c r="P56" s="604"/>
      <c r="Q56" s="598">
        <f t="shared" si="1"/>
      </c>
      <c r="R56" s="599"/>
      <c r="S56" s="599"/>
      <c r="T56" s="599"/>
      <c r="U56" s="599"/>
      <c r="V56" s="604"/>
      <c r="W56" s="617" t="s">
        <v>206</v>
      </c>
      <c r="X56" s="618"/>
      <c r="Y56" s="618"/>
      <c r="Z56" s="618"/>
      <c r="AA56" s="618"/>
      <c r="AB56" s="618"/>
      <c r="AC56" s="618"/>
      <c r="AD56" s="618"/>
      <c r="AE56" s="618"/>
      <c r="AF56" s="618"/>
      <c r="AG56" s="618"/>
      <c r="AH56" s="618"/>
      <c r="AI56" s="618"/>
      <c r="AJ56" s="619"/>
    </row>
    <row r="57" ht="15.75" customHeight="1" spans="1:36" s="594" customFormat="1" x14ac:dyDescent="0.25">
      <c r="A57" s="608"/>
      <c r="B57" s="609"/>
      <c r="C57" s="609"/>
      <c r="D57" s="610"/>
      <c r="E57" s="611">
        <v>0.9027777777773736</v>
      </c>
      <c r="F57" s="612"/>
      <c r="G57" s="612"/>
      <c r="H57" s="612"/>
      <c r="I57" s="612"/>
      <c r="J57" s="612"/>
      <c r="K57" s="613">
        <v>0.9791666666678793</v>
      </c>
      <c r="L57" s="599"/>
      <c r="M57" s="599"/>
      <c r="N57" s="599"/>
      <c r="O57" s="599"/>
      <c r="P57" s="604"/>
      <c r="Q57" s="598">
        <f>IF(AND(NOT(ISBLANK(K57)),NOT(ISBLANK(E57))), IF(K57&gt;E57,K57-E57,24-E57+K57), "")</f>
        <v>0.07638888889050577</v>
      </c>
      <c r="R57" s="599"/>
      <c r="S57" s="599"/>
      <c r="T57" s="599"/>
      <c r="U57" s="599"/>
      <c r="V57" s="604"/>
      <c r="W57" s="617" t="s">
        <v>207</v>
      </c>
      <c r="X57" s="618"/>
      <c r="Y57" s="618"/>
      <c r="Z57" s="618"/>
      <c r="AA57" s="618"/>
      <c r="AB57" s="618"/>
      <c r="AC57" s="618"/>
      <c r="AD57" s="618"/>
      <c r="AE57" s="618"/>
      <c r="AF57" s="618"/>
      <c r="AG57" s="618"/>
      <c r="AH57" s="618"/>
      <c r="AI57" s="618"/>
      <c r="AJ57" s="619"/>
    </row>
    <row r="58" ht="15.75" customHeight="1" spans="1:36" s="594" customFormat="1" x14ac:dyDescent="0.25">
      <c r="A58" s="608"/>
      <c r="B58" s="609"/>
      <c r="C58" s="609"/>
      <c r="D58" s="610"/>
      <c r="E58" s="611">
        <v>0.9791666666678793</v>
      </c>
      <c r="F58" s="612"/>
      <c r="G58" s="612"/>
      <c r="H58" s="612"/>
      <c r="I58" s="612"/>
      <c r="J58" s="612"/>
      <c r="K58" s="613">
        <v>0.041666666667879326</v>
      </c>
      <c r="L58" s="599"/>
      <c r="M58" s="599"/>
      <c r="N58" s="599"/>
      <c r="O58" s="599"/>
      <c r="P58" s="604"/>
      <c r="Q58" s="598">
        <f>IF(AND(NOT(ISBLANK(K58)),NOT(ISBLANK(E58))), IF(K58&gt;E58,K58-E58,24-E58+K58), "")</f>
        <v>23.0625</v>
      </c>
      <c r="R58" s="599"/>
      <c r="S58" s="599"/>
      <c r="T58" s="599"/>
      <c r="U58" s="599"/>
      <c r="V58" s="604"/>
      <c r="W58" s="617" t="s">
        <v>204</v>
      </c>
      <c r="X58" s="618"/>
      <c r="Y58" s="618"/>
      <c r="Z58" s="618"/>
      <c r="AA58" s="618"/>
      <c r="AB58" s="618"/>
      <c r="AC58" s="618"/>
      <c r="AD58" s="618"/>
      <c r="AE58" s="618"/>
      <c r="AF58" s="618"/>
      <c r="AG58" s="618"/>
      <c r="AH58" s="618"/>
      <c r="AI58" s="618"/>
      <c r="AJ58" s="619"/>
    </row>
    <row r="59" ht="15.75" customHeight="1" spans="1:36" s="594" customFormat="1" x14ac:dyDescent="0.25">
      <c r="A59" s="608" t="s">
        <v>50</v>
      </c>
      <c r="B59" s="609"/>
      <c r="C59" s="609"/>
      <c r="D59" s="610"/>
      <c r="E59" s="611">
        <v>0.041666666667879326</v>
      </c>
      <c r="F59" s="612"/>
      <c r="G59" s="612"/>
      <c r="H59" s="612"/>
      <c r="I59" s="612"/>
      <c r="J59" s="612"/>
      <c r="K59" s="613">
        <v>0.17361111110949423</v>
      </c>
      <c r="L59" s="599"/>
      <c r="M59" s="599"/>
      <c r="N59" s="599"/>
      <c r="O59" s="599"/>
      <c r="P59" s="604"/>
      <c r="Q59" s="598">
        <f>IF(AND(NOT(ISBLANK(K59)),NOT(ISBLANK(E59))), IF(K59&gt;E59,K59-E59,24-E59+K59), "")</f>
        <v>0.13194444444525288</v>
      </c>
      <c r="R59" s="599"/>
      <c r="S59" s="599"/>
      <c r="T59" s="599"/>
      <c r="U59" s="599"/>
      <c r="V59" s="604"/>
      <c r="W59" s="617" t="s">
        <v>207</v>
      </c>
      <c r="X59" s="618"/>
      <c r="Y59" s="618"/>
      <c r="Z59" s="618"/>
      <c r="AA59" s="618"/>
      <c r="AB59" s="618"/>
      <c r="AC59" s="618"/>
      <c r="AD59" s="618"/>
      <c r="AE59" s="618"/>
      <c r="AF59" s="618"/>
      <c r="AG59" s="618"/>
      <c r="AH59" s="618"/>
      <c r="AI59" s="618"/>
      <c r="AJ59" s="619"/>
    </row>
    <row r="60" ht="15.75" customHeight="1" spans="1:36" s="594" customFormat="1" x14ac:dyDescent="0.25">
      <c r="A60" s="608"/>
      <c r="B60" s="609"/>
      <c r="C60" s="609"/>
      <c r="D60" s="610"/>
      <c r="E60" s="598"/>
      <c r="F60" s="599"/>
      <c r="G60" s="599"/>
      <c r="H60" s="599"/>
      <c r="I60" s="599"/>
      <c r="J60" s="600"/>
      <c r="K60" s="613">
        <f>SUM(K59)</f>
        <v>0.17361111110949423</v>
      </c>
      <c r="L60" s="599"/>
      <c r="M60" s="599"/>
      <c r="N60" s="599"/>
      <c r="O60" s="599"/>
      <c r="P60" s="604"/>
      <c r="Q60" s="598">
        <f>IF(AND(NOT(ISBLANK(K60)),NOT(ISBLANK(E60))), IF(K60&gt;E60,K60-E60,24-E60+K60), "")</f>
      </c>
      <c r="R60" s="599"/>
      <c r="S60" s="599"/>
      <c r="T60" s="599"/>
      <c r="U60" s="599"/>
      <c r="V60" s="604"/>
      <c r="W60" s="617" t="s">
        <v>208</v>
      </c>
      <c r="X60" s="618"/>
      <c r="Y60" s="618"/>
      <c r="Z60" s="618"/>
      <c r="AA60" s="618"/>
      <c r="AB60" s="618"/>
      <c r="AC60" s="618"/>
      <c r="AD60" s="618"/>
      <c r="AE60" s="618"/>
      <c r="AF60" s="618"/>
      <c r="AG60" s="618"/>
      <c r="AH60" s="618"/>
      <c r="AI60" s="618"/>
      <c r="AJ60" s="619"/>
    </row>
    <row r="61" ht="15.75" customHeight="1" spans="1:36" s="594" customFormat="1" x14ac:dyDescent="0.25">
      <c r="A61" s="608"/>
      <c r="B61" s="609"/>
      <c r="C61" s="609"/>
      <c r="D61" s="610"/>
      <c r="E61" s="611"/>
      <c r="F61" s="612"/>
      <c r="G61" s="612"/>
      <c r="H61" s="612"/>
      <c r="I61" s="612"/>
      <c r="J61" s="612"/>
      <c r="K61" s="620"/>
      <c r="L61" s="612"/>
      <c r="M61" s="612"/>
      <c r="N61" s="612"/>
      <c r="O61" s="612"/>
      <c r="P61" s="621"/>
      <c r="Q61" s="598">
        <f>IF(AND(NOT(ISBLANK(K61)),NOT(ISBLANK(E61))), IF(K61&gt;E61,K61-E61,24-E61+K61), "")</f>
      </c>
      <c r="R61" s="599"/>
      <c r="S61" s="599"/>
      <c r="T61" s="599"/>
      <c r="U61" s="599"/>
      <c r="V61" s="604"/>
      <c r="W61" s="617"/>
      <c r="X61" s="618"/>
      <c r="Y61" s="618"/>
      <c r="Z61" s="618"/>
      <c r="AA61" s="618"/>
      <c r="AB61" s="618"/>
      <c r="AC61" s="618"/>
      <c r="AD61" s="618"/>
      <c r="AE61" s="618"/>
      <c r="AF61" s="618"/>
      <c r="AG61" s="618"/>
      <c r="AH61" s="618"/>
      <c r="AI61" s="618"/>
      <c r="AJ61" s="619"/>
    </row>
    <row r="62" ht="15.75" customHeight="1" spans="1:36" s="594" customFormat="1" x14ac:dyDescent="0.25">
      <c r="A62" s="588"/>
      <c r="B62" s="589"/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89"/>
      <c r="N62" s="589"/>
      <c r="O62" s="589"/>
      <c r="P62" s="590"/>
      <c r="Q62" s="631">
        <f>SUM(Q51:V61)</f>
        <v>23.628472222222626</v>
      </c>
      <c r="R62" s="631"/>
      <c r="S62" s="631"/>
      <c r="T62" s="631"/>
      <c r="U62" s="631"/>
      <c r="V62" s="631"/>
      <c r="W62" s="632"/>
      <c r="X62" s="633"/>
      <c r="Y62" s="633"/>
      <c r="Z62" s="633"/>
      <c r="AA62" s="633"/>
      <c r="AB62" s="633"/>
      <c r="AC62" s="633"/>
      <c r="AD62" s="633"/>
      <c r="AE62" s="633"/>
      <c r="AF62" s="633"/>
      <c r="AG62" s="633"/>
      <c r="AH62" s="633"/>
      <c r="AI62" s="633"/>
      <c r="AJ62" s="634"/>
    </row>
    <row r="63" ht="15.75" customHeight="1" spans="1:36" s="594" customFormat="1" x14ac:dyDescent="0.25">
      <c r="A63" s="595" t="s">
        <v>209</v>
      </c>
      <c r="B63" s="596"/>
      <c r="C63" s="596"/>
      <c r="D63" s="597"/>
      <c r="E63" s="598">
        <v>0.7916666666678793</v>
      </c>
      <c r="F63" s="599"/>
      <c r="G63" s="599"/>
      <c r="H63" s="599"/>
      <c r="I63" s="599"/>
      <c r="J63" s="600"/>
      <c r="K63" s="601"/>
      <c r="L63" s="602"/>
      <c r="M63" s="602"/>
      <c r="N63" s="602"/>
      <c r="O63" s="602"/>
      <c r="P63" s="603"/>
      <c r="Q63" s="598">
        <f t="shared" ref="Q63:Q74" si="2">IF(AND(NOT(ISBLANK(K63)),NOT(ISBLANK(E63))), IF(K63&gt;E63,K63-E63,24-E63+K63), "")</f>
      </c>
      <c r="R63" s="599"/>
      <c r="S63" s="599"/>
      <c r="T63" s="599"/>
      <c r="U63" s="599"/>
      <c r="V63" s="604"/>
      <c r="W63" s="605" t="s">
        <v>202</v>
      </c>
      <c r="X63" s="606"/>
      <c r="Y63" s="606"/>
      <c r="Z63" s="606"/>
      <c r="AA63" s="606"/>
      <c r="AB63" s="606"/>
      <c r="AC63" s="606"/>
      <c r="AD63" s="606"/>
      <c r="AE63" s="606"/>
      <c r="AF63" s="606"/>
      <c r="AG63" s="606"/>
      <c r="AH63" s="606"/>
      <c r="AI63" s="606"/>
      <c r="AJ63" s="607"/>
    </row>
    <row r="64" ht="15.75" customHeight="1" spans="1:36" s="594" customFormat="1" x14ac:dyDescent="0.25">
      <c r="A64" s="608" t="s">
        <v>49</v>
      </c>
      <c r="B64" s="609"/>
      <c r="C64" s="609"/>
      <c r="D64" s="610"/>
      <c r="E64" s="611">
        <v>0.7916666666678793</v>
      </c>
      <c r="F64" s="612"/>
      <c r="G64" s="612"/>
      <c r="H64" s="612"/>
      <c r="I64" s="612"/>
      <c r="J64" s="612"/>
      <c r="K64" s="613">
        <v>0.9270833333321207</v>
      </c>
      <c r="L64" s="599"/>
      <c r="M64" s="599"/>
      <c r="N64" s="599"/>
      <c r="O64" s="599"/>
      <c r="P64" s="604"/>
      <c r="Q64" s="598">
        <f t="shared" si="2"/>
        <v>0.13541666666787933</v>
      </c>
      <c r="R64" s="599"/>
      <c r="S64" s="599"/>
      <c r="T64" s="599"/>
      <c r="U64" s="599"/>
      <c r="V64" s="604"/>
      <c r="W64" s="614" t="s">
        <v>203</v>
      </c>
      <c r="X64" s="615"/>
      <c r="Y64" s="615"/>
      <c r="Z64" s="615"/>
      <c r="AA64" s="615"/>
      <c r="AB64" s="615"/>
      <c r="AC64" s="615"/>
      <c r="AD64" s="615"/>
      <c r="AE64" s="615"/>
      <c r="AF64" s="615"/>
      <c r="AG64" s="615"/>
      <c r="AH64" s="615"/>
      <c r="AI64" s="615"/>
      <c r="AJ64" s="616"/>
    </row>
    <row r="65" ht="15.75" customHeight="1" spans="1:36" s="594" customFormat="1" x14ac:dyDescent="0.25">
      <c r="A65" s="608"/>
      <c r="B65" s="609"/>
      <c r="C65" s="609"/>
      <c r="D65" s="610"/>
      <c r="E65" s="611"/>
      <c r="F65" s="612"/>
      <c r="G65" s="612"/>
      <c r="H65" s="612"/>
      <c r="I65" s="612"/>
      <c r="J65" s="612"/>
      <c r="K65" s="613">
        <v>0.9270833333321207</v>
      </c>
      <c r="L65" s="599"/>
      <c r="M65" s="599"/>
      <c r="N65" s="599"/>
      <c r="O65" s="599"/>
      <c r="P65" s="604"/>
      <c r="Q65" s="598">
        <f t="shared" si="2"/>
      </c>
      <c r="R65" s="599"/>
      <c r="S65" s="599"/>
      <c r="T65" s="599"/>
      <c r="U65" s="599"/>
      <c r="V65" s="604"/>
      <c r="W65" s="617" t="s">
        <v>205</v>
      </c>
      <c r="X65" s="618"/>
      <c r="Y65" s="618"/>
      <c r="Z65" s="618"/>
      <c r="AA65" s="618"/>
      <c r="AB65" s="618"/>
      <c r="AC65" s="618"/>
      <c r="AD65" s="618"/>
      <c r="AE65" s="618"/>
      <c r="AF65" s="618"/>
      <c r="AG65" s="618"/>
      <c r="AH65" s="618"/>
      <c r="AI65" s="618"/>
      <c r="AJ65" s="619"/>
    </row>
    <row r="66" ht="15.75" customHeight="1" spans="1:36" s="594" customFormat="1" x14ac:dyDescent="0.25">
      <c r="A66" s="608"/>
      <c r="B66" s="609"/>
      <c r="C66" s="609"/>
      <c r="D66" s="610"/>
      <c r="E66" s="598">
        <v>0.9305555555547471</v>
      </c>
      <c r="F66" s="599"/>
      <c r="G66" s="599"/>
      <c r="H66" s="599"/>
      <c r="I66" s="599"/>
      <c r="J66" s="600"/>
      <c r="K66" s="613"/>
      <c r="L66" s="599"/>
      <c r="M66" s="599"/>
      <c r="N66" s="599"/>
      <c r="O66" s="599"/>
      <c r="P66" s="604"/>
      <c r="Q66" s="598">
        <f t="shared" si="2"/>
      </c>
      <c r="R66" s="599"/>
      <c r="S66" s="599"/>
      <c r="T66" s="599"/>
      <c r="U66" s="599"/>
      <c r="V66" s="604"/>
      <c r="W66" s="617" t="s">
        <v>206</v>
      </c>
      <c r="X66" s="618"/>
      <c r="Y66" s="618"/>
      <c r="Z66" s="618"/>
      <c r="AA66" s="618"/>
      <c r="AB66" s="618"/>
      <c r="AC66" s="618"/>
      <c r="AD66" s="618"/>
      <c r="AE66" s="618"/>
      <c r="AF66" s="618"/>
      <c r="AG66" s="618"/>
      <c r="AH66" s="618"/>
      <c r="AI66" s="618"/>
      <c r="AJ66" s="619"/>
    </row>
    <row r="67" ht="15.75" customHeight="1" spans="1:36" s="594" customFormat="1" x14ac:dyDescent="0.25">
      <c r="A67" s="608"/>
      <c r="B67" s="609"/>
      <c r="C67" s="609"/>
      <c r="D67" s="610"/>
      <c r="E67" s="611">
        <v>0.9305555555547471</v>
      </c>
      <c r="F67" s="612"/>
      <c r="G67" s="612"/>
      <c r="H67" s="612"/>
      <c r="I67" s="612"/>
      <c r="J67" s="612"/>
      <c r="K67" s="613">
        <v>0.9791666666678793</v>
      </c>
      <c r="L67" s="599"/>
      <c r="M67" s="599"/>
      <c r="N67" s="599"/>
      <c r="O67" s="599"/>
      <c r="P67" s="604"/>
      <c r="Q67" s="598">
        <f t="shared" ref="Q67" si="3">IF(AND(NOT(ISBLANK(K67)),NOT(ISBLANK(E67))), IF(K67&gt;E67,K67-E67,24-E67+K67), "")</f>
        <v>0.04861111110949423</v>
      </c>
      <c r="R67" s="599"/>
      <c r="S67" s="599"/>
      <c r="T67" s="599"/>
      <c r="U67" s="599"/>
      <c r="V67" s="604"/>
      <c r="W67" s="614" t="s">
        <v>207</v>
      </c>
      <c r="X67" s="615"/>
      <c r="Y67" s="615"/>
      <c r="Z67" s="615"/>
      <c r="AA67" s="615"/>
      <c r="AB67" s="615"/>
      <c r="AC67" s="615"/>
      <c r="AD67" s="615"/>
      <c r="AE67" s="615"/>
      <c r="AF67" s="615"/>
      <c r="AG67" s="615"/>
      <c r="AH67" s="615"/>
      <c r="AI67" s="615"/>
      <c r="AJ67" s="616"/>
    </row>
    <row r="68" ht="15.75" customHeight="1" spans="1:36" s="594" customFormat="1" x14ac:dyDescent="0.25">
      <c r="A68" s="608"/>
      <c r="B68" s="609"/>
      <c r="C68" s="609"/>
      <c r="D68" s="610"/>
      <c r="E68" s="611">
        <v>0.9791666666678793</v>
      </c>
      <c r="F68" s="612"/>
      <c r="G68" s="612"/>
      <c r="H68" s="612"/>
      <c r="I68" s="612"/>
      <c r="J68" s="612"/>
      <c r="K68" s="613">
        <v>0.041666666667879326</v>
      </c>
      <c r="L68" s="599"/>
      <c r="M68" s="599"/>
      <c r="N68" s="599"/>
      <c r="O68" s="599"/>
      <c r="P68" s="604"/>
      <c r="Q68" s="598">
        <f t="shared" ref="Q68" si="4">IF(AND(NOT(ISBLANK(K68)),NOT(ISBLANK(E68))), IF(K68&gt;E68,K68-E68,24-E68+K68), "")</f>
        <v>23.0625</v>
      </c>
      <c r="R68" s="599"/>
      <c r="S68" s="599"/>
      <c r="T68" s="599"/>
      <c r="U68" s="599"/>
      <c r="V68" s="604"/>
      <c r="W68" s="617" t="s">
        <v>204</v>
      </c>
      <c r="X68" s="618"/>
      <c r="Y68" s="618"/>
      <c r="Z68" s="618"/>
      <c r="AA68" s="618"/>
      <c r="AB68" s="618"/>
      <c r="AC68" s="618"/>
      <c r="AD68" s="618"/>
      <c r="AE68" s="618"/>
      <c r="AF68" s="618"/>
      <c r="AG68" s="618"/>
      <c r="AH68" s="618"/>
      <c r="AI68" s="618"/>
      <c r="AJ68" s="619"/>
    </row>
    <row r="69" ht="15.75" customHeight="1" spans="1:36" s="594" customFormat="1" x14ac:dyDescent="0.25">
      <c r="A69" s="608" t="s">
        <v>50</v>
      </c>
      <c r="B69" s="609"/>
      <c r="C69" s="609"/>
      <c r="D69" s="610"/>
      <c r="E69" s="611">
        <v>0.041666666667879326</v>
      </c>
      <c r="F69" s="612"/>
      <c r="G69" s="612"/>
      <c r="H69" s="612"/>
      <c r="I69" s="612"/>
      <c r="J69" s="612"/>
      <c r="K69" s="613">
        <v>0.18055555555474712</v>
      </c>
      <c r="L69" s="599"/>
      <c r="M69" s="599"/>
      <c r="N69" s="599"/>
      <c r="O69" s="599"/>
      <c r="P69" s="604"/>
      <c r="Q69" s="598">
        <f t="shared" ref="Q69" si="5">IF(AND(NOT(ISBLANK(K69)),NOT(ISBLANK(E69))), IF(K69&gt;E69,K69-E69,24-E69+K69), "")</f>
        <v>0.13888888889050577</v>
      </c>
      <c r="R69" s="599"/>
      <c r="S69" s="599"/>
      <c r="T69" s="599"/>
      <c r="U69" s="599"/>
      <c r="V69" s="604"/>
      <c r="W69" s="617" t="s">
        <v>207</v>
      </c>
      <c r="X69" s="618"/>
      <c r="Y69" s="618"/>
      <c r="Z69" s="618"/>
      <c r="AA69" s="618"/>
      <c r="AB69" s="618"/>
      <c r="AC69" s="618"/>
      <c r="AD69" s="618"/>
      <c r="AE69" s="618"/>
      <c r="AF69" s="618"/>
      <c r="AG69" s="618"/>
      <c r="AH69" s="618"/>
      <c r="AI69" s="618"/>
      <c r="AJ69" s="619"/>
    </row>
    <row r="70" ht="15.75" customHeight="1" spans="1:36" s="594" customFormat="1" x14ac:dyDescent="0.25">
      <c r="A70" s="608"/>
      <c r="B70" s="609"/>
      <c r="C70" s="609"/>
      <c r="D70" s="610"/>
      <c r="E70" s="611"/>
      <c r="F70" s="612"/>
      <c r="G70" s="612"/>
      <c r="H70" s="612"/>
      <c r="I70" s="612"/>
      <c r="J70" s="612"/>
      <c r="K70" s="613">
        <f>SUM(K69)</f>
        <v>0.18055555555474712</v>
      </c>
      <c r="L70" s="599"/>
      <c r="M70" s="599"/>
      <c r="N70" s="599"/>
      <c r="O70" s="599"/>
      <c r="P70" s="604"/>
      <c r="Q70" s="598">
        <f t="shared" si="2"/>
      </c>
      <c r="R70" s="599"/>
      <c r="S70" s="599"/>
      <c r="T70" s="599"/>
      <c r="U70" s="599"/>
      <c r="V70" s="604"/>
      <c r="W70" s="617" t="s">
        <v>208</v>
      </c>
      <c r="X70" s="618"/>
      <c r="Y70" s="618"/>
      <c r="Z70" s="618"/>
      <c r="AA70" s="618"/>
      <c r="AB70" s="618"/>
      <c r="AC70" s="618"/>
      <c r="AD70" s="618"/>
      <c r="AE70" s="618"/>
      <c r="AF70" s="618"/>
      <c r="AG70" s="618"/>
      <c r="AH70" s="618"/>
      <c r="AI70" s="618"/>
      <c r="AJ70" s="619"/>
    </row>
    <row r="71" ht="15.75" customHeight="1" spans="1:36" s="594" customFormat="1" x14ac:dyDescent="0.25">
      <c r="A71" s="608"/>
      <c r="B71" s="609"/>
      <c r="C71" s="609"/>
      <c r="D71" s="610"/>
      <c r="E71" s="611"/>
      <c r="F71" s="612"/>
      <c r="G71" s="612"/>
      <c r="H71" s="612"/>
      <c r="I71" s="612"/>
      <c r="J71" s="612"/>
      <c r="K71" s="613"/>
      <c r="L71" s="599"/>
      <c r="M71" s="599"/>
      <c r="N71" s="599"/>
      <c r="O71" s="599"/>
      <c r="P71" s="604"/>
      <c r="Q71" s="598">
        <f>IF(AND(NOT(ISBLANK(K71)),NOT(ISBLANK(E71))), IF(K71&gt;E71,K71-E71,24-E71+K71), "")</f>
      </c>
      <c r="R71" s="599"/>
      <c r="S71" s="599"/>
      <c r="T71" s="599"/>
      <c r="U71" s="599"/>
      <c r="V71" s="604"/>
      <c r="W71" s="617"/>
      <c r="X71" s="618"/>
      <c r="Y71" s="618"/>
      <c r="Z71" s="618"/>
      <c r="AA71" s="618"/>
      <c r="AB71" s="618"/>
      <c r="AC71" s="618"/>
      <c r="AD71" s="618"/>
      <c r="AE71" s="618"/>
      <c r="AF71" s="618"/>
      <c r="AG71" s="618"/>
      <c r="AH71" s="618"/>
      <c r="AI71" s="618"/>
      <c r="AJ71" s="619"/>
    </row>
    <row r="72" ht="15.75" customHeight="1" spans="1:36" s="594" customFormat="1" x14ac:dyDescent="0.25">
      <c r="A72" s="608"/>
      <c r="B72" s="609"/>
      <c r="C72" s="609"/>
      <c r="D72" s="610"/>
      <c r="E72" s="598"/>
      <c r="F72" s="599"/>
      <c r="G72" s="599"/>
      <c r="H72" s="599"/>
      <c r="I72" s="599"/>
      <c r="J72" s="600"/>
      <c r="K72" s="613"/>
      <c r="L72" s="599"/>
      <c r="M72" s="599"/>
      <c r="N72" s="599"/>
      <c r="O72" s="599"/>
      <c r="P72" s="604"/>
      <c r="Q72" s="598">
        <f>IF(AND(NOT(ISBLANK(K72)),NOT(ISBLANK(E72))), IF(K72&gt;E72,K72-E72,24-E72+K72), "")</f>
      </c>
      <c r="R72" s="599"/>
      <c r="S72" s="599"/>
      <c r="T72" s="599"/>
      <c r="U72" s="599"/>
      <c r="V72" s="604"/>
      <c r="W72" s="617"/>
      <c r="X72" s="618"/>
      <c r="Y72" s="618"/>
      <c r="Z72" s="618"/>
      <c r="AA72" s="618"/>
      <c r="AB72" s="618"/>
      <c r="AC72" s="618"/>
      <c r="AD72" s="618"/>
      <c r="AE72" s="618"/>
      <c r="AF72" s="618"/>
      <c r="AG72" s="618"/>
      <c r="AH72" s="618"/>
      <c r="AI72" s="618"/>
      <c r="AJ72" s="619"/>
    </row>
    <row r="73" ht="15.75" customHeight="1" spans="1:36" s="594" customFormat="1" x14ac:dyDescent="0.25">
      <c r="A73" s="608"/>
      <c r="B73" s="609"/>
      <c r="C73" s="609"/>
      <c r="D73" s="610"/>
      <c r="E73" s="598"/>
      <c r="F73" s="599"/>
      <c r="G73" s="599"/>
      <c r="H73" s="599"/>
      <c r="I73" s="599"/>
      <c r="J73" s="600"/>
      <c r="K73" s="613"/>
      <c r="L73" s="599"/>
      <c r="M73" s="599"/>
      <c r="N73" s="599"/>
      <c r="O73" s="599"/>
      <c r="P73" s="604"/>
      <c r="Q73" s="598">
        <f>IF(AND(NOT(ISBLANK(K73)),NOT(ISBLANK(E73))), IF(K73&gt;E73,K73-E73,24-E73+K73), "")</f>
      </c>
      <c r="R73" s="599"/>
      <c r="S73" s="599"/>
      <c r="T73" s="599"/>
      <c r="U73" s="599"/>
      <c r="V73" s="604"/>
      <c r="W73" s="617"/>
      <c r="X73" s="618"/>
      <c r="Y73" s="618"/>
      <c r="Z73" s="618"/>
      <c r="AA73" s="618"/>
      <c r="AB73" s="618"/>
      <c r="AC73" s="618"/>
      <c r="AD73" s="618"/>
      <c r="AE73" s="618"/>
      <c r="AF73" s="618"/>
      <c r="AG73" s="618"/>
      <c r="AH73" s="618"/>
      <c r="AI73" s="618"/>
      <c r="AJ73" s="619"/>
    </row>
    <row r="74" ht="15.75" customHeight="1" spans="1:36" s="594" customFormat="1" x14ac:dyDescent="0.25">
      <c r="A74" s="608"/>
      <c r="B74" s="609"/>
      <c r="C74" s="609"/>
      <c r="D74" s="610"/>
      <c r="E74" s="611"/>
      <c r="F74" s="612"/>
      <c r="G74" s="612"/>
      <c r="H74" s="612"/>
      <c r="I74" s="612"/>
      <c r="J74" s="612"/>
      <c r="K74" s="613"/>
      <c r="L74" s="599"/>
      <c r="M74" s="599"/>
      <c r="N74" s="599"/>
      <c r="O74" s="599"/>
      <c r="P74" s="604"/>
      <c r="Q74" s="598">
        <f t="shared" si="2"/>
      </c>
      <c r="R74" s="599"/>
      <c r="S74" s="599"/>
      <c r="T74" s="599"/>
      <c r="U74" s="599"/>
      <c r="V74" s="604"/>
      <c r="W74" s="617"/>
      <c r="X74" s="618"/>
      <c r="Y74" s="618"/>
      <c r="Z74" s="618"/>
      <c r="AA74" s="618"/>
      <c r="AB74" s="618"/>
      <c r="AC74" s="618"/>
      <c r="AD74" s="618"/>
      <c r="AE74" s="618"/>
      <c r="AF74" s="618"/>
      <c r="AG74" s="618"/>
      <c r="AH74" s="618"/>
      <c r="AI74" s="618"/>
      <c r="AJ74" s="619"/>
    </row>
    <row r="75" ht="15.75" customHeight="1" spans="1:36" s="594" customFormat="1" x14ac:dyDescent="0.25">
      <c r="A75" s="608"/>
      <c r="B75" s="609"/>
      <c r="C75" s="609"/>
      <c r="D75" s="610"/>
      <c r="E75" s="598"/>
      <c r="F75" s="599"/>
      <c r="G75" s="599"/>
      <c r="H75" s="599"/>
      <c r="I75" s="599"/>
      <c r="J75" s="600"/>
      <c r="K75" s="613"/>
      <c r="L75" s="599"/>
      <c r="M75" s="599"/>
      <c r="N75" s="599"/>
      <c r="O75" s="599"/>
      <c r="P75" s="604"/>
      <c r="Q75" s="598"/>
      <c r="R75" s="599"/>
      <c r="S75" s="599"/>
      <c r="T75" s="599"/>
      <c r="U75" s="599"/>
      <c r="V75" s="604"/>
      <c r="W75" s="617"/>
      <c r="X75" s="618"/>
      <c r="Y75" s="618"/>
      <c r="Z75" s="618"/>
      <c r="AA75" s="618"/>
      <c r="AB75" s="618"/>
      <c r="AC75" s="618"/>
      <c r="AD75" s="618"/>
      <c r="AE75" s="618"/>
      <c r="AF75" s="618"/>
      <c r="AG75" s="618"/>
      <c r="AH75" s="618"/>
      <c r="AI75" s="618"/>
      <c r="AJ75" s="619"/>
    </row>
    <row r="76" ht="15.75" customHeight="1" spans="1:36" s="594" customFormat="1" x14ac:dyDescent="0.25">
      <c r="A76" s="588"/>
      <c r="B76" s="589"/>
      <c r="C76" s="589"/>
      <c r="D76" s="589"/>
      <c r="E76" s="589"/>
      <c r="F76" s="589"/>
      <c r="G76" s="589"/>
      <c r="H76" s="589"/>
      <c r="I76" s="589"/>
      <c r="J76" s="589"/>
      <c r="K76" s="589"/>
      <c r="L76" s="589"/>
      <c r="M76" s="589"/>
      <c r="N76" s="589"/>
      <c r="O76" s="589"/>
      <c r="P76" s="590"/>
      <c r="Q76" s="631">
        <f>SUM(Q64:V75)</f>
        <v>23.38541666666788</v>
      </c>
      <c r="R76" s="631"/>
      <c r="S76" s="631"/>
      <c r="T76" s="631"/>
      <c r="U76" s="631"/>
      <c r="V76" s="631"/>
      <c r="W76" s="632"/>
      <c r="X76" s="633"/>
      <c r="Y76" s="633"/>
      <c r="Z76" s="633"/>
      <c r="AA76" s="633"/>
      <c r="AB76" s="633"/>
      <c r="AC76" s="633"/>
      <c r="AD76" s="633"/>
      <c r="AE76" s="633"/>
      <c r="AF76" s="633"/>
      <c r="AG76" s="633"/>
      <c r="AH76" s="633"/>
      <c r="AI76" s="633"/>
      <c r="AJ76" s="634"/>
    </row>
    <row r="77" ht="15.75" customHeight="1" hidden="1" spans="1:36" s="594" customFormat="1" x14ac:dyDescent="0.25">
      <c r="A77" s="595" t="s">
        <v>200</v>
      </c>
      <c r="B77" s="596"/>
      <c r="C77" s="596"/>
      <c r="D77" s="597"/>
      <c r="E77" s="598"/>
      <c r="F77" s="599"/>
      <c r="G77" s="599"/>
      <c r="H77" s="599"/>
      <c r="I77" s="599"/>
      <c r="J77" s="600"/>
      <c r="K77" s="601"/>
      <c r="L77" s="602"/>
      <c r="M77" s="602"/>
      <c r="N77" s="602"/>
      <c r="O77" s="602"/>
      <c r="P77" s="603"/>
      <c r="Q77" s="598">
        <f t="shared" ref="Q77:Q83" si="6">IF(AND(NOT(ISBLANK(K77)),NOT(ISBLANK(E77))), IF(K77&gt;E77,K77-E77,24-E77+K77), "")</f>
      </c>
      <c r="R77" s="599"/>
      <c r="S77" s="599"/>
      <c r="T77" s="599"/>
      <c r="U77" s="599"/>
      <c r="V77" s="604"/>
      <c r="W77" s="605" t="s">
        <v>202</v>
      </c>
      <c r="X77" s="606"/>
      <c r="Y77" s="606"/>
      <c r="Z77" s="606"/>
      <c r="AA77" s="606"/>
      <c r="AB77" s="606"/>
      <c r="AC77" s="606"/>
      <c r="AD77" s="606"/>
      <c r="AE77" s="606"/>
      <c r="AF77" s="606"/>
      <c r="AG77" s="606"/>
      <c r="AH77" s="606"/>
      <c r="AI77" s="606"/>
      <c r="AJ77" s="607"/>
    </row>
    <row r="78" ht="15.75" customHeight="1" hidden="1" spans="1:36" s="594" customFormat="1" x14ac:dyDescent="0.25">
      <c r="A78" s="608"/>
      <c r="B78" s="609"/>
      <c r="C78" s="609"/>
      <c r="D78" s="610"/>
      <c r="E78" s="611"/>
      <c r="F78" s="612"/>
      <c r="G78" s="612"/>
      <c r="H78" s="612"/>
      <c r="I78" s="612"/>
      <c r="J78" s="612"/>
      <c r="K78" s="613"/>
      <c r="L78" s="599"/>
      <c r="M78" s="599"/>
      <c r="N78" s="599"/>
      <c r="O78" s="599"/>
      <c r="P78" s="604"/>
      <c r="Q78" s="598">
        <f t="shared" si="6"/>
      </c>
      <c r="R78" s="599"/>
      <c r="S78" s="599"/>
      <c r="T78" s="599"/>
      <c r="U78" s="599"/>
      <c r="V78" s="604"/>
      <c r="W78" s="614" t="s">
        <v>203</v>
      </c>
      <c r="X78" s="615"/>
      <c r="Y78" s="615"/>
      <c r="Z78" s="615"/>
      <c r="AA78" s="615"/>
      <c r="AB78" s="615"/>
      <c r="AC78" s="615"/>
      <c r="AD78" s="615"/>
      <c r="AE78" s="615"/>
      <c r="AF78" s="615"/>
      <c r="AG78" s="615"/>
      <c r="AH78" s="615"/>
      <c r="AI78" s="615"/>
      <c r="AJ78" s="616"/>
    </row>
    <row r="79" ht="15.75" customHeight="1" hidden="1" spans="1:36" s="594" customFormat="1" x14ac:dyDescent="0.25">
      <c r="A79" s="608"/>
      <c r="B79" s="609"/>
      <c r="C79" s="609"/>
      <c r="D79" s="610"/>
      <c r="E79" s="611"/>
      <c r="F79" s="612"/>
      <c r="G79" s="612"/>
      <c r="H79" s="612"/>
      <c r="I79" s="612"/>
      <c r="J79" s="612"/>
      <c r="K79" s="613"/>
      <c r="L79" s="599"/>
      <c r="M79" s="599"/>
      <c r="N79" s="599"/>
      <c r="O79" s="599"/>
      <c r="P79" s="604"/>
      <c r="Q79" s="598">
        <f t="shared" si="6"/>
      </c>
      <c r="R79" s="599"/>
      <c r="S79" s="599"/>
      <c r="T79" s="599"/>
      <c r="U79" s="599"/>
      <c r="V79" s="604"/>
      <c r="W79" s="614" t="s">
        <v>205</v>
      </c>
      <c r="X79" s="615"/>
      <c r="Y79" s="615"/>
      <c r="Z79" s="615"/>
      <c r="AA79" s="615"/>
      <c r="AB79" s="615"/>
      <c r="AC79" s="615"/>
      <c r="AD79" s="615"/>
      <c r="AE79" s="615"/>
      <c r="AF79" s="615"/>
      <c r="AG79" s="615"/>
      <c r="AH79" s="615"/>
      <c r="AI79" s="615"/>
      <c r="AJ79" s="616"/>
    </row>
    <row r="80" ht="15.75" customHeight="1" hidden="1" spans="1:36" s="594" customFormat="1" x14ac:dyDescent="0.25">
      <c r="A80" s="608"/>
      <c r="B80" s="609"/>
      <c r="C80" s="609"/>
      <c r="D80" s="610"/>
      <c r="E80" s="611"/>
      <c r="F80" s="612"/>
      <c r="G80" s="612"/>
      <c r="H80" s="612"/>
      <c r="I80" s="612"/>
      <c r="J80" s="612"/>
      <c r="K80" s="613"/>
      <c r="L80" s="599"/>
      <c r="M80" s="599"/>
      <c r="N80" s="599"/>
      <c r="O80" s="599"/>
      <c r="P80" s="604"/>
      <c r="Q80" s="598">
        <f t="shared" si="6"/>
      </c>
      <c r="R80" s="599"/>
      <c r="S80" s="599"/>
      <c r="T80" s="599"/>
      <c r="U80" s="599"/>
      <c r="V80" s="604"/>
      <c r="W80" s="614" t="s">
        <v>206</v>
      </c>
      <c r="X80" s="615"/>
      <c r="Y80" s="615"/>
      <c r="Z80" s="615"/>
      <c r="AA80" s="615"/>
      <c r="AB80" s="615"/>
      <c r="AC80" s="615"/>
      <c r="AD80" s="615"/>
      <c r="AE80" s="615"/>
      <c r="AF80" s="615"/>
      <c r="AG80" s="615"/>
      <c r="AH80" s="615"/>
      <c r="AI80" s="615"/>
      <c r="AJ80" s="616"/>
    </row>
    <row r="81" ht="15.75" customHeight="1" hidden="1" spans="1:36" s="594" customFormat="1" x14ac:dyDescent="0.25">
      <c r="A81" s="608"/>
      <c r="B81" s="609"/>
      <c r="C81" s="609"/>
      <c r="D81" s="610"/>
      <c r="E81" s="611"/>
      <c r="F81" s="612"/>
      <c r="G81" s="612"/>
      <c r="H81" s="612"/>
      <c r="I81" s="612"/>
      <c r="J81" s="612"/>
      <c r="K81" s="613"/>
      <c r="L81" s="599"/>
      <c r="M81" s="599"/>
      <c r="N81" s="599"/>
      <c r="O81" s="599"/>
      <c r="P81" s="604"/>
      <c r="Q81" s="598">
        <f t="shared" si="6"/>
      </c>
      <c r="R81" s="599"/>
      <c r="S81" s="599"/>
      <c r="T81" s="599"/>
      <c r="U81" s="599"/>
      <c r="V81" s="604"/>
      <c r="W81" s="617" t="s">
        <v>207</v>
      </c>
      <c r="X81" s="618"/>
      <c r="Y81" s="618"/>
      <c r="Z81" s="618"/>
      <c r="AA81" s="618"/>
      <c r="AB81" s="618"/>
      <c r="AC81" s="618"/>
      <c r="AD81" s="618"/>
      <c r="AE81" s="618"/>
      <c r="AF81" s="618"/>
      <c r="AG81" s="618"/>
      <c r="AH81" s="618"/>
      <c r="AI81" s="618"/>
      <c r="AJ81" s="619"/>
    </row>
    <row r="82" ht="15.75" customHeight="1" hidden="1" spans="1:36" s="594" customFormat="1" x14ac:dyDescent="0.25">
      <c r="A82" s="608"/>
      <c r="B82" s="609"/>
      <c r="C82" s="609"/>
      <c r="D82" s="610"/>
      <c r="E82" s="598"/>
      <c r="F82" s="599"/>
      <c r="G82" s="599"/>
      <c r="H82" s="599"/>
      <c r="I82" s="599"/>
      <c r="J82" s="600"/>
      <c r="K82" s="613"/>
      <c r="L82" s="599"/>
      <c r="M82" s="599"/>
      <c r="N82" s="599"/>
      <c r="O82" s="599"/>
      <c r="P82" s="604"/>
      <c r="Q82" s="598">
        <f t="shared" si="6"/>
      </c>
      <c r="R82" s="599"/>
      <c r="S82" s="599"/>
      <c r="T82" s="599"/>
      <c r="U82" s="599"/>
      <c r="V82" s="604"/>
      <c r="W82" s="617" t="s">
        <v>210</v>
      </c>
      <c r="X82" s="618"/>
      <c r="Y82" s="618"/>
      <c r="Z82" s="618"/>
      <c r="AA82" s="618"/>
      <c r="AB82" s="618"/>
      <c r="AC82" s="618"/>
      <c r="AD82" s="618"/>
      <c r="AE82" s="618"/>
      <c r="AF82" s="618"/>
      <c r="AG82" s="618"/>
      <c r="AH82" s="618"/>
      <c r="AI82" s="618"/>
      <c r="AJ82" s="619"/>
    </row>
    <row r="83" ht="15.75" customHeight="1" hidden="1" spans="1:36" s="594" customFormat="1" x14ac:dyDescent="0.25">
      <c r="A83" s="608"/>
      <c r="B83" s="609"/>
      <c r="C83" s="609"/>
      <c r="D83" s="610"/>
      <c r="E83" s="611"/>
      <c r="F83" s="612"/>
      <c r="G83" s="612"/>
      <c r="H83" s="612"/>
      <c r="I83" s="612"/>
      <c r="J83" s="612"/>
      <c r="K83" s="613"/>
      <c r="L83" s="599"/>
      <c r="M83" s="599"/>
      <c r="N83" s="599"/>
      <c r="O83" s="599"/>
      <c r="P83" s="604"/>
      <c r="Q83" s="598">
        <f t="shared" si="6"/>
      </c>
      <c r="R83" s="599"/>
      <c r="S83" s="599"/>
      <c r="T83" s="599"/>
      <c r="U83" s="599"/>
      <c r="V83" s="604"/>
      <c r="W83" s="617"/>
      <c r="X83" s="618"/>
      <c r="Y83" s="618"/>
      <c r="Z83" s="618"/>
      <c r="AA83" s="618"/>
      <c r="AB83" s="618"/>
      <c r="AC83" s="618"/>
      <c r="AD83" s="618"/>
      <c r="AE83" s="618"/>
      <c r="AF83" s="618"/>
      <c r="AG83" s="618"/>
      <c r="AH83" s="618"/>
      <c r="AI83" s="618"/>
      <c r="AJ83" s="619"/>
    </row>
    <row r="84" ht="15.75" customHeight="1" hidden="1" spans="1:36" s="594" customFormat="1" x14ac:dyDescent="0.25">
      <c r="A84" s="608"/>
      <c r="B84" s="609"/>
      <c r="C84" s="609"/>
      <c r="D84" s="610"/>
      <c r="E84" s="611"/>
      <c r="F84" s="612"/>
      <c r="G84" s="612"/>
      <c r="H84" s="612"/>
      <c r="I84" s="612"/>
      <c r="J84" s="612"/>
      <c r="K84" s="613"/>
      <c r="L84" s="599"/>
      <c r="M84" s="599"/>
      <c r="N84" s="599"/>
      <c r="O84" s="599"/>
      <c r="P84" s="604"/>
      <c r="Q84" s="598">
        <f>IF(AND(NOT(ISBLANK(K84)),NOT(ISBLANK(E84))), IF(K84&gt;E84,K84-E84,24-E84+K84), "")</f>
      </c>
      <c r="R84" s="599"/>
      <c r="S84" s="599"/>
      <c r="T84" s="599"/>
      <c r="U84" s="599"/>
      <c r="V84" s="604"/>
      <c r="W84" s="617"/>
      <c r="X84" s="618"/>
      <c r="Y84" s="618"/>
      <c r="Z84" s="618"/>
      <c r="AA84" s="618"/>
      <c r="AB84" s="618"/>
      <c r="AC84" s="618"/>
      <c r="AD84" s="618"/>
      <c r="AE84" s="618"/>
      <c r="AF84" s="618"/>
      <c r="AG84" s="618"/>
      <c r="AH84" s="618"/>
      <c r="AI84" s="618"/>
      <c r="AJ84" s="619"/>
    </row>
    <row r="85" ht="15.75" customHeight="1" hidden="1" spans="1:36" s="594" customFormat="1" x14ac:dyDescent="0.25">
      <c r="A85" s="608"/>
      <c r="B85" s="609"/>
      <c r="C85" s="609"/>
      <c r="D85" s="610"/>
      <c r="E85" s="598"/>
      <c r="F85" s="599"/>
      <c r="G85" s="599"/>
      <c r="H85" s="599"/>
      <c r="I85" s="599"/>
      <c r="J85" s="600"/>
      <c r="K85" s="613"/>
      <c r="L85" s="599"/>
      <c r="M85" s="599"/>
      <c r="N85" s="599"/>
      <c r="O85" s="599"/>
      <c r="P85" s="604"/>
      <c r="Q85" s="598"/>
      <c r="R85" s="599"/>
      <c r="S85" s="599"/>
      <c r="T85" s="599"/>
      <c r="U85" s="599"/>
      <c r="V85" s="604"/>
      <c r="W85" s="617"/>
      <c r="X85" s="618"/>
      <c r="Y85" s="618"/>
      <c r="Z85" s="618"/>
      <c r="AA85" s="618"/>
      <c r="AB85" s="618"/>
      <c r="AC85" s="618"/>
      <c r="AD85" s="618"/>
      <c r="AE85" s="618"/>
      <c r="AF85" s="618"/>
      <c r="AG85" s="618"/>
      <c r="AH85" s="618"/>
      <c r="AI85" s="618"/>
      <c r="AJ85" s="619"/>
    </row>
    <row r="86" ht="15.75" customHeight="1" hidden="1" spans="1:36" s="594" customFormat="1" x14ac:dyDescent="0.25">
      <c r="A86" s="588"/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90"/>
      <c r="Q86" s="631">
        <f>SUM(Q78:V85)</f>
        <v>0</v>
      </c>
      <c r="R86" s="631"/>
      <c r="S86" s="631"/>
      <c r="T86" s="631"/>
      <c r="U86" s="631"/>
      <c r="V86" s="631"/>
      <c r="W86" s="632"/>
      <c r="X86" s="633"/>
      <c r="Y86" s="633"/>
      <c r="Z86" s="633"/>
      <c r="AA86" s="633"/>
      <c r="AB86" s="633"/>
      <c r="AC86" s="633"/>
      <c r="AD86" s="633"/>
      <c r="AE86" s="633"/>
      <c r="AF86" s="633"/>
      <c r="AG86" s="633"/>
      <c r="AH86" s="633"/>
      <c r="AI86" s="633"/>
      <c r="AJ86" s="634"/>
    </row>
  </sheetData>
  <mergeCells count="473">
    <mergeCell ref="A1:AJ1"/>
    <mergeCell ref="A2:AJ2"/>
    <mergeCell ref="A4:AJ4"/>
    <mergeCell ref="A5:AJ5"/>
    <mergeCell ref="D6:L6"/>
    <mergeCell ref="N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7"/>
    <mergeCell ref="D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Z12"/>
    <mergeCell ref="AA12:AJ12"/>
    <mergeCell ref="D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Z13"/>
    <mergeCell ref="AA13:AJ13"/>
    <mergeCell ref="D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Z14"/>
    <mergeCell ref="AA14:AJ14"/>
    <mergeCell ref="D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Z15"/>
    <mergeCell ref="AA15:AJ15"/>
    <mergeCell ref="D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Z16"/>
    <mergeCell ref="AA16:AJ16"/>
    <mergeCell ref="D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Z17"/>
    <mergeCell ref="AA17:AJ17"/>
    <mergeCell ref="A18:C23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D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Z20"/>
    <mergeCell ref="AA20:AJ20"/>
    <mergeCell ref="D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Z21"/>
    <mergeCell ref="AA21:AJ21"/>
    <mergeCell ref="D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Z22"/>
    <mergeCell ref="AA22:AJ22"/>
    <mergeCell ref="D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Z23"/>
    <mergeCell ref="AA23:AJ23"/>
    <mergeCell ref="A24:C25"/>
    <mergeCell ref="D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Z24"/>
    <mergeCell ref="AA24:AJ24"/>
    <mergeCell ref="D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Z25"/>
    <mergeCell ref="AA25:AJ25"/>
    <mergeCell ref="A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J26"/>
    <mergeCell ref="A30:D30"/>
    <mergeCell ref="E30:J30"/>
    <mergeCell ref="K30:P30"/>
    <mergeCell ref="Q30:V30"/>
    <mergeCell ref="W30:AJ30"/>
    <mergeCell ref="A31:D31"/>
    <mergeCell ref="E31:J31"/>
    <mergeCell ref="K31:P31"/>
    <mergeCell ref="Q31:V31"/>
    <mergeCell ref="W31:AJ31"/>
    <mergeCell ref="A32:D32"/>
    <mergeCell ref="E32:J32"/>
    <mergeCell ref="K32:P32"/>
    <mergeCell ref="Q32:V32"/>
    <mergeCell ref="W32:AJ32"/>
    <mergeCell ref="A33:D33"/>
    <mergeCell ref="E33:J33"/>
    <mergeCell ref="K33:P33"/>
    <mergeCell ref="Q33:V33"/>
    <mergeCell ref="W33:AJ33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D68"/>
    <mergeCell ref="E68:J68"/>
    <mergeCell ref="K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P86"/>
    <mergeCell ref="Q86:V86"/>
    <mergeCell ref="W86:AJ86"/>
  </mergeCells>
  <pageMargins left="0.2755905511811024" right="0.31496062992125984" top="0.2362204724409449" bottom="0.2362204724409449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DAMAGE REPORT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zheng lu</dc:creator>
  <cp:lastModifiedBy>SAMSUNG</cp:lastModifiedBy>
  <cp:lastPrinted>2026-07-24T19:20:36Z</cp:lastPrinted>
  <dcterms:created xsi:type="dcterms:W3CDTF">1999-06-17T05:27:58Z</dcterms:created>
  <dcterms:modified xsi:type="dcterms:W3CDTF">2026-07-24T19:20:48Z</dcterms:modified>
</cp:coreProperties>
</file>