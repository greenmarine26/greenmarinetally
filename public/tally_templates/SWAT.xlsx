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955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definedNames>
    <definedName name="모선이름">'Time Sheet'!$B$6</definedName>
    <definedName name="선적종료일">'Time Sheet'!$H$6</definedName>
    <definedName name="선적항차">'RF Condition Report'!$E$91</definedName>
    <definedName name="양하종료일">'RF Condition Report'!$H$7</definedName>
    <definedName name="양하항차">'RF Condition Report'!$E$7</definedName>
    <definedName name="작업선석">'Time Sheet'!$D$8</definedName>
    <definedName name="작업항차">'Time Sheet'!$D$6</definedName>
    <definedName name="_xlnm.Print_Area" localSheetId="1">'Time Sheet'!$A1:$H46</definedName>
    <definedName name="_xlnm.Print_Area" localSheetId="3">'DM-IN'!$A1:$S32</definedName>
    <definedName name="_xlnm.Print_Area" localSheetId="5">'DM-OUT'!$A1:$R32</definedName>
  </definedNames>
  <calcPr calcId="171027"/>
</workbook>
</file>

<file path=xl/sharedStrings.xml><?xml version="1.0" encoding="utf-8"?>
<sst xmlns="http://schemas.openxmlformats.org/spreadsheetml/2006/main" count="444" uniqueCount="166">
  <si>
    <t xml:space="preserve">GREEN  MARINE  CO.,  LTD.  </t>
  </si>
  <si>
    <t>FINAL  WORKING  REPORT (VOUCHER)</t>
  </si>
  <si>
    <t xml:space="preserve">  M/V  :</t>
  </si>
  <si>
    <t>SAWASDEE ATLANTIC</t>
  </si>
  <si>
    <t>VOY # :</t>
  </si>
  <si>
    <t>DATE :</t>
  </si>
  <si>
    <t xml:space="preserve"> 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</si>
  <si>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</si>
  <si>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</si>
  <si>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</si>
  <si>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</si>
  <si>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</si>
  <si>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</si>
  <si>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</si>
  <si>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</si>
  <si>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</si>
  <si>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</si>
  <si>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</si>
  <si>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</si>
  <si>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</si>
  <si>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</si>
  <si>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</si>
  <si>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</si>
  <si>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</si>
  <si>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</si>
  <si>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</si>
  <si>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</si>
  <si>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</si>
  <si>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</si>
  <si>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</si>
  <si>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</si>
  <si>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</si>
  <si>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</si>
  <si>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</si>
  <si>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</si>
  <si>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</si>
  <si>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</si>
  <si>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</si>
  <si>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</si>
  <si>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</si>
  <si>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</si>
  <si>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</si>
  <si>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</si>
  <si>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</si>
  <si>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</si>
  <si>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</si>
  <si>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</si>
  <si>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</si>
  <si>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</si>
  <si>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</si>
  <si>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</si>
  <si>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</si>
  <si>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</si>
  <si>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</si>
  <si>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</si>
  <si>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</si>
  <si>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</si>
  <si>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</si>
  <si>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</si>
  <si>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</si>
  <si>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</si>
  <si>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</si>
  <si>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>BERTH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</si>
  <si>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</si>
  <si>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</si>
  <si>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</si>
  <si>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</si>
  <si>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</si>
  <si>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LCH</t>
  </si>
  <si>
    <t>SKR</t>
  </si>
  <si>
    <t>SKHU6206158</t>
  </si>
  <si>
    <t>40'    FULL    CONT'R</t>
  </si>
  <si>
    <t xml:space="preserve"> L/SIDE PANEL 1 POINT DENTED (100cm x 30cm x 10cm)</t>
  </si>
  <si>
    <t>SGN</t>
  </si>
  <si>
    <t>HALU2422808</t>
  </si>
  <si>
    <t>20'    FULL    CONT'R</t>
  </si>
  <si>
    <t xml:space="preserve"> L/SIDE PANEL 1 POINT DENTED (50cm x 50cm x 10cm)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</si>
  <si>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</si>
  <si>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</si>
  <si>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</si>
  <si>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>BERTH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</si>
  <si>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</si>
  <si>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PTK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</si>
  <si>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</si>
  <si>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</si>
  <si>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</si>
  <si>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</si>
  <si>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</si>
  <si>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CONTAINER &amp; SEAL NUMBER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</si>
  <si>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</si>
  <si>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</si>
  <si>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</si>
  <si>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</si>
  <si>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</si>
  <si>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</si>
  <si>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</si>
  <si>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</si>
  <si>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</si>
  <si>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</si>
  <si>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</si>
  <si>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</si>
  <si>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LOAD'</t>
  </si>
  <si>
    <t>TGIU3201139</t>
  </si>
  <si>
    <t>058172</t>
  </si>
  <si>
    <t>058133</t>
  </si>
  <si>
    <t>HAS-KAN</t>
  </si>
  <si>
    <t>REEFER  CONTAINER  CONDITION  REPORT</t>
  </si>
  <si>
    <t>Discharging  /  Loading</t>
  </si>
  <si>
    <t>( 1/2 )</t>
  </si>
  <si>
    <t>M / V : SAWASDEE ALTAIR</t>
  </si>
  <si>
    <t>PIER   : PCTC</t>
  </si>
  <si>
    <r>
      <t xml:space="preserve"> </t>
    </r>
    <r>
      <rPr>
        <u/>
        <charset val="129"/>
        <family val="3"/>
        <scheme val="minor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</si>
  <si>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</si>
  <si>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</si>
  <si>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</si>
  <si>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</si>
  <si>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</si>
  <si>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</si>
  <si>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</si>
  <si>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</si>
  <si>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</si>
  <si>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( 2/2 )</t>
  </si>
  <si>
    <t>SKRU9907980</t>
  </si>
  <si>
    <t>RH</t>
  </si>
  <si>
    <t>SZLU9372315</t>
  </si>
  <si>
    <t>"</t>
  </si>
  <si>
    <t>HAS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</si>
  <si>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</si>
  <si>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</si>
  <si>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</si>
  <si>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</si>
  <si>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</si>
  <si>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</si>
  <si>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</si>
  <si>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GREEN MARINE CO., LTD</t>
  </si>
  <si>
    <t>PERFORMANCE  REPORT</t>
  </si>
  <si>
    <r>
      <t xml:space="preserve">M / V 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</si>
  <si>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</si>
  <si>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</si>
  <si>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</si>
  <si>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</si>
  <si>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</si>
  <si>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</si>
  <si>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RH x 4</t>
  </si>
  <si>
    <t>20'OT x 1 , RH x 18</t>
  </si>
  <si>
    <t>S-TOTAL</t>
  </si>
  <si>
    <t>OUT BOUND</t>
  </si>
  <si>
    <t>20'DG x 3 , 20'TK(DG) x 1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</si>
  <si>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</si>
  <si>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</si>
  <si>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</si>
  <si>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</si>
  <si>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</si>
  <si>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</si>
  <si>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</si>
  <si>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</si>
  <si>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</si>
  <si>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#4 (G/C)</t>
  </si>
  <si>
    <t>COMMENCED DISCH.</t>
  </si>
  <si>
    <t>DISCH. OF CONT'R</t>
  </si>
  <si>
    <t>TEA TIME</t>
  </si>
  <si>
    <t>MEAL TIME</t>
  </si>
  <si>
    <t>COMPLETED DISCH.</t>
  </si>
  <si>
    <t>COMMENCED LOAD.</t>
  </si>
  <si>
    <t>LOAD. OF CONT'R</t>
  </si>
  <si>
    <t>COMPLETED LOAD. &amp; GANG K/OFF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</si>
</sst>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0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shrinkToFit="1"/>
    </xf>
    <xf numFmtId="164" fontId="7" fillId="0" borderId="37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64" fontId="7" fillId="0" borderId="43" xfId="0" applyNumberFormat="1" applyFont="1" applyBorder="1" applyAlignment="1">
      <alignment horizontal="center" vertical="center" shrinkToFit="1"/>
    </xf>
    <xf numFmtId="164" fontId="7" fillId="0" borderId="44" xfId="0" applyNumberFormat="1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164" fontId="7" fillId="0" borderId="50" xfId="0" applyNumberFormat="1" applyFont="1" applyBorder="1" applyAlignment="1">
      <alignment horizontal="center" vertical="center" shrinkToFit="1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164" fontId="7" fillId="0" borderId="56" xfId="0" applyNumberFormat="1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shrinkToFit="1"/>
    </xf>
    <xf numFmtId="164" fontId="7" fillId="0" borderId="63" xfId="0" applyNumberFormat="1" applyFont="1" applyBorder="1" applyAlignment="1">
      <alignment horizontal="center" vertical="center" shrinkToFit="1"/>
    </xf>
    <xf numFmtId="164" fontId="7" fillId="0" borderId="64" xfId="0" applyNumberFormat="1" applyFont="1" applyBorder="1" applyAlignment="1">
      <alignment horizontal="center" vertical="center" shrinkToFit="1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164" fontId="7" fillId="0" borderId="69" xfId="0" applyNumberFormat="1" applyFont="1" applyBorder="1" applyAlignment="1">
      <alignment horizontal="center" vertical="center" shrinkToFit="1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66" xfId="0" applyFont="1" applyBorder="1" applyAlignment="1">
      <alignment horizontal="center" vertical="center" wrapText="1" shrinkToFit="1"/>
    </xf>
    <xf numFmtId="0" fontId="7" fillId="0" borderId="66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164" fontId="7" fillId="0" borderId="77" xfId="0" applyNumberFormat="1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165" fontId="7" fillId="0" borderId="82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3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165" fontId="7" fillId="0" borderId="88" xfId="0" applyNumberFormat="1" applyFont="1" applyBorder="1" applyAlignment="1">
      <alignment horizontal="center" vertical="center"/>
    </xf>
    <xf numFmtId="165" fontId="7" fillId="0" borderId="89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3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9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6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164" fontId="7" fillId="0" borderId="96" xfId="0" applyNumberFormat="1" applyFont="1" applyBorder="1" applyAlignment="1">
      <alignment horizontal="left" vertical="center" wrapText="1" shrinkToFit="1"/>
    </xf>
    <xf numFmtId="164" fontId="7" fillId="0" borderId="97" xfId="0" applyNumberFormat="1" applyFont="1" applyBorder="1" applyAlignment="1">
      <alignment horizontal="left" vertical="center" wrapText="1" shrinkToFit="1"/>
    </xf>
    <xf numFmtId="164" fontId="7" fillId="0" borderId="98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9" xfId="0" applyNumberFormat="1" applyFont="1" applyBorder="1" applyAlignment="1">
      <alignment horizontal="left" vertical="center" shrinkToFit="1"/>
    </xf>
    <xf numFmtId="164" fontId="7" fillId="0" borderId="100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7" xfId="0" applyNumberFormat="1" applyFont="1" applyBorder="1" applyAlignment="1">
      <alignment horizontal="center" vertical="center" shrinkToFit="1"/>
    </xf>
    <xf numFmtId="164" fontId="7" fillId="0" borderId="101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7" xfId="0" applyNumberFormat="1" applyFont="1" applyBorder="1" applyAlignment="1">
      <alignment horizontal="left" vertical="center" shrinkToFit="1"/>
    </xf>
    <xf numFmtId="164" fontId="7" fillId="0" borderId="102" xfId="0" applyNumberFormat="1" applyFont="1" applyBorder="1" applyAlignment="1">
      <alignment horizontal="left" vertical="center" shrinkToFit="1"/>
    </xf>
    <xf numFmtId="164" fontId="7" fillId="0" borderId="59" xfId="0" applyNumberFormat="1" applyFont="1" applyBorder="1" applyAlignment="1">
      <alignment horizontal="left" vertical="center" shrinkToFit="1"/>
    </xf>
    <xf numFmtId="164" fontId="7" fillId="0" borderId="60" xfId="0" applyNumberFormat="1" applyFont="1" applyBorder="1" applyAlignment="1">
      <alignment horizontal="left" vertical="center" shrinkToFit="1"/>
    </xf>
    <xf numFmtId="0" fontId="1" fillId="0" borderId="33" xfId="0" applyFont="1" applyBorder="1"/>
    <xf numFmtId="164" fontId="2" fillId="0" borderId="33" xfId="0" applyNumberFormat="1" applyFont="1" applyBorder="1"/>
    <xf numFmtId="0" fontId="5" fillId="0" borderId="103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20" fontId="7" fillId="0" borderId="86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104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center" vertical="center"/>
    </xf>
    <xf numFmtId="20" fontId="7" fillId="0" borderId="94" xfId="0" applyNumberFormat="1" applyFont="1" applyBorder="1" applyAlignment="1">
      <alignment horizontal="center" vertical="center"/>
    </xf>
    <xf numFmtId="0" fontId="7" fillId="0" borderId="90" xfId="0" applyFont="1" applyBorder="1" applyAlignment="1">
      <alignment horizontal="left" vertical="center" indent="1"/>
    </xf>
    <xf numFmtId="0" fontId="7" fillId="0" borderId="91" xfId="0" applyFont="1" applyBorder="1" applyAlignment="1">
      <alignment horizontal="left" vertical="center" indent="1"/>
    </xf>
    <xf numFmtId="0" fontId="7" fillId="0" borderId="94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20" fontId="7" fillId="0" borderId="35" xfId="0" applyNumberFormat="1" applyFont="1" applyBorder="1" applyAlignment="1">
      <alignment horizontal="center" vertical="center"/>
    </xf>
    <xf numFmtId="0" fontId="7" fillId="0" borderId="64" xfId="0" applyFont="1" applyBorder="1" applyAlignment="1">
      <alignment horizontal="left" vertical="center" indent="1"/>
    </xf>
    <xf numFmtId="0" fontId="7" fillId="0" borderId="33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166" fontId="7" fillId="0" borderId="104" xfId="0" applyNumberFormat="1" applyFont="1" applyBorder="1" applyAlignment="1">
      <alignment horizontal="center" vertical="center"/>
    </xf>
    <xf numFmtId="49" fontId="7" fillId="0" borderId="107" xfId="0" applyNumberFormat="1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0" fontId="7" fillId="0" borderId="93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166" fontId="7" fillId="0" borderId="64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6" xfId="0" applyFont="1" applyBorder="1" applyAlignment="1">
      <alignment horizontal="center" vertical="center"/>
    </xf>
    <xf numFmtId="0" fontId="5" fillId="0" borderId="107" xfId="0" applyFont="1" applyBorder="1" applyAlignment="1">
      <alignment horizontal="center" vertical="center" shrinkToFit="1"/>
    </xf>
    <xf numFmtId="0" fontId="5" fillId="0" borderId="110" xfId="0" applyFont="1" applyBorder="1" applyAlignment="1">
      <alignment horizontal="center" vertical="center" shrinkToFit="1"/>
    </xf>
    <xf numFmtId="0" fontId="1" fillId="0" borderId="7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 shrinkToFit="1"/>
    </xf>
    <xf numFmtId="0" fontId="5" fillId="0" borderId="8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83" xfId="0" applyFont="1" applyBorder="1" applyAlignment="1">
      <alignment horizontal="left" vertical="center"/>
    </xf>
    <xf numFmtId="0" fontId="7" fillId="0" borderId="84" xfId="0" applyFont="1" applyBorder="1" applyAlignment="1">
      <alignment horizontal="left" vertical="center"/>
    </xf>
    <xf numFmtId="0" fontId="7" fillId="0" borderId="86" xfId="0" applyFont="1" applyBorder="1" applyAlignment="1">
      <alignment horizontal="left" vertical="center"/>
    </xf>
    <xf numFmtId="164" fontId="7" fillId="0" borderId="83" xfId="0" applyNumberFormat="1" applyFont="1" applyBorder="1" applyAlignment="1">
      <alignment horizontal="center" vertical="center" wrapText="1" shrinkToFit="1"/>
    </xf>
    <xf numFmtId="164" fontId="7" fillId="0" borderId="23" xfId="0" applyNumberFormat="1" applyFont="1" applyBorder="1" applyAlignment="1">
      <alignment horizontal="center" vertical="center" wrapText="1" shrinkToFit="1"/>
    </xf>
    <xf numFmtId="0" fontId="10" fillId="0" borderId="23" xfId="0" applyFont="1" applyBorder="1" applyAlignment="1">
      <alignment horizontal="left" vertical="center" shrinkToFit="1"/>
    </xf>
    <xf numFmtId="0" fontId="7" fillId="0" borderId="66" xfId="0" applyFont="1" applyBorder="1" applyAlignment="1">
      <alignment vertical="center"/>
    </xf>
    <xf numFmtId="0" fontId="7" fillId="0" borderId="11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6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6" xfId="0" applyNumberFormat="1" applyFont="1" applyBorder="1" applyAlignment="1">
      <alignment horizontal="center" vertical="center" wrapText="1" shrinkToFit="1"/>
    </xf>
    <xf numFmtId="0" fontId="10" fillId="0" borderId="66" xfId="0" applyFont="1" applyBorder="1" applyAlignment="1">
      <alignment horizontal="left" vertical="center" shrinkToFit="1"/>
    </xf>
    <xf numFmtId="0" fontId="7" fillId="0" borderId="36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0" fillId="0" borderId="36" xfId="0" applyFont="1" applyBorder="1" applyAlignment="1">
      <alignment horizontal="left" vertical="center" shrinkToFit="1"/>
    </xf>
    <xf numFmtId="164" fontId="7" fillId="0" borderId="107" xfId="0" applyNumberFormat="1" applyFont="1" applyBorder="1" applyAlignment="1">
      <alignment horizontal="center" vertical="center" wrapText="1" shrinkToFit="1"/>
    </xf>
    <xf numFmtId="0" fontId="7" fillId="0" borderId="5" xfId="0" applyFont="1" applyBorder="1" applyAlignment="1">
      <alignment vertical="center"/>
    </xf>
    <xf numFmtId="0" fontId="7" fillId="0" borderId="112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112" xfId="0" applyNumberFormat="1" applyFont="1" applyBorder="1" applyAlignment="1">
      <alignment horizontal="center" vertical="center" wrapText="1" shrinkToFit="1"/>
    </xf>
    <xf numFmtId="164" fontId="8" fillId="0" borderId="113" xfId="0" applyNumberFormat="1" applyFont="1" applyBorder="1" applyAlignment="1">
      <alignment horizontal="center" vertical="center" wrapText="1" shrinkToFit="1"/>
    </xf>
    <xf numFmtId="164" fontId="8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8" fillId="0" borderId="36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36" xfId="0" applyNumberFormat="1" applyFont="1" applyBorder="1" applyAlignment="1">
      <alignment horizontal="center" vertical="center" wrapText="1" shrinkToFit="1"/>
    </xf>
    <xf numFmtId="0" fontId="12" fillId="0" borderId="36" xfId="0" applyFont="1" applyBorder="1" applyAlignment="1">
      <alignment horizontal="left" vertical="center" shrinkToFit="1" indent="1"/>
    </xf>
    <xf numFmtId="0" fontId="7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1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3" xfId="0" applyFont="1" applyBorder="1" applyAlignment="1">
      <alignment horizontal="left" vertical="center" indent="1"/>
    </xf>
    <xf numFmtId="0" fontId="7" fillId="0" borderId="84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7" fillId="0" borderId="1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4" xfId="0" applyFont="1" applyBorder="1" applyAlignment="1">
      <alignment horizontal="left" vertical="center" indent="1"/>
    </xf>
    <xf numFmtId="0" fontId="13" fillId="0" borderId="0" xfId="0" applyFont="1" applyAlignment="1">
      <alignment vertical="center"/>
    </xf>
    <xf numFmtId="0" fontId="1" fillId="0" borderId="114" xfId="0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shrinkToFit="1"/>
    </xf>
    <xf numFmtId="0" fontId="7" fillId="0" borderId="64" xfId="0" applyFont="1" applyBorder="1" applyAlignment="1">
      <alignment horizontal="left" vertical="center"/>
    </xf>
    <xf numFmtId="0" fontId="7" fillId="0" borderId="33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10" fillId="0" borderId="32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 wrapText="1" shrinkToFit="1"/>
    </xf>
    <xf numFmtId="0" fontId="8" fillId="0" borderId="32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shrinkToFit="1" indent="1"/>
    </xf>
    <xf numFmtId="0" fontId="8" fillId="0" borderId="64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164" fontId="8" fillId="0" borderId="32" xfId="0" applyNumberFormat="1" applyFont="1" applyBorder="1" applyAlignment="1">
      <alignment horizontal="center" vertical="center" wrapText="1" shrinkToFit="1"/>
    </xf>
    <xf numFmtId="0" fontId="10" fillId="0" borderId="32" xfId="0" applyFont="1" applyBorder="1" applyAlignment="1">
      <alignment horizontal="left" vertical="center" shrinkToFit="1" inden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103" xfId="0" applyFont="1" applyBorder="1" applyAlignment="1">
      <alignment horizontal="center" vertical="center" shrinkToFit="1"/>
    </xf>
    <xf numFmtId="0" fontId="7" fillId="0" borderId="10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/>
    </xf>
    <xf numFmtId="164" fontId="1" fillId="0" borderId="79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15" fillId="0" borderId="93" xfId="0" applyFont="1" applyBorder="1" applyAlignment="1">
      <alignment horizontal="center" vertical="center"/>
    </xf>
    <xf numFmtId="0" fontId="7" fillId="0" borderId="93" xfId="0" applyFont="1" applyBorder="1" applyAlignment="1">
      <alignment horizontal="center" vertical="center"/>
    </xf>
    <xf numFmtId="0" fontId="7" fillId="0" borderId="93" xfId="0" applyFont="1" applyBorder="1" applyAlignment="1">
      <alignment horizontal="center" vertical="center" shrinkToFit="1"/>
    </xf>
    <xf numFmtId="0" fontId="15" fillId="0" borderId="32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wrapText="1"/>
    </xf>
    <xf numFmtId="49" fontId="16" fillId="0" borderId="36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 wrapText="1"/>
    </xf>
    <xf numFmtId="49" fontId="15" fillId="0" borderId="93" xfId="0" applyNumberFormat="1" applyFont="1" applyBorder="1" applyAlignment="1">
      <alignment horizontal="center" vertical="center" wrapText="1"/>
    </xf>
    <xf numFmtId="0" fontId="15" fillId="0" borderId="93" xfId="0" applyFont="1" applyBorder="1" applyAlignment="1">
      <alignment horizontal="center" vertical="center" wrapText="1"/>
    </xf>
    <xf numFmtId="49" fontId="15" fillId="0" borderId="66" xfId="0" applyNumberFormat="1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49" fontId="15" fillId="0" borderId="36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/>
    </xf>
    <xf numFmtId="49" fontId="7" fillId="0" borderId="93" xfId="0" applyNumberFormat="1" applyFont="1" applyBorder="1" applyAlignment="1">
      <alignment horizontal="center" vertical="center"/>
    </xf>
    <xf numFmtId="49" fontId="15" fillId="2" borderId="32" xfId="0" applyNumberFormat="1" applyFont="1" applyFill="1" applyBorder="1" applyAlignment="1">
      <alignment horizontal="center" vertical="center" wrapText="1"/>
    </xf>
    <xf numFmtId="49" fontId="15" fillId="2" borderId="36" xfId="0" applyNumberFormat="1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49" fontId="10" fillId="0" borderId="36" xfId="0" applyNumberFormat="1" applyFont="1" applyBorder="1" applyAlignment="1">
      <alignment horizontal="center" vertical="center"/>
    </xf>
    <xf numFmtId="0" fontId="10" fillId="0" borderId="93" xfId="0" applyFont="1" applyBorder="1" applyAlignment="1">
      <alignment horizontal="center" vertical="center"/>
    </xf>
    <xf numFmtId="49" fontId="10" fillId="0" borderId="93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110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 wrapText="1"/>
    </xf>
    <xf numFmtId="167" fontId="18" fillId="0" borderId="32" xfId="0" applyNumberFormat="1" applyFont="1" applyBorder="1" applyAlignment="1">
      <alignment horizontal="center" vertical="center"/>
    </xf>
    <xf numFmtId="168" fontId="7" fillId="0" borderId="32" xfId="0" applyNumberFormat="1" applyFont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167" fontId="18" fillId="0" borderId="36" xfId="0" applyNumberFormat="1" applyFont="1" applyBorder="1" applyAlignment="1">
      <alignment horizontal="center" vertical="center"/>
    </xf>
    <xf numFmtId="168" fontId="7" fillId="0" borderId="36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3" borderId="93" xfId="0" applyFont="1" applyFill="1" applyBorder="1" applyAlignment="1">
      <alignment horizontal="center" vertical="center" wrapText="1"/>
    </xf>
    <xf numFmtId="167" fontId="18" fillId="0" borderId="93" xfId="0" applyNumberFormat="1" applyFont="1" applyBorder="1" applyAlignment="1">
      <alignment horizontal="center" vertical="center"/>
    </xf>
    <xf numFmtId="168" fontId="7" fillId="0" borderId="93" xfId="0" applyNumberFormat="1" applyFont="1" applyBorder="1" applyAlignment="1">
      <alignment horizontal="center" vertical="center"/>
    </xf>
    <xf numFmtId="167" fontId="16" fillId="4" borderId="3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8" fillId="0" borderId="36" xfId="0" applyFont="1" applyBorder="1" applyAlignment="1">
      <alignment horizontal="center" vertical="center"/>
    </xf>
    <xf numFmtId="167" fontId="16" fillId="4" borderId="93" xfId="0" applyNumberFormat="1" applyFont="1" applyFill="1" applyBorder="1" applyAlignment="1">
      <alignment horizontal="center" vertical="center"/>
    </xf>
    <xf numFmtId="0" fontId="18" fillId="0" borderId="93" xfId="0" applyFont="1" applyBorder="1" applyAlignment="1">
      <alignment horizontal="center" vertical="center"/>
    </xf>
    <xf numFmtId="167" fontId="18" fillId="3" borderId="3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167" fontId="16" fillId="4" borderId="32" xfId="0" applyNumberFormat="1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49" fontId="16" fillId="4" borderId="36" xfId="0" applyNumberFormat="1" applyFont="1" applyFill="1" applyBorder="1" applyAlignment="1">
      <alignment horizontal="center" vertical="center"/>
    </xf>
    <xf numFmtId="49" fontId="16" fillId="4" borderId="23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167" fontId="15" fillId="0" borderId="115" xfId="0" applyNumberFormat="1" applyFont="1" applyBorder="1" applyAlignment="1">
      <alignment horizontal="center" vertical="center" wrapText="1"/>
    </xf>
    <xf numFmtId="168" fontId="7" fillId="0" borderId="23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5" fillId="0" borderId="114" xfId="0" applyFont="1" applyBorder="1" applyAlignment="1">
      <alignment horizontal="center" vertical="center" wrapText="1"/>
    </xf>
    <xf numFmtId="20" fontId="7" fillId="0" borderId="114" xfId="0" applyNumberFormat="1" applyFont="1" applyBorder="1" applyAlignment="1">
      <alignment horizontal="center" vertical="center"/>
    </xf>
    <xf numFmtId="0" fontId="19" fillId="0" borderId="114" xfId="0" applyFont="1" applyBorder="1" applyAlignment="1">
      <alignment horizontal="center" vertical="center" wrapText="1"/>
    </xf>
    <xf numFmtId="49" fontId="16" fillId="4" borderId="89" xfId="0" applyNumberFormat="1" applyFont="1" applyFill="1" applyBorder="1" applyAlignment="1">
      <alignment horizontal="center" vertical="center"/>
    </xf>
    <xf numFmtId="0" fontId="15" fillId="0" borderId="89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167" fontId="16" fillId="4" borderId="89" xfId="0" applyNumberFormat="1" applyFont="1" applyFill="1" applyBorder="1" applyAlignment="1">
      <alignment horizontal="center" vertical="center"/>
    </xf>
    <xf numFmtId="20" fontId="7" fillId="0" borderId="89" xfId="0" applyNumberFormat="1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 wrapText="1"/>
    </xf>
    <xf numFmtId="49" fontId="16" fillId="4" borderId="32" xfId="0" applyNumberFormat="1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7" fillId="3" borderId="114" xfId="0" applyFont="1" applyFill="1" applyBorder="1" applyAlignment="1">
      <alignment horizontal="center" vertical="center" wrapText="1"/>
    </xf>
    <xf numFmtId="0" fontId="10" fillId="3" borderId="114" xfId="0" applyFont="1" applyFill="1" applyBorder="1" applyAlignment="1">
      <alignment horizontal="center" vertical="center" wrapText="1"/>
    </xf>
    <xf numFmtId="0" fontId="10" fillId="3" borderId="89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20" fontId="7" fillId="0" borderId="32" xfId="0" applyNumberFormat="1" applyFont="1" applyBorder="1" applyAlignment="1">
      <alignment horizontal="center" vertical="center"/>
    </xf>
    <xf numFmtId="0" fontId="10" fillId="3" borderId="76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9" fillId="0" borderId="114" xfId="0" applyFont="1" applyBorder="1" applyAlignment="1">
      <alignment horizontal="center" vertical="center"/>
    </xf>
    <xf numFmtId="0" fontId="10" fillId="0" borderId="114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59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9" xfId="0" applyFont="1" applyBorder="1" applyAlignment="1">
      <alignment horizontal="right" vertical="center"/>
    </xf>
    <xf numFmtId="0" fontId="7" fillId="0" borderId="116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79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 wrapText="1"/>
    </xf>
    <xf numFmtId="0" fontId="7" fillId="0" borderId="119" xfId="0" applyFont="1" applyBorder="1" applyAlignment="1">
      <alignment horizontal="center" vertical="center" wrapText="1"/>
    </xf>
    <xf numFmtId="165" fontId="7" fillId="0" borderId="31" xfId="0" applyNumberFormat="1" applyFont="1" applyBorder="1" applyAlignment="1">
      <alignment horizontal="center" vertical="center"/>
    </xf>
    <xf numFmtId="165" fontId="7" fillId="0" borderId="35" xfId="0" applyNumberFormat="1" applyFont="1" applyBorder="1" applyAlignment="1">
      <alignment horizontal="center" vertical="center"/>
    </xf>
    <xf numFmtId="165" fontId="7" fillId="0" borderId="120" xfId="0" applyNumberFormat="1" applyFont="1" applyBorder="1" applyAlignment="1">
      <alignment horizontal="center" vertical="center"/>
    </xf>
    <xf numFmtId="169" fontId="21" fillId="0" borderId="118" xfId="0" applyNumberFormat="1" applyFont="1" applyBorder="1" applyAlignment="1">
      <alignment horizontal="left" vertical="center" shrinkToFit="1"/>
    </xf>
    <xf numFmtId="169" fontId="21" fillId="0" borderId="119" xfId="0" applyNumberFormat="1" applyFont="1" applyBorder="1" applyAlignment="1">
      <alignment horizontal="left" vertical="center" shrinkToFit="1"/>
    </xf>
    <xf numFmtId="169" fontId="21" fillId="0" borderId="121" xfId="0" applyNumberFormat="1" applyFont="1" applyBorder="1" applyAlignment="1">
      <alignment horizontal="left" vertical="center" shrinkToFit="1"/>
    </xf>
    <xf numFmtId="0" fontId="7" fillId="0" borderId="10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7" fillId="0" borderId="36" xfId="0" applyNumberFormat="1" applyFont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 vertical="center"/>
    </xf>
    <xf numFmtId="165" fontId="7" fillId="0" borderId="122" xfId="0" applyNumberFormat="1" applyFont="1" applyBorder="1" applyAlignment="1">
      <alignment horizontal="center" vertical="center"/>
    </xf>
    <xf numFmtId="165" fontId="7" fillId="0" borderId="123" xfId="0" applyNumberFormat="1" applyFont="1" applyBorder="1" applyAlignment="1">
      <alignment horizontal="center" vertical="center"/>
    </xf>
    <xf numFmtId="0" fontId="21" fillId="0" borderId="75" xfId="0" applyFont="1" applyBorder="1" applyAlignment="1">
      <alignment horizontal="left" vertical="center" shrinkToFit="1"/>
    </xf>
    <xf numFmtId="0" fontId="21" fillId="0" borderId="76" xfId="0" applyFont="1" applyBorder="1" applyAlignment="1">
      <alignment horizontal="left" vertical="center" shrinkToFit="1"/>
    </xf>
    <xf numFmtId="0" fontId="21" fillId="0" borderId="124" xfId="0" applyFont="1" applyBorder="1" applyAlignment="1">
      <alignment horizontal="left" vertical="center" shrinkToFit="1"/>
    </xf>
    <xf numFmtId="165" fontId="7" fillId="0" borderId="125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26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75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124" xfId="0" applyNumberFormat="1" applyFont="1" applyBorder="1" applyAlignment="1">
      <alignment horizontal="center" vertical="center"/>
    </xf>
    <xf numFmtId="169" fontId="21" fillId="0" borderId="17" xfId="0" applyNumberFormat="1" applyFont="1" applyBorder="1" applyAlignment="1">
      <alignment horizontal="left" vertical="center" shrinkToFit="1"/>
    </xf>
    <xf numFmtId="169" fontId="21" fillId="0" borderId="18" xfId="0" applyNumberFormat="1" applyFont="1" applyBorder="1" applyAlignment="1">
      <alignment horizontal="left" vertical="center" shrinkToFit="1"/>
    </xf>
    <xf numFmtId="169" fontId="21" fillId="0" borderId="117" xfId="0" applyNumberFormat="1" applyFont="1" applyBorder="1" applyAlignment="1">
      <alignment horizontal="left" vertical="center" shrinkToFit="1"/>
    </xf>
    <xf numFmtId="0" fontId="7" fillId="0" borderId="102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127" xfId="0" applyFont="1" applyBorder="1" applyAlignment="1">
      <alignment horizontal="center" vertical="center"/>
    </xf>
    <xf numFmtId="165" fontId="12" fillId="0" borderId="57" xfId="0" applyNumberFormat="1" applyFont="1" applyBorder="1" applyAlignment="1">
      <alignment horizontal="center" vertical="center"/>
    </xf>
    <xf numFmtId="165" fontId="12" fillId="0" borderId="58" xfId="0" applyNumberFormat="1" applyFont="1" applyBorder="1" applyAlignment="1">
      <alignment horizontal="center" vertical="center"/>
    </xf>
    <xf numFmtId="165" fontId="12" fillId="0" borderId="128" xfId="0" applyNumberFormat="1" applyFont="1" applyBorder="1" applyAlignment="1">
      <alignment horizontal="center" vertical="center"/>
    </xf>
    <xf numFmtId="165" fontId="12" fillId="0" borderId="129" xfId="0" applyNumberFormat="1" applyFont="1" applyBorder="1" applyAlignment="1">
      <alignment horizontal="center" vertical="center"/>
    </xf>
    <xf numFmtId="165" fontId="12" fillId="0" borderId="130" xfId="0" applyNumberFormat="1" applyFont="1" applyBorder="1" applyAlignment="1">
      <alignment horizontal="center" vertical="center"/>
    </xf>
    <xf numFmtId="165" fontId="12" fillId="0" borderId="127" xfId="0" applyNumberFormat="1" applyFont="1" applyBorder="1" applyAlignment="1">
      <alignment horizontal="center" vertical="center"/>
    </xf>
    <xf numFmtId="165" fontId="12" fillId="0" borderId="131" xfId="0" applyNumberFormat="1" applyFont="1" applyBorder="1" applyAlignment="1">
      <alignment horizontal="center" vertical="center"/>
    </xf>
    <xf numFmtId="165" fontId="12" fillId="0" borderId="132" xfId="0" applyNumberFormat="1" applyFont="1" applyBorder="1" applyAlignment="1">
      <alignment horizontal="center" vertical="center"/>
    </xf>
    <xf numFmtId="165" fontId="12" fillId="0" borderId="133" xfId="0" applyNumberFormat="1" applyFont="1" applyBorder="1" applyAlignment="1">
      <alignment horizontal="center" vertical="center"/>
    </xf>
    <xf numFmtId="0" fontId="21" fillId="0" borderId="131" xfId="0" applyFont="1" applyBorder="1" applyAlignment="1">
      <alignment horizontal="left" vertical="center" shrinkToFit="1"/>
    </xf>
    <xf numFmtId="0" fontId="21" fillId="0" borderId="132" xfId="0" applyFont="1" applyBorder="1" applyAlignment="1">
      <alignment horizontal="left" vertical="center" shrinkToFit="1"/>
    </xf>
    <xf numFmtId="0" fontId="21" fillId="0" borderId="133" xfId="0" applyFont="1" applyBorder="1" applyAlignment="1">
      <alignment horizontal="left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13" xfId="0" applyFont="1" applyBorder="1" applyAlignment="1">
      <alignment horizontal="center" vertical="center" wrapText="1"/>
    </xf>
    <xf numFmtId="165" fontId="7" fillId="0" borderId="116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9" fontId="21" fillId="0" borderId="101" xfId="0" applyNumberFormat="1" applyFont="1" applyBorder="1" applyAlignment="1">
      <alignment horizontal="left" vertical="center" shrinkToFit="1"/>
    </xf>
    <xf numFmtId="169" fontId="21" fillId="0" borderId="0" xfId="0" applyNumberFormat="1" applyFont="1" applyAlignment="1">
      <alignment horizontal="left" vertical="center" shrinkToFit="1"/>
    </xf>
    <xf numFmtId="169" fontId="21" fillId="0" borderId="67" xfId="0" applyNumberFormat="1" applyFont="1" applyBorder="1" applyAlignment="1">
      <alignment horizontal="left" vertical="center" shrinkToFit="1"/>
    </xf>
    <xf numFmtId="0" fontId="7" fillId="0" borderId="68" xfId="0" applyFont="1" applyBorder="1" applyAlignment="1">
      <alignment horizontal="center" vertical="center" wrapText="1"/>
    </xf>
    <xf numFmtId="0" fontId="21" fillId="0" borderId="75" xfId="0" applyFont="1" applyBorder="1" applyAlignment="1">
      <alignment vertical="center" shrinkToFit="1"/>
    </xf>
    <xf numFmtId="0" fontId="21" fillId="0" borderId="76" xfId="0" applyFont="1" applyBorder="1" applyAlignment="1">
      <alignment vertical="center" shrinkToFit="1"/>
    </xf>
    <xf numFmtId="0" fontId="21" fillId="0" borderId="124" xfId="0" applyFont="1" applyBorder="1" applyAlignment="1">
      <alignment vertical="center" shrinkToFit="1"/>
    </xf>
    <xf numFmtId="0" fontId="21" fillId="0" borderId="75" xfId="0" applyFont="1" applyBorder="1" applyAlignment="1">
      <alignment horizontal="left" vertical="center" shrinkToFit="1" indent="1"/>
    </xf>
    <xf numFmtId="0" fontId="21" fillId="0" borderId="76" xfId="0" applyFont="1" applyBorder="1" applyAlignment="1">
      <alignment horizontal="left" vertical="center" shrinkToFit="1" indent="1"/>
    </xf>
    <xf numFmtId="0" fontId="21" fillId="0" borderId="124" xfId="0" applyFont="1" applyBorder="1" applyAlignment="1">
      <alignment horizontal="left" vertical="center" shrinkToFit="1" indent="1"/>
    </xf>
    <xf numFmtId="49" fontId="21" fillId="0" borderId="75" xfId="0" applyNumberFormat="1" applyFont="1" applyBorder="1" applyAlignment="1">
      <alignment horizontal="left" vertical="center" shrinkToFit="1" indent="1"/>
    </xf>
    <xf numFmtId="49" fontId="21" fillId="0" borderId="76" xfId="0" applyNumberFormat="1" applyFont="1" applyBorder="1" applyAlignment="1">
      <alignment horizontal="left" vertical="center" shrinkToFit="1" indent="1"/>
    </xf>
    <xf numFmtId="49" fontId="21" fillId="0" borderId="124" xfId="0" applyNumberFormat="1" applyFont="1" applyBorder="1" applyAlignment="1">
      <alignment horizontal="left" vertical="center" shrinkToFit="1" indent="1"/>
    </xf>
    <xf numFmtId="0" fontId="7" fillId="0" borderId="61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0" fontId="21" fillId="0" borderId="129" xfId="0" applyFont="1" applyBorder="1" applyAlignment="1">
      <alignment horizontal="left" vertical="center" shrinkToFit="1" indent="1"/>
    </xf>
    <xf numFmtId="0" fontId="21" fillId="0" borderId="132" xfId="0" applyFont="1" applyBorder="1" applyAlignment="1">
      <alignment horizontal="left" vertical="center" shrinkToFit="1" indent="1"/>
    </xf>
    <xf numFmtId="0" fontId="21" fillId="0" borderId="133" xfId="0" applyFont="1" applyBorder="1" applyAlignment="1">
      <alignment horizontal="left" vertical="center" shrinkToFit="1" indent="1"/>
    </xf>
    <xf numFmtId="165" fontId="7" fillId="0" borderId="12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30" xfId="0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left" vertical="center" shrinkToFit="1" indent="1"/>
    </xf>
    <xf numFmtId="0" fontId="21" fillId="0" borderId="32" xfId="0" applyFont="1" applyBorder="1" applyAlignment="1">
      <alignment horizontal="left" vertical="center" shrinkToFit="1" indent="1"/>
    </xf>
    <xf numFmtId="0" fontId="21" fillId="0" borderId="30" xfId="0" applyFont="1" applyBorder="1" applyAlignment="1">
      <alignment horizontal="left" vertical="center" shrinkToFit="1" indent="1"/>
    </xf>
    <xf numFmtId="165" fontId="7" fillId="0" borderId="117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 shrinkToFit="1" indent="1"/>
    </xf>
    <xf numFmtId="0" fontId="21" fillId="0" borderId="18" xfId="0" applyFont="1" applyBorder="1" applyAlignment="1">
      <alignment horizontal="left" vertical="center" shrinkToFit="1" indent="1"/>
    </xf>
    <xf numFmtId="0" fontId="21" fillId="0" borderId="117" xfId="0" applyFont="1" applyBorder="1" applyAlignment="1">
      <alignment horizontal="left" vertical="center" shrinkToFit="1" indent="1"/>
    </xf>
    <xf numFmtId="0" fontId="7" fillId="0" borderId="56" xfId="0" applyFont="1" applyBorder="1" applyAlignment="1">
      <alignment horizontal="center" vertical="center"/>
    </xf>
    <xf numFmtId="165" fontId="12" fillId="0" borderId="61" xfId="0" applyNumberFormat="1" applyFont="1" applyBorder="1" applyAlignment="1">
      <alignment horizontal="center" vertical="center"/>
    </xf>
    <xf numFmtId="0" fontId="21" fillId="0" borderId="61" xfId="0" applyFont="1" applyBorder="1" applyAlignment="1">
      <alignment horizontal="left" vertical="center" shrinkToFit="1" indent="1"/>
    </xf>
    <xf numFmtId="0" fontId="21" fillId="0" borderId="58" xfId="0" applyFont="1" applyBorder="1" applyAlignment="1">
      <alignment horizontal="left" vertical="center" shrinkToFit="1" indent="1"/>
    </xf>
    <xf numFmtId="0" fontId="21" fillId="0" borderId="127" xfId="0" applyFont="1" applyBorder="1" applyAlignment="1">
      <alignment horizontal="left" vertical="center" shrinkToFit="1" indent="1"/>
    </xf>
    <xf numFmtId="0" fontId="22" fillId="0" borderId="0" xfId="0" applyFont="1" applyAlignment="1">
      <alignment vertical="center"/>
    </xf>
    <xf numFmtId="0" fontId="7" fillId="0" borderId="96" xfId="0" applyFont="1" applyBorder="1" applyAlignment="1">
      <alignment horizontal="center" vertical="center" shrinkToFit="1"/>
    </xf>
    <xf numFmtId="0" fontId="7" fillId="0" borderId="97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134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12" fillId="0" borderId="11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70" fontId="10" fillId="0" borderId="137" xfId="0" applyNumberFormat="1" applyFont="1" applyBorder="1" applyAlignment="1">
      <alignment horizontal="center" vertical="center"/>
    </xf>
    <xf numFmtId="170" fontId="10" fillId="0" borderId="33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0" fontId="10" fillId="0" borderId="64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171" fontId="10" fillId="0" borderId="137" xfId="0" applyNumberFormat="1" applyFont="1" applyBorder="1" applyAlignment="1">
      <alignment horizontal="center" vertical="center"/>
    </xf>
    <xf numFmtId="171" fontId="10" fillId="0" borderId="33" xfId="0" applyNumberFormat="1" applyFont="1" applyBorder="1" applyAlignment="1">
      <alignment horizontal="center" vertical="center"/>
    </xf>
    <xf numFmtId="171" fontId="10" fillId="0" borderId="34" xfId="0" applyNumberFormat="1" applyFont="1" applyBorder="1" applyAlignment="1">
      <alignment horizontal="center" vertical="center"/>
    </xf>
    <xf numFmtId="0" fontId="10" fillId="0" borderId="137" xfId="0" applyFont="1" applyBorder="1" applyAlignment="1">
      <alignment horizontal="left" vertical="center" shrinkToFit="1" indent="1"/>
    </xf>
    <xf numFmtId="0" fontId="10" fillId="0" borderId="33" xfId="0" applyFont="1" applyBorder="1" applyAlignment="1">
      <alignment horizontal="left" vertical="center" shrinkToFit="1" indent="1"/>
    </xf>
    <xf numFmtId="0" fontId="10" fillId="0" borderId="34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8" xfId="0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0" fontId="10" fillId="0" borderId="139" xfId="0" applyFont="1" applyBorder="1" applyAlignment="1">
      <alignment horizontal="center" vertical="center"/>
    </xf>
    <xf numFmtId="170" fontId="10" fillId="0" borderId="125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6" xfId="0" applyNumberFormat="1" applyFont="1" applyBorder="1" applyAlignment="1">
      <alignment horizontal="center" vertical="center"/>
    </xf>
    <xf numFmtId="171" fontId="10" fillId="0" borderId="125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26" xfId="0" applyNumberFormat="1" applyFont="1" applyBorder="1" applyAlignment="1">
      <alignment horizontal="center" vertical="center"/>
    </xf>
    <xf numFmtId="0" fontId="10" fillId="0" borderId="125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6" xfId="0" applyFont="1" applyBorder="1" applyAlignment="1">
      <alignment horizontal="left" vertical="center" shrinkToFit="1" indent="1"/>
    </xf>
    <xf numFmtId="0" fontId="10" fillId="0" borderId="12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6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171" fontId="12" fillId="0" borderId="96" xfId="0" applyNumberFormat="1" applyFont="1" applyBorder="1" applyAlignment="1">
      <alignment horizontal="center" vertical="center"/>
    </xf>
    <xf numFmtId="171" fontId="12" fillId="0" borderId="97" xfId="0" applyNumberFormat="1" applyFont="1" applyBorder="1" applyAlignment="1">
      <alignment horizontal="center" vertical="center"/>
    </xf>
    <xf numFmtId="171" fontId="12" fillId="0" borderId="98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left" vertical="center" shrinkToFit="1"/>
    </xf>
    <xf numFmtId="0" fontId="10" fillId="0" borderId="97" xfId="0" applyFont="1" applyBorder="1" applyAlignment="1">
      <alignment horizontal="left" vertical="center" shrinkToFit="1"/>
    </xf>
    <xf numFmtId="0" fontId="10" fillId="0" borderId="98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10" fillId="0" borderId="92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170" fontId="10" fillId="0" borderId="92" xfId="0" applyNumberFormat="1" applyFont="1" applyBorder="1" applyAlignment="1">
      <alignment horizontal="center" vertical="center"/>
    </xf>
    <xf numFmtId="170" fontId="10" fillId="0" borderId="91" xfId="0" applyNumberFormat="1" applyFont="1" applyBorder="1" applyAlignment="1">
      <alignment horizontal="center" vertical="center"/>
    </xf>
    <xf numFmtId="170" fontId="10" fillId="0" borderId="94" xfId="0" applyNumberFormat="1" applyFont="1" applyBorder="1" applyAlignment="1">
      <alignment horizontal="center" vertical="center"/>
    </xf>
    <xf numFmtId="170" fontId="10" fillId="0" borderId="95" xfId="0" applyNumberFormat="1" applyFont="1" applyBorder="1" applyAlignment="1">
      <alignment horizontal="center" vertical="center"/>
    </xf>
    <xf numFmtId="171" fontId="10" fillId="0" borderId="92" xfId="0" applyNumberFormat="1" applyFont="1" applyBorder="1" applyAlignment="1">
      <alignment horizontal="center" vertical="center"/>
    </xf>
    <xf numFmtId="171" fontId="10" fillId="0" borderId="91" xfId="0" applyNumberFormat="1" applyFont="1" applyBorder="1" applyAlignment="1">
      <alignment horizontal="center" vertical="center"/>
    </xf>
    <xf numFmtId="171" fontId="10" fillId="0" borderId="95" xfId="0" applyNumberFormat="1" applyFont="1" applyBorder="1" applyAlignment="1">
      <alignment horizontal="center" vertical="center"/>
    </xf>
    <xf numFmtId="0" fontId="10" fillId="0" borderId="92" xfId="0" applyFont="1" applyBorder="1" applyAlignment="1">
      <alignment horizontal="left" vertical="center" shrinkToFit="1" indent="1"/>
    </xf>
    <xf numFmtId="0" fontId="10" fillId="0" borderId="91" xfId="0" applyFont="1" applyBorder="1" applyAlignment="1">
      <alignment horizontal="left" vertical="center" shrinkToFit="1" indent="1"/>
    </xf>
    <xf numFmtId="0" fontId="10" fillId="0" borderId="95" xfId="0" applyFont="1" applyBorder="1" applyAlignment="1">
      <alignment horizontal="left" vertical="center" shrinkToFit="1" indent="1"/>
    </xf>
    <xf numFmtId="0" fontId="10" fillId="0" borderId="96" xfId="0" applyFont="1" applyBorder="1" applyAlignment="1">
      <alignment horizontal="left" vertical="center" shrinkToFit="1" indent="1"/>
    </xf>
    <xf numFmtId="0" fontId="10" fillId="0" borderId="97" xfId="0" applyFont="1" applyBorder="1" applyAlignment="1">
      <alignment horizontal="left" vertical="center" shrinkToFit="1" indent="1"/>
    </xf>
    <xf numFmtId="0" fontId="10" fillId="0" borderId="98" xfId="0" applyFont="1" applyBorder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8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8" x14ac:dyDescent="0.25">
      <c r="A1" s="4" t="s">
        <v>24</v>
      </c>
      <c r="B1" s="4"/>
      <c r="C1" s="4"/>
      <c r="D1" s="4"/>
      <c r="E1" s="4"/>
      <c r="F1" s="4"/>
      <c r="G1" s="4"/>
      <c r="H1" s="4"/>
    </row>
    <row r="2" spans="1:8" x14ac:dyDescent="0.25">
      <c r="A2" s="151" t="s">
        <v>25</v>
      </c>
      <c r="B2" s="151"/>
      <c r="C2" s="151"/>
      <c r="D2" s="151"/>
      <c r="E2" s="151"/>
      <c r="F2" s="151"/>
      <c r="G2" s="151"/>
      <c r="H2" s="151"/>
    </row>
    <row r="3" ht="24.75" customHeight="1" spans="1:8" x14ac:dyDescent="0.25">
      <c r="A3" s="3"/>
      <c r="B3" s="3"/>
      <c r="C3" s="152" t="s">
        <v>26</v>
      </c>
      <c r="D3" s="6"/>
      <c r="E3" s="6"/>
      <c r="F3" s="7"/>
      <c r="G3" s="3"/>
      <c r="H3" s="3"/>
    </row>
    <row r="4" ht="3" customHeight="1" spans="1:8" x14ac:dyDescent="0.25">
      <c r="A4" s="3"/>
      <c r="B4" s="3"/>
      <c r="G4" s="3"/>
      <c r="H4" s="3"/>
    </row>
    <row r="5" ht="4.5" customHeight="1" spans="1:8" x14ac:dyDescent="0.25">
      <c r="A5" s="153"/>
      <c r="B5" s="153"/>
      <c r="C5" s="153"/>
      <c r="D5" s="153"/>
      <c r="E5" s="153"/>
      <c r="F5" s="153"/>
      <c r="G5" s="153"/>
      <c r="H5" s="153"/>
    </row>
    <row r="6" ht="24" customHeight="1" spans="1:12" s="9" customFormat="1" x14ac:dyDescent="0.25">
      <c r="A6" s="14" t="s">
        <v>27</v>
      </c>
      <c r="B6" s="154"/>
      <c r="C6" s="155" t="s">
        <v>4</v>
      </c>
      <c r="D6" s="14"/>
      <c r="E6" s="14"/>
      <c r="F6" s="9"/>
      <c r="G6" s="156" t="s">
        <v>5</v>
      </c>
      <c r="H6" s="157">
        <f>'Final Work'!선적종료일</f>
        <v>46225</v>
      </c>
      <c r="I6" s="9"/>
      <c r="J6" s="9"/>
      <c r="K6" s="9"/>
      <c r="L6" s="9"/>
    </row>
    <row r="7" ht="11.25" customHeight="1" spans="1:7" s="9" customFormat="1" x14ac:dyDescent="0.25">
      <c r="A7" s="9"/>
      <c r="B7" s="9"/>
      <c r="C7" s="9"/>
      <c r="E7" s="9"/>
      <c r="F7" s="9"/>
      <c r="G7" s="9"/>
    </row>
    <row r="8" ht="24" customHeight="1" spans="1:12" s="9" customFormat="1" x14ac:dyDescent="0.25">
      <c r="A8" s="14" t="s">
        <v>28</v>
      </c>
      <c r="B8" s="158"/>
      <c r="C8" s="155" t="s">
        <v>29</v>
      </c>
      <c r="D8" s="14"/>
      <c r="E8" s="14"/>
      <c r="F8" s="155"/>
      <c r="G8" s="159" t="s">
        <v>30</v>
      </c>
      <c r="H8" s="18"/>
      <c r="I8" s="9"/>
      <c r="J8" s="9"/>
      <c r="K8" s="9"/>
      <c r="L8" s="9"/>
    </row>
    <row r="9" ht="11.25" customHeight="1" spans="1:7" s="9" customFormat="1" x14ac:dyDescent="0.25">
      <c r="A9" s="9"/>
      <c r="B9" s="9"/>
      <c r="C9" s="9"/>
      <c r="F9" s="9"/>
      <c r="G9" s="9"/>
    </row>
    <row r="10" ht="15" customHeight="1" spans="1:8" s="9" customFormat="1" x14ac:dyDescent="0.25">
      <c r="A10" s="9"/>
      <c r="B10" s="9"/>
      <c r="C10" s="9"/>
      <c r="D10" s="9"/>
      <c r="F10" s="9"/>
      <c r="G10" s="9"/>
      <c r="H10" s="155" t="s">
        <v>31</v>
      </c>
    </row>
    <row r="11" ht="3.75" customHeight="1" spans="1:8" s="9" customFormat="1" x14ac:dyDescent="0.25">
      <c r="A11" s="9"/>
      <c r="B11" s="9"/>
      <c r="C11" s="9"/>
      <c r="D11" s="9"/>
      <c r="E11" s="9"/>
      <c r="F11" s="9"/>
      <c r="G11" s="9"/>
      <c r="H11" s="9"/>
    </row>
    <row r="12" ht="24.75" customHeight="1" spans="1:8" s="9" customFormat="1" x14ac:dyDescent="0.25">
      <c r="A12" s="160" t="s">
        <v>32</v>
      </c>
      <c r="B12" s="161"/>
      <c r="C12" s="162" t="s">
        <v>33</v>
      </c>
      <c r="D12" s="162"/>
      <c r="E12" s="162"/>
      <c r="F12" s="162"/>
      <c r="G12" s="162"/>
      <c r="H12" s="161"/>
    </row>
    <row r="13" ht="18" customHeight="1" spans="1:9" s="9" customFormat="1" x14ac:dyDescent="0.25">
      <c r="A13" s="163"/>
      <c r="B13" s="164"/>
      <c r="C13" s="165"/>
      <c r="D13" s="165"/>
      <c r="E13" s="165"/>
      <c r="F13" s="165"/>
      <c r="G13" s="165"/>
      <c r="H13" s="165"/>
      <c r="I13" s="166"/>
    </row>
    <row r="14" ht="18" customHeight="1" spans="1:9" x14ac:dyDescent="0.25">
      <c r="A14" s="167"/>
      <c r="B14" s="168"/>
      <c r="C14" s="169"/>
      <c r="D14" s="170"/>
      <c r="E14" s="170"/>
      <c r="F14" s="170"/>
      <c r="G14" s="170"/>
      <c r="H14" s="171"/>
      <c r="I14" s="166"/>
    </row>
    <row r="15" ht="18" customHeight="1" spans="1:8" x14ac:dyDescent="0.25">
      <c r="A15" s="167"/>
      <c r="B15" s="168"/>
      <c r="C15" s="169"/>
      <c r="D15" s="170"/>
      <c r="E15" s="170"/>
      <c r="F15" s="170"/>
      <c r="G15" s="170"/>
      <c r="H15" s="171"/>
    </row>
    <row r="16" ht="18" customHeight="1" spans="1:9" x14ac:dyDescent="0.25">
      <c r="A16" s="167"/>
      <c r="B16" s="168"/>
      <c r="C16" s="172"/>
      <c r="D16" s="172"/>
      <c r="E16" s="172"/>
      <c r="F16" s="172"/>
      <c r="G16" s="172"/>
      <c r="H16" s="172"/>
      <c r="I16" s="166"/>
    </row>
    <row r="17" ht="18" customHeight="1" spans="1:9" x14ac:dyDescent="0.25">
      <c r="A17" s="173"/>
      <c r="B17" s="174"/>
      <c r="C17" s="175"/>
      <c r="D17" s="176"/>
      <c r="E17" s="176"/>
      <c r="F17" s="176"/>
      <c r="G17" s="176"/>
      <c r="H17" s="177"/>
      <c r="I17" s="166"/>
    </row>
    <row r="18" ht="18" customHeight="1" spans="1:8" x14ac:dyDescent="0.25">
      <c r="A18" s="178"/>
      <c r="B18" s="179"/>
      <c r="C18" s="180"/>
      <c r="D18" s="181"/>
      <c r="E18" s="181"/>
      <c r="F18" s="181"/>
      <c r="G18" s="181"/>
      <c r="H18" s="182"/>
    </row>
    <row r="19" ht="18" customHeight="1" spans="1:9" x14ac:dyDescent="0.25">
      <c r="A19" s="183"/>
      <c r="B19" s="179"/>
      <c r="C19" s="180"/>
      <c r="D19" s="181"/>
      <c r="E19" s="181"/>
      <c r="F19" s="181"/>
      <c r="G19" s="181"/>
      <c r="H19" s="182"/>
      <c r="I19" s="166"/>
    </row>
    <row r="20" ht="18" customHeight="1" spans="1:8" x14ac:dyDescent="0.25">
      <c r="A20" s="167"/>
      <c r="B20" s="168"/>
      <c r="C20" s="172"/>
      <c r="D20" s="172"/>
      <c r="E20" s="172"/>
      <c r="F20" s="172"/>
      <c r="G20" s="172"/>
      <c r="H20" s="172"/>
    </row>
    <row r="21" ht="18" customHeight="1" spans="1:9" x14ac:dyDescent="0.25">
      <c r="A21" s="184"/>
      <c r="B21" s="168"/>
      <c r="C21" s="169"/>
      <c r="D21" s="170"/>
      <c r="E21" s="170"/>
      <c r="F21" s="170"/>
      <c r="G21" s="170"/>
      <c r="H21" s="171"/>
      <c r="I21" s="166"/>
    </row>
    <row r="22" ht="18" customHeight="1" spans="1:8" x14ac:dyDescent="0.25">
      <c r="A22" s="185"/>
      <c r="B22" s="174"/>
      <c r="C22" s="186"/>
      <c r="D22" s="186"/>
      <c r="E22" s="186"/>
      <c r="F22" s="186"/>
      <c r="G22" s="186"/>
      <c r="H22" s="186"/>
    </row>
    <row r="23" ht="18" customHeight="1" spans="1:9" x14ac:dyDescent="0.25">
      <c r="A23" s="178"/>
      <c r="B23" s="179"/>
      <c r="C23" s="180"/>
      <c r="D23" s="181"/>
      <c r="E23" s="181"/>
      <c r="F23" s="181"/>
      <c r="G23" s="181"/>
      <c r="H23" s="182"/>
      <c r="I23" s="166"/>
    </row>
    <row r="24" ht="18" customHeight="1" spans="1:13" x14ac:dyDescent="0.25">
      <c r="A24" s="183"/>
      <c r="B24" s="168"/>
      <c r="C24" s="169"/>
      <c r="D24" s="170"/>
      <c r="E24" s="170"/>
      <c r="F24" s="170"/>
      <c r="G24" s="170"/>
      <c r="H24" s="171"/>
      <c r="I24" s="166"/>
      <c r="M24" s="187"/>
    </row>
    <row r="25" ht="18" customHeight="1" spans="1:9" x14ac:dyDescent="0.25">
      <c r="A25" s="167"/>
      <c r="B25" s="179"/>
      <c r="C25" s="180"/>
      <c r="D25" s="181"/>
      <c r="E25" s="181"/>
      <c r="F25" s="181"/>
      <c r="G25" s="181"/>
      <c r="H25" s="182"/>
      <c r="I25" s="166"/>
    </row>
    <row r="26" ht="18" customHeight="1" spans="1:13" x14ac:dyDescent="0.25">
      <c r="A26" s="188"/>
      <c r="B26" s="179"/>
      <c r="C26" s="180"/>
      <c r="D26" s="181"/>
      <c r="E26" s="181"/>
      <c r="F26" s="181"/>
      <c r="G26" s="181"/>
      <c r="H26" s="182"/>
      <c r="I26" s="166"/>
      <c r="M26" s="187"/>
    </row>
    <row r="27" ht="18" customHeight="1" spans="1:9" x14ac:dyDescent="0.25">
      <c r="A27" s="185"/>
      <c r="B27" s="174"/>
      <c r="C27" s="175"/>
      <c r="D27" s="176"/>
      <c r="E27" s="176"/>
      <c r="F27" s="176"/>
      <c r="G27" s="176"/>
      <c r="H27" s="177"/>
      <c r="I27" s="166"/>
    </row>
    <row r="28" ht="18" customHeight="1" spans="1:9" x14ac:dyDescent="0.25">
      <c r="A28" s="189"/>
      <c r="B28" s="27"/>
      <c r="C28" s="190"/>
      <c r="D28" s="191"/>
      <c r="E28" s="191"/>
      <c r="F28" s="191"/>
      <c r="G28" s="191"/>
      <c r="H28" s="192"/>
      <c r="I28" s="166"/>
    </row>
    <row r="29" ht="18" customHeight="1" spans="1:9" x14ac:dyDescent="0.25">
      <c r="A29" s="188"/>
      <c r="B29" s="179"/>
      <c r="C29" s="180"/>
      <c r="D29" s="181"/>
      <c r="E29" s="181"/>
      <c r="F29" s="181"/>
      <c r="G29" s="181"/>
      <c r="H29" s="182"/>
      <c r="I29" s="166"/>
    </row>
    <row r="30" ht="18" customHeight="1" spans="1:9" x14ac:dyDescent="0.25">
      <c r="A30" s="193"/>
      <c r="B30" s="168"/>
      <c r="C30" s="172"/>
      <c r="D30" s="172"/>
      <c r="E30" s="172"/>
      <c r="F30" s="172"/>
      <c r="G30" s="172"/>
      <c r="H30" s="172"/>
      <c r="I30" s="166"/>
    </row>
    <row r="31" ht="18" customHeight="1" spans="1:9" x14ac:dyDescent="0.25">
      <c r="A31" s="167"/>
      <c r="B31" s="179"/>
      <c r="C31" s="180"/>
      <c r="D31" s="181"/>
      <c r="E31" s="181"/>
      <c r="F31" s="181"/>
      <c r="G31" s="181"/>
      <c r="H31" s="182"/>
      <c r="I31" s="166"/>
    </row>
    <row r="32" ht="18" customHeight="1" spans="1:9" x14ac:dyDescent="0.25">
      <c r="A32" s="173"/>
      <c r="B32" s="174"/>
      <c r="C32" s="175"/>
      <c r="D32" s="176"/>
      <c r="E32" s="176"/>
      <c r="F32" s="176"/>
      <c r="G32" s="176"/>
      <c r="H32" s="177"/>
      <c r="I32" s="166"/>
    </row>
    <row r="33" ht="18" customHeight="1" spans="1:9" x14ac:dyDescent="0.25">
      <c r="A33" s="29"/>
      <c r="B33" s="179"/>
      <c r="C33" s="180"/>
      <c r="D33" s="181"/>
      <c r="E33" s="181"/>
      <c r="F33" s="181"/>
      <c r="G33" s="181"/>
      <c r="H33" s="182"/>
      <c r="I33" s="166"/>
    </row>
    <row r="34" ht="18" customHeight="1" spans="1:9" x14ac:dyDescent="0.25">
      <c r="A34" s="167"/>
      <c r="B34" s="179"/>
      <c r="C34" s="180"/>
      <c r="D34" s="181"/>
      <c r="E34" s="181"/>
      <c r="F34" s="181"/>
      <c r="G34" s="181"/>
      <c r="H34" s="182"/>
      <c r="I34" s="166"/>
    </row>
    <row r="35" ht="18" customHeight="1" spans="1:9" x14ac:dyDescent="0.25">
      <c r="A35" s="194"/>
      <c r="B35" s="168"/>
      <c r="C35" s="180"/>
      <c r="D35" s="181"/>
      <c r="E35" s="181"/>
      <c r="F35" s="181"/>
      <c r="G35" s="181"/>
      <c r="H35" s="182"/>
      <c r="I35" s="166"/>
    </row>
    <row r="36" ht="18" customHeight="1" spans="1:9" x14ac:dyDescent="0.25">
      <c r="A36" s="195"/>
      <c r="B36" s="179"/>
      <c r="C36" s="169"/>
      <c r="D36" s="170"/>
      <c r="E36" s="170"/>
      <c r="F36" s="170"/>
      <c r="G36" s="170"/>
      <c r="H36" s="171"/>
      <c r="I36" s="166"/>
    </row>
    <row r="37" ht="18" customHeight="1" spans="1:9" x14ac:dyDescent="0.25">
      <c r="A37" s="196"/>
      <c r="B37" s="174"/>
      <c r="C37" s="175"/>
      <c r="D37" s="176"/>
      <c r="E37" s="176"/>
      <c r="F37" s="176"/>
      <c r="G37" s="176"/>
      <c r="H37" s="177"/>
      <c r="I37" s="166"/>
    </row>
    <row r="38" ht="18" customHeight="1" spans="1:9" x14ac:dyDescent="0.25">
      <c r="A38" s="197"/>
      <c r="B38" s="198"/>
      <c r="C38" s="190"/>
      <c r="D38" s="191"/>
      <c r="E38" s="191"/>
      <c r="F38" s="191"/>
      <c r="G38" s="191"/>
      <c r="H38" s="192"/>
      <c r="I38" s="166"/>
    </row>
    <row r="39" ht="18" customHeight="1" spans="1:9" x14ac:dyDescent="0.25">
      <c r="A39" s="195"/>
      <c r="B39" s="54"/>
      <c r="C39" s="172"/>
      <c r="D39" s="172"/>
      <c r="E39" s="172"/>
      <c r="F39" s="172"/>
      <c r="G39" s="172"/>
      <c r="H39" s="172"/>
      <c r="I39" s="166"/>
    </row>
    <row r="40" ht="18" customHeight="1" spans="1:8" x14ac:dyDescent="0.25">
      <c r="A40" s="195"/>
      <c r="B40" s="168"/>
      <c r="C40" s="172"/>
      <c r="D40" s="172"/>
      <c r="E40" s="172"/>
      <c r="F40" s="172"/>
      <c r="G40" s="172"/>
      <c r="H40" s="172"/>
    </row>
    <row r="41" ht="18" customHeight="1" spans="1:9" x14ac:dyDescent="0.25">
      <c r="A41" s="167"/>
      <c r="B41" s="199"/>
      <c r="C41" s="169"/>
      <c r="D41" s="170"/>
      <c r="E41" s="170"/>
      <c r="F41" s="170"/>
      <c r="G41" s="170"/>
      <c r="H41" s="171"/>
      <c r="I41" s="166"/>
    </row>
    <row r="42" ht="18" customHeight="1" spans="1:9" x14ac:dyDescent="0.25">
      <c r="A42" s="167"/>
      <c r="B42" s="54"/>
      <c r="C42" s="180"/>
      <c r="D42" s="181"/>
      <c r="E42" s="181"/>
      <c r="F42" s="181"/>
      <c r="G42" s="181"/>
      <c r="H42" s="182"/>
      <c r="I42" s="166"/>
    </row>
    <row r="43" ht="16.9" customHeight="1" spans="1:8" x14ac:dyDescent="0.25">
      <c r="A43" s="3"/>
      <c r="B43" s="87"/>
      <c r="C43" s="40"/>
      <c r="D43" s="40"/>
      <c r="E43" s="40"/>
      <c r="F43" s="40"/>
      <c r="G43" s="40"/>
      <c r="H43" s="40"/>
    </row>
    <row r="44" ht="16.9" customHeight="1" spans="1:8" x14ac:dyDescent="0.25">
      <c r="A44" s="3"/>
      <c r="B44" s="87"/>
      <c r="C44" s="40"/>
      <c r="D44" s="40"/>
      <c r="E44" s="40"/>
      <c r="F44" s="40"/>
      <c r="G44" s="40"/>
      <c r="H44" s="40"/>
    </row>
    <row r="45" ht="16.9" customHeight="1" spans="1:8" x14ac:dyDescent="0.25">
      <c r="A45" s="200"/>
      <c r="B45" s="200"/>
      <c r="C45" s="3"/>
      <c r="D45" s="3"/>
      <c r="E45" s="3"/>
      <c r="F45" s="3"/>
      <c r="G45" s="3"/>
      <c r="H45" s="3"/>
    </row>
    <row r="46" spans="1:8" x14ac:dyDescent="0.25">
      <c r="A46" s="201" t="s">
        <v>22</v>
      </c>
      <c r="B46" s="202"/>
      <c r="C46" s="9"/>
      <c r="D46" s="9"/>
      <c r="E46" s="9"/>
      <c r="F46" s="3"/>
      <c r="G46" s="187"/>
      <c r="H46" s="14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4724409448818898" right="0.4724409448818898" top="0.5905511811023623" bottom="0" header="0.5118110236220472" footer="0.35433070866141736"/>
  <pageSetup paperSize="9" orientation="portrait" horizontalDpi="4294967295" verticalDpi="4294967295" scale="97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N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13" x14ac:dyDescent="0.25">
      <c r="A1" s="203" t="s">
        <v>24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</row>
    <row r="2" ht="12" customHeight="1" spans="1:13" x14ac:dyDescent="0.25">
      <c r="A2" s="187" t="s">
        <v>25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3" ht="9.75" customHeight="1" x14ac:dyDescent="0.25"/>
    <row r="4" ht="20.25" customHeight="1" spans="1:13" s="3" customFormat="1" x14ac:dyDescent="0.25">
      <c r="A4" s="204" t="s">
        <v>77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</row>
    <row r="5" ht="10.5" customHeight="1" x14ac:dyDescent="0.25"/>
    <row r="6" spans="1:14" x14ac:dyDescent="0.25">
      <c r="A6" s="3" t="s">
        <v>35</v>
      </c>
      <c r="B6" s="205" t="str">
        <f>'Final Work'!모선이름</f>
        <v>SAWASDEE ATLANTIC</v>
      </c>
      <c r="G6" s="3" t="s">
        <v>36</v>
      </c>
      <c r="H6" s="187"/>
      <c r="I6" s="187"/>
      <c r="K6" s="3" t="s">
        <v>37</v>
      </c>
      <c r="L6" s="256"/>
      <c r="M6" s="256"/>
      <c r="N6" s="1"/>
    </row>
    <row r="7" ht="5.25" customHeight="1" spans="8:9" x14ac:dyDescent="0.25">
      <c r="H7" s="166"/>
      <c r="I7" s="166"/>
    </row>
    <row r="8" spans="1:13" x14ac:dyDescent="0.25">
      <c r="A8" s="205" t="s">
        <v>78</v>
      </c>
      <c r="B8" s="3" t="s">
        <v>25</v>
      </c>
      <c r="C8" s="270"/>
      <c r="D8" s="270"/>
      <c r="G8" s="3" t="s">
        <v>39</v>
      </c>
      <c r="H8" s="187"/>
      <c r="I8" s="187"/>
      <c r="K8" s="205" t="s">
        <v>40</v>
      </c>
      <c r="L8" s="187"/>
      <c r="M8" s="187"/>
    </row>
    <row r="9" ht="8.25" customHeight="1" spans="10:10" x14ac:dyDescent="0.25">
      <c r="J9" s="200"/>
    </row>
    <row r="10" ht="14.45" customHeight="1" spans="1:13" x14ac:dyDescent="0.25">
      <c r="A10" s="271" t="s">
        <v>41</v>
      </c>
      <c r="B10" s="207" t="s">
        <v>42</v>
      </c>
      <c r="C10" s="208"/>
      <c r="D10" s="271" t="s">
        <v>43</v>
      </c>
      <c r="E10" s="271"/>
      <c r="F10" s="271"/>
      <c r="G10" s="209" t="s">
        <v>44</v>
      </c>
      <c r="H10" s="257" t="s">
        <v>45</v>
      </c>
      <c r="I10" s="258"/>
      <c r="J10" s="209" t="s">
        <v>79</v>
      </c>
      <c r="K10" s="271" t="s">
        <v>47</v>
      </c>
      <c r="L10" s="271" t="s">
        <v>48</v>
      </c>
      <c r="M10" s="271" t="s">
        <v>49</v>
      </c>
    </row>
    <row r="11" ht="14.45" customHeight="1" spans="1:13" x14ac:dyDescent="0.25">
      <c r="A11" s="210"/>
      <c r="B11" s="211"/>
      <c r="C11" s="212"/>
      <c r="D11" s="210"/>
      <c r="E11" s="210"/>
      <c r="F11" s="210"/>
      <c r="G11" s="213" t="s">
        <v>50</v>
      </c>
      <c r="H11" s="259"/>
      <c r="I11" s="261"/>
      <c r="J11" s="213"/>
      <c r="K11" s="210"/>
      <c r="L11" s="210"/>
      <c r="M11" s="210"/>
    </row>
    <row r="12" ht="19.15" customHeight="1" spans="1:13" x14ac:dyDescent="0.25">
      <c r="A12" s="51"/>
      <c r="B12" s="232"/>
      <c r="C12" s="3"/>
      <c r="D12" s="224"/>
      <c r="E12" s="225"/>
      <c r="F12" s="226"/>
      <c r="G12" s="227"/>
      <c r="H12" s="228"/>
      <c r="I12" s="3"/>
      <c r="J12" s="229"/>
      <c r="K12" s="227"/>
      <c r="L12" s="227"/>
      <c r="M12" s="272"/>
    </row>
    <row r="13" ht="19.15" customHeight="1" hidden="1" spans="1:13" x14ac:dyDescent="0.25">
      <c r="A13" s="51"/>
      <c r="B13" s="232"/>
      <c r="C13" s="3"/>
      <c r="D13" s="224"/>
      <c r="E13" s="225"/>
      <c r="F13" s="226"/>
      <c r="G13" s="227"/>
      <c r="H13" s="228"/>
      <c r="I13" s="3"/>
      <c r="J13" s="229"/>
      <c r="K13" s="227"/>
      <c r="L13" s="227"/>
      <c r="M13" s="272"/>
    </row>
    <row r="14" ht="19.15" customHeight="1" spans="1:13" x14ac:dyDescent="0.25">
      <c r="A14" s="51"/>
      <c r="B14" s="232"/>
      <c r="C14" s="3"/>
      <c r="D14" s="224"/>
      <c r="E14" s="225"/>
      <c r="F14" s="226"/>
      <c r="G14" s="227"/>
      <c r="H14" s="228"/>
      <c r="I14" s="3"/>
      <c r="J14" s="229"/>
      <c r="K14" s="227"/>
      <c r="L14" s="227"/>
      <c r="M14" s="272"/>
    </row>
    <row r="15" ht="19.15" customHeight="1" spans="1:13" x14ac:dyDescent="0.25">
      <c r="A15" s="51"/>
      <c r="B15" s="232"/>
      <c r="C15" s="3"/>
      <c r="D15" s="224"/>
      <c r="E15" s="225"/>
      <c r="F15" s="226"/>
      <c r="G15" s="227"/>
      <c r="H15" s="228"/>
      <c r="I15" s="3"/>
      <c r="J15" s="229"/>
      <c r="K15" s="227"/>
      <c r="L15" s="227"/>
      <c r="M15" s="272"/>
    </row>
    <row r="16" ht="19.15" customHeight="1" spans="1:13" x14ac:dyDescent="0.25">
      <c r="A16" s="51"/>
      <c r="B16" s="51"/>
      <c r="C16" s="3"/>
      <c r="D16" s="273"/>
      <c r="E16" s="274"/>
      <c r="F16" s="275"/>
      <c r="G16" s="51"/>
      <c r="H16" s="228"/>
      <c r="I16" s="3"/>
      <c r="J16" s="229"/>
      <c r="K16" s="227"/>
      <c r="L16" s="227"/>
      <c r="M16" s="272"/>
    </row>
    <row r="17" ht="19.15" customHeight="1" spans="1:13" x14ac:dyDescent="0.25">
      <c r="A17" s="51"/>
      <c r="B17" s="232"/>
      <c r="C17" s="3"/>
      <c r="D17" s="224"/>
      <c r="E17" s="225"/>
      <c r="F17" s="226"/>
      <c r="G17" s="227"/>
      <c r="H17" s="228"/>
      <c r="I17" s="3"/>
      <c r="J17" s="229"/>
      <c r="K17" s="227"/>
      <c r="L17" s="227"/>
      <c r="M17" s="272"/>
    </row>
    <row r="18" ht="19.15" customHeight="1" spans="1:13" x14ac:dyDescent="0.25">
      <c r="A18" s="51"/>
      <c r="B18" s="232"/>
      <c r="C18" s="3"/>
      <c r="D18" s="224"/>
      <c r="E18" s="225"/>
      <c r="F18" s="226"/>
      <c r="G18" s="227"/>
      <c r="H18" s="228"/>
      <c r="I18" s="3"/>
      <c r="J18" s="229"/>
      <c r="K18" s="51"/>
      <c r="L18" s="51"/>
      <c r="M18" s="272"/>
    </row>
    <row r="19" ht="19.15" customHeight="1" spans="1:13" x14ac:dyDescent="0.25">
      <c r="A19" s="51"/>
      <c r="B19" s="232"/>
      <c r="C19" s="3"/>
      <c r="D19" s="224"/>
      <c r="E19" s="225"/>
      <c r="F19" s="226"/>
      <c r="G19" s="227"/>
      <c r="H19" s="228"/>
      <c r="I19" s="3"/>
      <c r="J19" s="229"/>
      <c r="K19" s="227"/>
      <c r="L19" s="227"/>
      <c r="M19" s="272"/>
    </row>
    <row r="20" ht="19.15" customHeight="1" spans="1:13" x14ac:dyDescent="0.25">
      <c r="A20" s="51"/>
      <c r="B20" s="232"/>
      <c r="C20" s="3"/>
      <c r="D20" s="224"/>
      <c r="E20" s="225"/>
      <c r="F20" s="226"/>
      <c r="G20" s="227"/>
      <c r="H20" s="228"/>
      <c r="I20" s="3"/>
      <c r="J20" s="229"/>
      <c r="K20" s="227"/>
      <c r="L20" s="227"/>
      <c r="M20" s="272"/>
    </row>
    <row r="21" ht="19.15" customHeight="1" hidden="1" spans="1:13" x14ac:dyDescent="0.25">
      <c r="A21" s="51"/>
      <c r="B21" s="232"/>
      <c r="C21" s="3"/>
      <c r="D21" s="224"/>
      <c r="E21" s="225"/>
      <c r="F21" s="226"/>
      <c r="G21" s="227"/>
      <c r="H21" s="228"/>
      <c r="I21" s="3"/>
      <c r="J21" s="229"/>
      <c r="K21" s="227"/>
      <c r="L21" s="227"/>
      <c r="M21" s="272"/>
    </row>
    <row r="22" ht="19.15" customHeight="1" spans="1:13" x14ac:dyDescent="0.25">
      <c r="A22" s="51"/>
      <c r="B22" s="232"/>
      <c r="C22" s="3"/>
      <c r="D22" s="224"/>
      <c r="E22" s="225"/>
      <c r="F22" s="226"/>
      <c r="G22" s="227"/>
      <c r="H22" s="228"/>
      <c r="I22" s="3"/>
      <c r="J22" s="229"/>
      <c r="K22" s="227"/>
      <c r="L22" s="227"/>
      <c r="M22" s="272"/>
    </row>
    <row r="23" ht="19.15" customHeight="1" spans="1:13" x14ac:dyDescent="0.25">
      <c r="A23" s="51"/>
      <c r="B23" s="232"/>
      <c r="C23" s="3"/>
      <c r="D23" s="224"/>
      <c r="E23" s="225"/>
      <c r="F23" s="226"/>
      <c r="G23" s="227"/>
      <c r="H23" s="228"/>
      <c r="I23" s="3"/>
      <c r="J23" s="229"/>
      <c r="K23" s="227"/>
      <c r="L23" s="77"/>
      <c r="M23" s="272"/>
    </row>
    <row r="24" ht="19.15" customHeight="1" hidden="1" spans="1:13" x14ac:dyDescent="0.25">
      <c r="A24" s="51"/>
      <c r="B24" s="232"/>
      <c r="C24" s="3"/>
      <c r="D24" s="224"/>
      <c r="E24" s="225"/>
      <c r="F24" s="226"/>
      <c r="G24" s="227"/>
      <c r="H24" s="228"/>
      <c r="I24" s="3"/>
      <c r="J24" s="229"/>
      <c r="K24" s="227"/>
      <c r="L24" s="77"/>
      <c r="M24" s="276"/>
    </row>
    <row r="25" ht="19.15" customHeight="1" spans="1:13" x14ac:dyDescent="0.25">
      <c r="A25" s="28"/>
      <c r="B25" s="28"/>
      <c r="C25" s="28"/>
      <c r="D25" s="277" t="s">
        <v>51</v>
      </c>
      <c r="E25" s="278"/>
      <c r="F25" s="279"/>
      <c r="G25" s="280" t="s">
        <v>52</v>
      </c>
      <c r="H25" s="281">
        <f>SUM(H11:I24)</f>
        <v>273</v>
      </c>
      <c r="I25" s="281"/>
      <c r="J25" s="281">
        <f>SUM(J11:J24)</f>
        <v>273</v>
      </c>
      <c r="K25" s="280" t="s">
        <v>53</v>
      </c>
      <c r="L25" s="282" t="s">
        <v>53</v>
      </c>
      <c r="M25" s="283"/>
    </row>
    <row r="26" ht="19.15" customHeight="1" spans="1:13" x14ac:dyDescent="0.25">
      <c r="A26" s="51"/>
      <c r="B26" s="51"/>
      <c r="C26" s="51"/>
      <c r="D26" s="284"/>
      <c r="E26" s="285"/>
      <c r="F26" s="286"/>
      <c r="G26" s="282"/>
      <c r="H26" s="287"/>
      <c r="I26" s="287"/>
      <c r="J26" s="287"/>
      <c r="K26" s="282"/>
      <c r="L26" s="282"/>
      <c r="M26" s="288"/>
    </row>
    <row r="27" ht="19.15" customHeight="1" spans="1:13" x14ac:dyDescent="0.25">
      <c r="A27" s="51"/>
      <c r="B27" s="51"/>
      <c r="C27" s="51"/>
      <c r="D27" s="284"/>
      <c r="E27" s="285"/>
      <c r="F27" s="286"/>
      <c r="G27" s="282"/>
      <c r="H27" s="287"/>
      <c r="I27" s="287"/>
      <c r="J27" s="287"/>
      <c r="K27" s="282"/>
      <c r="L27" s="282"/>
      <c r="M27" s="288"/>
    </row>
    <row r="28" ht="19.15" customHeight="1" hidden="1" spans="1:13" x14ac:dyDescent="0.25">
      <c r="A28" s="51"/>
      <c r="B28" s="51"/>
      <c r="C28" s="51"/>
      <c r="D28" s="284"/>
      <c r="E28" s="285"/>
      <c r="F28" s="286"/>
      <c r="G28" s="282"/>
      <c r="H28" s="287"/>
      <c r="I28" s="287"/>
      <c r="J28" s="287"/>
      <c r="K28" s="282"/>
      <c r="L28" s="282"/>
      <c r="M28" s="288"/>
    </row>
    <row r="29" ht="19.15" customHeight="1" hidden="1" spans="1:13" x14ac:dyDescent="0.25">
      <c r="A29" s="51"/>
      <c r="B29" s="51"/>
      <c r="C29" s="51"/>
      <c r="D29" s="284"/>
      <c r="E29" s="285"/>
      <c r="F29" s="286"/>
      <c r="G29" s="282"/>
      <c r="H29" s="287"/>
      <c r="I29" s="287"/>
      <c r="J29" s="287"/>
      <c r="K29" s="282"/>
      <c r="L29" s="282"/>
      <c r="M29" s="288"/>
    </row>
    <row r="30" ht="19.15" customHeight="1" hidden="1" spans="1:13" x14ac:dyDescent="0.25">
      <c r="A30" s="51"/>
      <c r="B30" s="51"/>
      <c r="C30" s="51"/>
      <c r="D30" s="284"/>
      <c r="E30" s="285"/>
      <c r="F30" s="286"/>
      <c r="G30" s="282"/>
      <c r="H30" s="287"/>
      <c r="I30" s="287"/>
      <c r="J30" s="287"/>
      <c r="K30" s="282"/>
      <c r="L30" s="282"/>
      <c r="M30" s="288"/>
    </row>
    <row r="31" ht="19.15" customHeight="1" hidden="1" spans="1:13" x14ac:dyDescent="0.25">
      <c r="A31" s="51"/>
      <c r="B31" s="51"/>
      <c r="C31" s="51"/>
      <c r="D31" s="284"/>
      <c r="E31" s="285"/>
      <c r="F31" s="286"/>
      <c r="G31" s="227"/>
      <c r="H31" s="228"/>
      <c r="I31" s="289"/>
      <c r="J31" s="229"/>
      <c r="K31" s="227"/>
      <c r="L31" s="227"/>
      <c r="M31" s="288"/>
    </row>
    <row r="32" ht="19.15" customHeight="1" hidden="1" spans="1:13" x14ac:dyDescent="0.25">
      <c r="A32" s="51"/>
      <c r="B32" s="51"/>
      <c r="C32" s="51"/>
      <c r="D32" s="284"/>
      <c r="E32" s="285"/>
      <c r="F32" s="286"/>
      <c r="G32" s="227"/>
      <c r="H32" s="228"/>
      <c r="I32" s="289"/>
      <c r="J32" s="229"/>
      <c r="K32" s="227"/>
      <c r="L32" s="227"/>
      <c r="M32" s="288"/>
    </row>
    <row r="33" ht="15.95" customHeight="1" spans="1:13" x14ac:dyDescent="0.25">
      <c r="A33" s="290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</row>
    <row r="34" ht="15.95" customHeight="1" spans="1:13" x14ac:dyDescent="0.25">
      <c r="A34" s="292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</row>
    <row r="35" ht="15.95" customHeight="1" spans="1:13" x14ac:dyDescent="0.25">
      <c r="A35" s="292"/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</row>
    <row r="36" ht="15.95" customHeight="1" spans="1:13" x14ac:dyDescent="0.25">
      <c r="A36" s="292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</row>
    <row r="37" ht="15.95" customHeight="1" spans="1:13" x14ac:dyDescent="0.25">
      <c r="A37" s="292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</row>
    <row r="38" ht="20.1" customHeight="1" spans="1:13" x14ac:dyDescent="0.25">
      <c r="A38" s="200"/>
      <c r="B38" s="200"/>
      <c r="C38" s="200"/>
      <c r="G38" s="200"/>
      <c r="H38" s="200"/>
      <c r="I38" s="200"/>
      <c r="L38" s="200"/>
      <c r="M38" s="200"/>
    </row>
    <row r="39" spans="1:13" x14ac:dyDescent="0.25">
      <c r="A39" s="201" t="s">
        <v>22</v>
      </c>
      <c r="B39" s="201"/>
      <c r="C39" s="201"/>
      <c r="G39" s="201" t="s">
        <v>54</v>
      </c>
      <c r="H39" s="201"/>
      <c r="I39" s="201"/>
      <c r="L39" s="201" t="s">
        <v>23</v>
      </c>
      <c r="M39" s="201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4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A39:C39"/>
    <mergeCell ref="G39:I39"/>
    <mergeCell ref="L39:M39"/>
  </mergeCells>
  <printOptions horizontalCentered="1" verticalCentered="1"/>
  <pageMargins left="0.3937007874015748" right="0.3937007874015748" top="0.3937007874015748" bottom="0.1968503937007874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 zoomScale="90" zoomScaleNormal="90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4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8" x14ac:dyDescent="0.25">
      <c r="A1" s="203" t="s">
        <v>24</v>
      </c>
      <c r="B1" s="203"/>
      <c r="C1" s="203"/>
      <c r="D1" s="203"/>
      <c r="E1" s="203"/>
      <c r="F1" s="203"/>
      <c r="G1" s="203"/>
      <c r="H1" s="203"/>
    </row>
    <row r="2" ht="18" customHeight="1" spans="1:8" x14ac:dyDescent="0.25">
      <c r="A2" s="294" t="s">
        <v>25</v>
      </c>
      <c r="B2" s="294"/>
      <c r="C2" s="294"/>
      <c r="D2" s="294"/>
      <c r="E2" s="294"/>
      <c r="F2" s="294"/>
      <c r="G2" s="294"/>
      <c r="H2" s="294"/>
    </row>
    <row r="3" ht="18" customHeight="1" spans="1:8" x14ac:dyDescent="0.25">
      <c r="A3" s="187"/>
      <c r="B3" s="187"/>
      <c r="C3" s="187"/>
      <c r="D3" s="187"/>
      <c r="E3" s="187"/>
      <c r="F3" s="151"/>
      <c r="G3" s="151"/>
      <c r="H3" s="151"/>
    </row>
    <row r="4" ht="15" customHeight="1" spans="1:8" x14ac:dyDescent="0.25">
      <c r="A4" s="3" t="s">
        <v>83</v>
      </c>
      <c r="B4" s="3" t="str">
        <f>'Final Work'!B4</f>
        <v>SAWASDEE ATLANTIC</v>
      </c>
      <c r="E4" s="295"/>
      <c r="F4" s="11" t="s">
        <v>84</v>
      </c>
      <c r="G4" s="256"/>
      <c r="H4" s="256"/>
    </row>
    <row r="5" ht="12.75" customHeight="1" spans="1:6" x14ac:dyDescent="0.25">
      <c r="A5" s="296"/>
      <c r="B5" s="295"/>
      <c r="E5" s="295"/>
      <c r="F5" s="8"/>
    </row>
    <row r="6" ht="15" customHeight="1" spans="1:7" x14ac:dyDescent="0.25">
      <c r="A6" s="3" t="s">
        <v>85</v>
      </c>
      <c r="B6" s="187" t="str">
        <f>'OS-IN'!H6</f>
        <v>2606N</v>
      </c>
      <c r="C6" s="187"/>
      <c r="E6" s="3" t="s">
        <v>86</v>
      </c>
      <c r="F6" s="11" t="s">
        <v>87</v>
      </c>
      <c r="G6" s="295" t="s">
        <v>25</v>
      </c>
    </row>
    <row r="7" ht="15.75" customHeight="1" spans="1:8" x14ac:dyDescent="0.25">
      <c r="A7" s="295" t="s">
        <v>86</v>
      </c>
      <c r="B7" s="295"/>
      <c r="F7" s="151"/>
      <c r="H7" s="295"/>
    </row>
    <row r="8" ht="30.75" customHeight="1" spans="2:8" x14ac:dyDescent="0.25">
      <c r="B8" s="297" t="s">
        <v>88</v>
      </c>
      <c r="C8" s="298"/>
      <c r="D8" s="298"/>
      <c r="E8" s="298"/>
      <c r="F8" s="298"/>
      <c r="G8" s="299"/>
      <c r="H8" s="151"/>
    </row>
    <row r="9" ht="17.25" customHeight="1" spans="8:8" x14ac:dyDescent="0.25">
      <c r="H9" s="187" t="s">
        <v>89</v>
      </c>
    </row>
    <row r="10" ht="24" customHeight="1" spans="1:8" x14ac:dyDescent="0.25">
      <c r="A10" s="300" t="s">
        <v>90</v>
      </c>
      <c r="B10" s="301"/>
      <c r="C10" s="302"/>
      <c r="D10" s="303" t="s">
        <v>91</v>
      </c>
      <c r="E10" s="300" t="s">
        <v>92</v>
      </c>
      <c r="F10" s="302"/>
      <c r="G10" s="209" t="s">
        <v>93</v>
      </c>
      <c r="H10" s="209" t="s">
        <v>49</v>
      </c>
    </row>
    <row r="11" ht="24" customHeight="1" spans="1:8" x14ac:dyDescent="0.25">
      <c r="A11" s="160" t="s">
        <v>94</v>
      </c>
      <c r="B11" s="161"/>
      <c r="C11" s="304" t="s">
        <v>95</v>
      </c>
      <c r="D11" s="305"/>
      <c r="E11" s="304" t="s">
        <v>94</v>
      </c>
      <c r="F11" s="304" t="s">
        <v>95</v>
      </c>
      <c r="G11" s="213"/>
      <c r="H11" s="213"/>
    </row>
    <row r="12" ht="24" customHeight="1" spans="1:8" x14ac:dyDescent="0.25">
      <c r="A12" s="306"/>
      <c r="B12" s="3"/>
      <c r="C12" s="87"/>
      <c r="D12" s="214"/>
      <c r="E12" s="214"/>
      <c r="F12" s="42"/>
      <c r="G12" s="214"/>
      <c r="H12" s="307"/>
    </row>
    <row r="13" ht="24" customHeight="1" spans="1:8" x14ac:dyDescent="0.25">
      <c r="A13" s="308"/>
      <c r="B13" s="3"/>
      <c r="C13" s="308"/>
      <c r="D13" s="227"/>
      <c r="E13" s="227"/>
      <c r="F13" s="55"/>
      <c r="G13" s="227"/>
      <c r="H13" s="308"/>
    </row>
    <row r="14" ht="24" customHeight="1" spans="1:8" x14ac:dyDescent="0.25">
      <c r="A14" s="308"/>
      <c r="B14" s="3"/>
      <c r="C14" s="308"/>
      <c r="D14" s="227"/>
      <c r="E14" s="227"/>
      <c r="F14" s="55"/>
      <c r="G14" s="227"/>
      <c r="H14" s="308"/>
    </row>
    <row r="15" ht="24" customHeight="1" spans="1:8" x14ac:dyDescent="0.25">
      <c r="A15" s="308"/>
      <c r="B15" s="3"/>
      <c r="C15" s="308"/>
      <c r="D15" s="227"/>
      <c r="E15" s="227"/>
      <c r="F15" s="55"/>
      <c r="G15" s="227"/>
      <c r="H15" s="308"/>
    </row>
    <row r="16" ht="24" customHeight="1" spans="1:8" x14ac:dyDescent="0.25">
      <c r="A16" s="308"/>
      <c r="B16" s="3"/>
      <c r="C16" s="308"/>
      <c r="D16" s="227"/>
      <c r="E16" s="227"/>
      <c r="F16" s="309"/>
      <c r="G16" s="227"/>
      <c r="H16" s="308"/>
    </row>
    <row r="17" ht="24" customHeight="1" spans="1:8" x14ac:dyDescent="0.25">
      <c r="A17" s="28"/>
      <c r="B17" s="3"/>
      <c r="C17" s="28"/>
      <c r="D17" s="28"/>
      <c r="E17" s="28"/>
      <c r="F17" s="310"/>
      <c r="G17" s="28"/>
      <c r="H17" s="28"/>
    </row>
    <row r="18" ht="24" customHeight="1" spans="1:8" x14ac:dyDescent="0.25">
      <c r="A18" s="308"/>
      <c r="B18" s="3"/>
      <c r="C18" s="308"/>
      <c r="D18" s="227"/>
      <c r="E18" s="227"/>
      <c r="F18" s="309"/>
      <c r="G18" s="227"/>
      <c r="H18" s="308"/>
    </row>
    <row r="19" ht="24" customHeight="1" spans="1:8" x14ac:dyDescent="0.25">
      <c r="A19" s="308"/>
      <c r="B19" s="3"/>
      <c r="C19" s="308"/>
      <c r="D19" s="227"/>
      <c r="E19" s="227"/>
      <c r="F19" s="309"/>
      <c r="G19" s="227"/>
      <c r="H19" s="308"/>
    </row>
    <row r="20" ht="24" customHeight="1" spans="1:8" x14ac:dyDescent="0.25">
      <c r="A20" s="308"/>
      <c r="B20" s="3"/>
      <c r="C20" s="308"/>
      <c r="D20" s="227"/>
      <c r="E20" s="227"/>
      <c r="F20" s="309"/>
      <c r="G20" s="227"/>
      <c r="H20" s="308"/>
    </row>
    <row r="21" ht="24" customHeight="1" spans="1:8" x14ac:dyDescent="0.25">
      <c r="A21" s="311"/>
      <c r="B21" s="3"/>
      <c r="C21" s="311"/>
      <c r="D21" s="312"/>
      <c r="E21" s="312"/>
      <c r="F21" s="313"/>
      <c r="G21" s="312"/>
      <c r="H21" s="311"/>
    </row>
    <row r="22" ht="24" customHeight="1" spans="1:8" x14ac:dyDescent="0.25">
      <c r="A22" s="314"/>
      <c r="B22" s="3"/>
      <c r="C22" s="314"/>
      <c r="D22" s="51"/>
      <c r="E22" s="51"/>
      <c r="F22" s="82"/>
      <c r="G22" s="51"/>
      <c r="H22" s="314"/>
    </row>
    <row r="23" ht="24" customHeight="1" spans="1:8" x14ac:dyDescent="0.25">
      <c r="A23" s="308"/>
      <c r="B23" s="3"/>
      <c r="C23" s="308"/>
      <c r="D23" s="227"/>
      <c r="E23" s="227"/>
      <c r="F23" s="55"/>
      <c r="G23" s="227"/>
      <c r="H23" s="308"/>
    </row>
    <row r="24" ht="24" customHeight="1" spans="1:8" x14ac:dyDescent="0.25">
      <c r="A24" s="308"/>
      <c r="B24" s="3"/>
      <c r="C24" s="308"/>
      <c r="D24" s="227"/>
      <c r="E24" s="227"/>
      <c r="F24" s="55"/>
      <c r="G24" s="227"/>
      <c r="H24" s="308"/>
    </row>
    <row r="25" ht="24" customHeight="1" spans="1:8" x14ac:dyDescent="0.25">
      <c r="A25" s="308"/>
      <c r="B25" s="3"/>
      <c r="C25" s="308"/>
      <c r="D25" s="227"/>
      <c r="E25" s="227"/>
      <c r="F25" s="55"/>
      <c r="G25" s="227"/>
      <c r="H25" s="308"/>
    </row>
    <row r="26" ht="24" customHeight="1" spans="1:8" x14ac:dyDescent="0.25">
      <c r="A26" s="315"/>
      <c r="B26" s="3"/>
      <c r="C26" s="315"/>
      <c r="D26" s="316"/>
      <c r="E26" s="316"/>
      <c r="F26" s="101"/>
      <c r="G26" s="316"/>
      <c r="H26" s="315"/>
    </row>
    <row r="27" ht="24" customHeight="1" spans="1:8" x14ac:dyDescent="0.25">
      <c r="A27" s="317"/>
      <c r="B27" s="3"/>
      <c r="C27" s="318"/>
      <c r="D27" s="318"/>
      <c r="E27" s="318"/>
      <c r="F27" s="318"/>
      <c r="G27" s="318"/>
      <c r="H27" s="318"/>
    </row>
    <row r="28" ht="24" customHeight="1" spans="1:8" x14ac:dyDescent="0.25">
      <c r="A28" s="319"/>
      <c r="B28" s="3"/>
      <c r="C28" s="308"/>
      <c r="D28" s="308"/>
      <c r="E28" s="308"/>
      <c r="F28" s="308"/>
      <c r="G28" s="308"/>
      <c r="H28" s="308"/>
    </row>
    <row r="29" ht="24" customHeight="1" spans="1:8" x14ac:dyDescent="0.25">
      <c r="A29" s="319"/>
      <c r="B29" s="3"/>
      <c r="C29" s="320"/>
      <c r="D29" s="320"/>
      <c r="E29" s="320"/>
      <c r="F29" s="320"/>
      <c r="G29" s="320"/>
      <c r="H29" s="320"/>
    </row>
    <row r="30" ht="24" customHeight="1" spans="1:8" x14ac:dyDescent="0.25">
      <c r="A30" s="319"/>
      <c r="B30" s="3"/>
      <c r="C30" s="320"/>
      <c r="D30" s="320"/>
      <c r="E30" s="320"/>
      <c r="F30" s="320"/>
      <c r="G30" s="320"/>
      <c r="H30" s="320"/>
    </row>
    <row r="31" ht="24" customHeight="1" spans="1:8" x14ac:dyDescent="0.25">
      <c r="A31" s="319"/>
      <c r="B31" s="3"/>
      <c r="C31" s="320"/>
      <c r="D31" s="320"/>
      <c r="E31" s="320"/>
      <c r="F31" s="320"/>
      <c r="G31" s="320"/>
      <c r="H31" s="320"/>
    </row>
    <row r="32" ht="9" customHeight="1" spans="1:8" x14ac:dyDescent="0.25">
      <c r="A32" s="3"/>
      <c r="B32" s="3"/>
      <c r="C32" s="3"/>
      <c r="D32" s="3"/>
      <c r="E32" s="3"/>
      <c r="F32" s="3"/>
      <c r="G32" s="3"/>
      <c r="H32" s="3"/>
    </row>
    <row r="33" ht="24" customHeight="1" spans="1:8" x14ac:dyDescent="0.25">
      <c r="A33" s="209" t="s">
        <v>96</v>
      </c>
      <c r="B33" s="206" t="s">
        <v>97</v>
      </c>
      <c r="C33" s="227"/>
      <c r="H33" s="3"/>
    </row>
    <row r="34" ht="24" customHeight="1" spans="1:8" x14ac:dyDescent="0.25">
      <c r="A34" s="321"/>
      <c r="B34" s="206" t="s">
        <v>98</v>
      </c>
      <c r="C34" s="227"/>
      <c r="H34" s="3"/>
    </row>
    <row r="35" ht="24" customHeight="1" spans="1:3" x14ac:dyDescent="0.25">
      <c r="A35" s="209" t="s">
        <v>99</v>
      </c>
      <c r="B35" s="206" t="s">
        <v>97</v>
      </c>
      <c r="C35" s="227"/>
    </row>
    <row r="36" ht="24" customHeight="1" spans="1:8" x14ac:dyDescent="0.25">
      <c r="A36" s="213"/>
      <c r="B36" s="210" t="s">
        <v>98</v>
      </c>
      <c r="C36" s="35"/>
      <c r="G36" s="200"/>
      <c r="H36" s="200"/>
    </row>
    <row r="37" ht="24" customHeight="1" spans="1:8" x14ac:dyDescent="0.25">
      <c r="A37" s="322" t="s">
        <v>100</v>
      </c>
      <c r="B37" s="323"/>
      <c r="C37" s="227">
        <f>SUM(C33:C36)</f>
        <v>0</v>
      </c>
      <c r="G37" s="201" t="s">
        <v>22</v>
      </c>
      <c r="H37" s="201"/>
    </row>
    <row r="38" ht="30" customHeight="1" spans="1:8" x14ac:dyDescent="0.25">
      <c r="A38" s="203" t="s">
        <v>24</v>
      </c>
      <c r="B38" s="203"/>
      <c r="C38" s="203"/>
      <c r="D38" s="203"/>
      <c r="E38" s="203"/>
      <c r="F38" s="203"/>
      <c r="G38" s="203"/>
      <c r="H38" s="203"/>
    </row>
    <row r="39" ht="18" customHeight="1" spans="1:8" x14ac:dyDescent="0.25">
      <c r="A39" s="294" t="s">
        <v>25</v>
      </c>
      <c r="B39" s="294"/>
      <c r="C39" s="294"/>
      <c r="D39" s="294"/>
      <c r="E39" s="294"/>
      <c r="F39" s="294"/>
      <c r="G39" s="294"/>
      <c r="H39" s="294"/>
    </row>
    <row r="40" ht="18" customHeight="1" spans="1:8" x14ac:dyDescent="0.25">
      <c r="A40" s="187"/>
      <c r="B40" s="187"/>
      <c r="C40" s="187"/>
      <c r="D40" s="187"/>
      <c r="E40" s="187"/>
      <c r="F40" s="151"/>
      <c r="G40" s="151"/>
      <c r="H40" s="151"/>
    </row>
    <row r="41" ht="15" customHeight="1" spans="1:8" x14ac:dyDescent="0.25">
      <c r="A41" s="3" t="s">
        <v>83</v>
      </c>
      <c r="B41" s="3" t="str">
        <f>모선이름</f>
        <v>SAWASDEE ATLANTIC</v>
      </c>
      <c r="E41" s="295"/>
      <c r="F41" s="11" t="s">
        <v>84</v>
      </c>
      <c r="G41" s="256">
        <f>'OS-OUT'!L6</f>
        <v>46225</v>
      </c>
      <c r="H41" s="256"/>
    </row>
    <row r="42" ht="12.75" customHeight="1" spans="1:6" x14ac:dyDescent="0.25">
      <c r="A42" s="296"/>
      <c r="B42" s="295"/>
      <c r="E42" s="295"/>
      <c r="F42" s="8"/>
    </row>
    <row r="43" ht="15" customHeight="1" spans="1:7" x14ac:dyDescent="0.25">
      <c r="A43" s="3" t="s">
        <v>85</v>
      </c>
      <c r="B43" s="187" t="str">
        <f>'OS-OUT'!H6</f>
        <v>2607S</v>
      </c>
      <c r="C43" s="187"/>
      <c r="E43" s="3" t="s">
        <v>86</v>
      </c>
      <c r="F43" s="11" t="s">
        <v>87</v>
      </c>
      <c r="G43" s="295" t="s">
        <v>25</v>
      </c>
    </row>
    <row r="44" ht="15.75" customHeight="1" spans="1:8" x14ac:dyDescent="0.25">
      <c r="A44" s="295" t="s">
        <v>86</v>
      </c>
      <c r="B44" s="295"/>
      <c r="F44" s="151"/>
      <c r="H44" s="295"/>
    </row>
    <row r="45" ht="30.75" customHeight="1" spans="2:8" x14ac:dyDescent="0.25">
      <c r="B45" s="297" t="s">
        <v>88</v>
      </c>
      <c r="C45" s="298"/>
      <c r="D45" s="298"/>
      <c r="E45" s="298"/>
      <c r="F45" s="298"/>
      <c r="G45" s="299"/>
      <c r="H45" s="324"/>
    </row>
    <row r="46" ht="17.25" customHeight="1" spans="8:8" x14ac:dyDescent="0.25">
      <c r="H46" s="187" t="s">
        <v>101</v>
      </c>
    </row>
    <row r="47" ht="24" customHeight="1" spans="1:8" x14ac:dyDescent="0.25">
      <c r="A47" s="300" t="s">
        <v>90</v>
      </c>
      <c r="B47" s="301"/>
      <c r="C47" s="302"/>
      <c r="D47" s="303" t="s">
        <v>91</v>
      </c>
      <c r="E47" s="300" t="s">
        <v>92</v>
      </c>
      <c r="F47" s="302"/>
      <c r="G47" s="209" t="s">
        <v>93</v>
      </c>
      <c r="H47" s="209" t="s">
        <v>49</v>
      </c>
    </row>
    <row r="48" ht="24" customHeight="1" spans="1:8" x14ac:dyDescent="0.25">
      <c r="A48" s="160" t="s">
        <v>94</v>
      </c>
      <c r="B48" s="161"/>
      <c r="C48" s="304" t="s">
        <v>95</v>
      </c>
      <c r="D48" s="305"/>
      <c r="E48" s="304" t="s">
        <v>94</v>
      </c>
      <c r="F48" s="304" t="s">
        <v>95</v>
      </c>
      <c r="G48" s="213"/>
      <c r="H48" s="213"/>
    </row>
    <row r="49" ht="24" customHeight="1" spans="1:8" x14ac:dyDescent="0.25">
      <c r="A49" s="306" t="s">
        <v>102</v>
      </c>
      <c r="B49" s="306"/>
      <c r="C49" s="325" t="s">
        <v>103</v>
      </c>
      <c r="D49" s="306" t="s">
        <v>13</v>
      </c>
      <c r="E49" s="306"/>
      <c r="F49" s="326" t="s">
        <v>104</v>
      </c>
      <c r="G49" s="306"/>
      <c r="H49" s="306" t="s">
        <v>105</v>
      </c>
    </row>
    <row r="50" ht="24" customHeight="1" spans="1:8" x14ac:dyDescent="0.25">
      <c r="A50" s="327"/>
      <c r="B50" s="327"/>
      <c r="C50" s="328"/>
      <c r="D50" s="327"/>
      <c r="E50" s="327"/>
      <c r="F50" s="329"/>
      <c r="G50" s="327"/>
      <c r="H50" s="327"/>
    </row>
    <row r="51" ht="24" customHeight="1" spans="1:8" x14ac:dyDescent="0.25">
      <c r="A51" s="327"/>
      <c r="B51" s="327"/>
      <c r="C51" s="328"/>
      <c r="D51" s="327"/>
      <c r="E51" s="327"/>
      <c r="F51" s="329"/>
      <c r="G51" s="327"/>
      <c r="H51" s="327"/>
    </row>
    <row r="52" ht="24" customHeight="1" spans="1:8" x14ac:dyDescent="0.25">
      <c r="A52" s="227"/>
      <c r="B52" s="227"/>
      <c r="C52" s="330"/>
      <c r="D52" s="227"/>
      <c r="E52" s="227"/>
      <c r="F52" s="331"/>
      <c r="G52" s="227"/>
      <c r="H52" s="227"/>
    </row>
    <row r="53" ht="24" customHeight="1" spans="1:8" x14ac:dyDescent="0.25">
      <c r="A53" s="332"/>
      <c r="B53" s="332"/>
      <c r="C53" s="332"/>
      <c r="D53" s="312"/>
      <c r="E53" s="312"/>
      <c r="F53" s="333"/>
      <c r="G53" s="312"/>
      <c r="H53" s="312"/>
    </row>
    <row r="54" ht="24" customHeight="1" spans="1:8" x14ac:dyDescent="0.25">
      <c r="A54" s="334"/>
      <c r="B54" s="334"/>
      <c r="C54" s="334"/>
      <c r="D54" s="86"/>
      <c r="E54" s="86"/>
      <c r="F54" s="335"/>
      <c r="G54" s="86"/>
      <c r="H54" s="86"/>
    </row>
    <row r="55" ht="24" customHeight="1" spans="1:8" x14ac:dyDescent="0.25">
      <c r="A55" s="336"/>
      <c r="B55" s="336"/>
      <c r="C55" s="336"/>
      <c r="D55" s="227"/>
      <c r="E55" s="227"/>
      <c r="F55" s="331"/>
      <c r="G55" s="227"/>
      <c r="H55" s="227"/>
    </row>
    <row r="56" ht="24" customHeight="1" spans="1:8" x14ac:dyDescent="0.25">
      <c r="A56" s="337"/>
      <c r="B56" s="338"/>
      <c r="C56" s="336"/>
      <c r="D56" s="227"/>
      <c r="E56" s="227"/>
      <c r="F56" s="331"/>
      <c r="G56" s="227"/>
      <c r="H56" s="227"/>
    </row>
    <row r="57" ht="24" customHeight="1" spans="1:8" x14ac:dyDescent="0.25">
      <c r="A57" s="339"/>
      <c r="B57" s="340"/>
      <c r="C57" s="341"/>
      <c r="D57" s="227"/>
      <c r="E57" s="227"/>
      <c r="F57" s="331"/>
      <c r="G57" s="227"/>
      <c r="H57" s="227"/>
    </row>
    <row r="58" ht="24" customHeight="1" spans="1:8" x14ac:dyDescent="0.25">
      <c r="A58" s="312"/>
      <c r="B58" s="312"/>
      <c r="C58" s="342"/>
      <c r="D58" s="312"/>
      <c r="E58" s="312"/>
      <c r="F58" s="312"/>
      <c r="G58" s="312"/>
      <c r="H58" s="312"/>
    </row>
    <row r="59" ht="24" customHeight="1" spans="1:8" x14ac:dyDescent="0.25">
      <c r="A59" s="51"/>
      <c r="B59" s="51"/>
      <c r="C59" s="343"/>
      <c r="D59" s="51"/>
      <c r="E59" s="51"/>
      <c r="F59" s="51"/>
      <c r="G59" s="51"/>
      <c r="H59" s="51"/>
    </row>
    <row r="60" ht="24" customHeight="1" spans="1:8" x14ac:dyDescent="0.25">
      <c r="A60" s="227"/>
      <c r="B60" s="227"/>
      <c r="C60" s="344"/>
      <c r="D60" s="227"/>
      <c r="E60" s="227"/>
      <c r="F60" s="227"/>
      <c r="G60" s="227"/>
      <c r="H60" s="227"/>
    </row>
    <row r="61" ht="24" customHeight="1" spans="1:8" x14ac:dyDescent="0.25">
      <c r="A61" s="345"/>
      <c r="B61" s="345"/>
      <c r="C61" s="346"/>
      <c r="D61" s="227"/>
      <c r="E61" s="345"/>
      <c r="F61" s="345"/>
      <c r="G61" s="345"/>
      <c r="H61" s="345"/>
    </row>
    <row r="62" ht="24" customHeight="1" spans="1:8" x14ac:dyDescent="0.25">
      <c r="A62" s="345"/>
      <c r="B62" s="345"/>
      <c r="C62" s="346"/>
      <c r="D62" s="227"/>
      <c r="E62" s="345"/>
      <c r="F62" s="345"/>
      <c r="G62" s="345"/>
      <c r="H62" s="345"/>
    </row>
    <row r="63" ht="24" customHeight="1" spans="1:8" x14ac:dyDescent="0.25">
      <c r="A63" s="347"/>
      <c r="B63" s="347"/>
      <c r="C63" s="348"/>
      <c r="D63" s="312"/>
      <c r="E63" s="347"/>
      <c r="F63" s="347"/>
      <c r="G63" s="347"/>
      <c r="H63" s="347"/>
    </row>
    <row r="64" ht="24" customHeight="1" spans="1:8" x14ac:dyDescent="0.25">
      <c r="A64" s="349"/>
      <c r="B64" s="349"/>
      <c r="C64" s="350"/>
      <c r="D64" s="28"/>
      <c r="E64" s="349"/>
      <c r="F64" s="349"/>
      <c r="G64" s="349"/>
      <c r="H64" s="349"/>
    </row>
    <row r="65" ht="24" customHeight="1" spans="1:8" x14ac:dyDescent="0.25">
      <c r="A65" s="345"/>
      <c r="B65" s="345"/>
      <c r="C65" s="346"/>
      <c r="D65" s="227"/>
      <c r="E65" s="345"/>
      <c r="F65" s="345"/>
      <c r="G65" s="345"/>
      <c r="H65" s="345"/>
    </row>
    <row r="66" ht="24" customHeight="1" spans="1:8" x14ac:dyDescent="0.25">
      <c r="A66" s="345"/>
      <c r="B66" s="345"/>
      <c r="C66" s="346"/>
      <c r="D66" s="227"/>
      <c r="E66" s="345"/>
      <c r="F66" s="345"/>
      <c r="G66" s="345"/>
      <c r="H66" s="345"/>
    </row>
    <row r="67" ht="24" customHeight="1" spans="1:8" x14ac:dyDescent="0.25">
      <c r="A67" s="345"/>
      <c r="B67" s="345"/>
      <c r="C67" s="346"/>
      <c r="D67" s="345"/>
      <c r="E67" s="345"/>
      <c r="F67" s="345"/>
      <c r="G67" s="345"/>
      <c r="H67" s="345"/>
    </row>
    <row r="68" ht="24" customHeight="1" spans="1:8" x14ac:dyDescent="0.25">
      <c r="A68" s="345"/>
      <c r="B68" s="345"/>
      <c r="C68" s="346"/>
      <c r="D68" s="345"/>
      <c r="E68" s="345"/>
      <c r="F68" s="346"/>
      <c r="G68" s="345"/>
      <c r="H68" s="345"/>
    </row>
    <row r="69" ht="9" customHeight="1" spans="8:8" x14ac:dyDescent="0.25">
      <c r="H69" s="3"/>
    </row>
    <row r="70" ht="24" customHeight="1" spans="1:8" x14ac:dyDescent="0.25">
      <c r="A70" s="209" t="s">
        <v>96</v>
      </c>
      <c r="B70" s="271" t="s">
        <v>98</v>
      </c>
      <c r="C70" s="267">
        <v>1</v>
      </c>
      <c r="H70" s="3"/>
    </row>
    <row r="71" ht="24" customHeight="1" spans="1:8" x14ac:dyDescent="0.25">
      <c r="A71" s="321"/>
      <c r="B71" s="271" t="s">
        <v>97</v>
      </c>
      <c r="C71" s="267"/>
      <c r="H71" s="3"/>
    </row>
    <row r="72" ht="24" customHeight="1" spans="1:3" x14ac:dyDescent="0.25">
      <c r="A72" s="209" t="s">
        <v>99</v>
      </c>
      <c r="B72" s="271" t="s">
        <v>98</v>
      </c>
      <c r="C72" s="267"/>
    </row>
    <row r="73" ht="24" customHeight="1" spans="1:8" x14ac:dyDescent="0.25">
      <c r="A73" s="213"/>
      <c r="B73" s="210" t="s">
        <v>97</v>
      </c>
      <c r="C73" s="35"/>
      <c r="G73" s="200"/>
      <c r="H73" s="200"/>
    </row>
    <row r="74" ht="24" customHeight="1" spans="1:8" x14ac:dyDescent="0.25">
      <c r="A74" s="322" t="s">
        <v>100</v>
      </c>
      <c r="B74" s="323"/>
      <c r="C74" s="267">
        <f>SUM(C70:C73)</f>
        <v>1</v>
      </c>
      <c r="G74" s="201" t="s">
        <v>22</v>
      </c>
      <c r="H74" s="201"/>
    </row>
  </sheetData>
  <mergeCells count="50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2755905511811024" header="0.1968503937007874" footer="0.15748031496062992"/>
  <pageSetup paperSize="9" orientation="portrait" horizontalDpi="4294967295" verticalDpi="4294967295" scale="94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53" width="9" style="1" customWidth="1"/>
    <col min="254" max="254" width="13.875" style="1" customWidth="1"/>
    <col min="255" max="255" width="9.875" style="1" customWidth="1"/>
    <col min="256" max="256" width="8.375" style="1" customWidth="1"/>
    <col min="257" max="257" width="8.25" style="1" customWidth="1"/>
    <col min="258" max="258" width="5.625" style="1" customWidth="1"/>
    <col min="259" max="260" width="8.375" style="1" customWidth="1"/>
    <col min="261" max="261" width="11.125" style="1" customWidth="1"/>
    <col min="262" max="262" width="11.625" style="1" customWidth="1"/>
    <col min="263" max="509" width="9" style="1" customWidth="1"/>
    <col min="510" max="510" width="13.875" style="1" customWidth="1"/>
    <col min="511" max="511" width="9.875" style="1" customWidth="1"/>
    <col min="512" max="512" width="8.375" style="1" customWidth="1"/>
    <col min="513" max="513" width="8.25" style="1" customWidth="1"/>
    <col min="514" max="514" width="5.625" style="1" customWidth="1"/>
    <col min="515" max="516" width="8.375" style="1" customWidth="1"/>
    <col min="517" max="517" width="11.125" style="1" customWidth="1"/>
    <col min="518" max="518" width="11.625" style="1" customWidth="1"/>
    <col min="519" max="765" width="9" style="1" customWidth="1"/>
    <col min="766" max="766" width="13.875" style="1" customWidth="1"/>
    <col min="767" max="767" width="9.875" style="1" customWidth="1"/>
    <col min="768" max="768" width="8.375" style="1" customWidth="1"/>
    <col min="769" max="769" width="8.25" style="1" customWidth="1"/>
    <col min="770" max="770" width="5.625" style="1" customWidth="1"/>
    <col min="771" max="772" width="8.375" style="1" customWidth="1"/>
    <col min="773" max="773" width="11.125" style="1" customWidth="1"/>
    <col min="774" max="774" width="11.625" style="1" customWidth="1"/>
    <col min="775" max="1021" width="9" style="1" customWidth="1"/>
    <col min="1022" max="1022" width="13.875" style="1" customWidth="1"/>
    <col min="1023" max="1023" width="9.875" style="1" customWidth="1"/>
    <col min="1024" max="1024" width="8.375" style="1" customWidth="1"/>
    <col min="1025" max="1025" width="8.25" style="1" customWidth="1"/>
    <col min="1026" max="1026" width="5.625" style="1" customWidth="1"/>
    <col min="1027" max="1028" width="8.375" style="1" customWidth="1"/>
    <col min="1029" max="1029" width="11.125" style="1" customWidth="1"/>
    <col min="1030" max="1030" width="11.625" style="1" customWidth="1"/>
    <col min="1031" max="1277" width="9" style="1" customWidth="1"/>
    <col min="1278" max="1278" width="13.875" style="1" customWidth="1"/>
    <col min="1279" max="1279" width="9.875" style="1" customWidth="1"/>
    <col min="1280" max="1280" width="8.375" style="1" customWidth="1"/>
    <col min="1281" max="1281" width="8.25" style="1" customWidth="1"/>
    <col min="1282" max="1282" width="5.625" style="1" customWidth="1"/>
    <col min="1283" max="1284" width="8.375" style="1" customWidth="1"/>
    <col min="1285" max="1285" width="11.125" style="1" customWidth="1"/>
    <col min="1286" max="1286" width="11.625" style="1" customWidth="1"/>
    <col min="1287" max="1533" width="9" style="1" customWidth="1"/>
    <col min="1534" max="1534" width="13.875" style="1" customWidth="1"/>
    <col min="1535" max="1535" width="9.875" style="1" customWidth="1"/>
    <col min="1536" max="1536" width="8.375" style="1" customWidth="1"/>
    <col min="1537" max="1537" width="8.25" style="1" customWidth="1"/>
    <col min="1538" max="1538" width="5.625" style="1" customWidth="1"/>
    <col min="1539" max="1540" width="8.375" style="1" customWidth="1"/>
    <col min="1541" max="1541" width="11.125" style="1" customWidth="1"/>
    <col min="1542" max="1542" width="11.625" style="1" customWidth="1"/>
    <col min="1543" max="1789" width="9" style="1" customWidth="1"/>
    <col min="1790" max="1790" width="13.875" style="1" customWidth="1"/>
    <col min="1791" max="1791" width="9.875" style="1" customWidth="1"/>
    <col min="1792" max="1792" width="8.375" style="1" customWidth="1"/>
    <col min="1793" max="1793" width="8.25" style="1" customWidth="1"/>
    <col min="1794" max="1794" width="5.625" style="1" customWidth="1"/>
    <col min="1795" max="1796" width="8.375" style="1" customWidth="1"/>
    <col min="1797" max="1797" width="11.125" style="1" customWidth="1"/>
    <col min="1798" max="1798" width="11.625" style="1" customWidth="1"/>
    <col min="1799" max="2045" width="9" style="1" customWidth="1"/>
    <col min="2046" max="2046" width="13.875" style="1" customWidth="1"/>
    <col min="2047" max="2047" width="9.875" style="1" customWidth="1"/>
    <col min="2048" max="2048" width="8.375" style="1" customWidth="1"/>
    <col min="2049" max="2049" width="8.25" style="1" customWidth="1"/>
    <col min="2050" max="2050" width="5.625" style="1" customWidth="1"/>
    <col min="2051" max="2052" width="8.375" style="1" customWidth="1"/>
    <col min="2053" max="2053" width="11.125" style="1" customWidth="1"/>
    <col min="2054" max="2054" width="11.625" style="1" customWidth="1"/>
    <col min="2055" max="2301" width="9" style="1" customWidth="1"/>
    <col min="2302" max="2302" width="13.875" style="1" customWidth="1"/>
    <col min="2303" max="2303" width="9.875" style="1" customWidth="1"/>
    <col min="2304" max="2304" width="8.375" style="1" customWidth="1"/>
    <col min="2305" max="2305" width="8.25" style="1" customWidth="1"/>
    <col min="2306" max="2306" width="5.625" style="1" customWidth="1"/>
    <col min="2307" max="2308" width="8.375" style="1" customWidth="1"/>
    <col min="2309" max="2309" width="11.125" style="1" customWidth="1"/>
    <col min="2310" max="2310" width="11.625" style="1" customWidth="1"/>
    <col min="2311" max="2557" width="9" style="1" customWidth="1"/>
    <col min="2558" max="2558" width="13.875" style="1" customWidth="1"/>
    <col min="2559" max="2559" width="9.875" style="1" customWidth="1"/>
    <col min="2560" max="2560" width="8.375" style="1" customWidth="1"/>
    <col min="2561" max="2561" width="8.25" style="1" customWidth="1"/>
    <col min="2562" max="2562" width="5.625" style="1" customWidth="1"/>
    <col min="2563" max="2564" width="8.375" style="1" customWidth="1"/>
    <col min="2565" max="2565" width="11.125" style="1" customWidth="1"/>
    <col min="2566" max="2566" width="11.625" style="1" customWidth="1"/>
    <col min="2567" max="2813" width="9" style="1" customWidth="1"/>
    <col min="2814" max="2814" width="13.875" style="1" customWidth="1"/>
    <col min="2815" max="2815" width="9.875" style="1" customWidth="1"/>
    <col min="2816" max="2816" width="8.375" style="1" customWidth="1"/>
    <col min="2817" max="2817" width="8.25" style="1" customWidth="1"/>
    <col min="2818" max="2818" width="5.625" style="1" customWidth="1"/>
    <col min="2819" max="2820" width="8.375" style="1" customWidth="1"/>
    <col min="2821" max="2821" width="11.125" style="1" customWidth="1"/>
    <col min="2822" max="2822" width="11.625" style="1" customWidth="1"/>
    <col min="2823" max="3069" width="9" style="1" customWidth="1"/>
    <col min="3070" max="3070" width="13.875" style="1" customWidth="1"/>
    <col min="3071" max="3071" width="9.875" style="1" customWidth="1"/>
    <col min="3072" max="3072" width="8.375" style="1" customWidth="1"/>
    <col min="3073" max="3073" width="8.25" style="1" customWidth="1"/>
    <col min="3074" max="3074" width="5.625" style="1" customWidth="1"/>
    <col min="3075" max="3076" width="8.375" style="1" customWidth="1"/>
    <col min="3077" max="3077" width="11.125" style="1" customWidth="1"/>
    <col min="3078" max="3078" width="11.625" style="1" customWidth="1"/>
    <col min="3079" max="3325" width="9" style="1" customWidth="1"/>
    <col min="3326" max="3326" width="13.875" style="1" customWidth="1"/>
    <col min="3327" max="3327" width="9.875" style="1" customWidth="1"/>
    <col min="3328" max="3328" width="8.375" style="1" customWidth="1"/>
    <col min="3329" max="3329" width="8.25" style="1" customWidth="1"/>
    <col min="3330" max="3330" width="5.625" style="1" customWidth="1"/>
    <col min="3331" max="3332" width="8.375" style="1" customWidth="1"/>
    <col min="3333" max="3333" width="11.125" style="1" customWidth="1"/>
    <col min="3334" max="3334" width="11.625" style="1" customWidth="1"/>
    <col min="3335" max="3581" width="9" style="1" customWidth="1"/>
    <col min="3582" max="3582" width="13.875" style="1" customWidth="1"/>
    <col min="3583" max="3583" width="9.875" style="1" customWidth="1"/>
    <col min="3584" max="3584" width="8.375" style="1" customWidth="1"/>
    <col min="3585" max="3585" width="8.25" style="1" customWidth="1"/>
    <col min="3586" max="3586" width="5.625" style="1" customWidth="1"/>
    <col min="3587" max="3588" width="8.375" style="1" customWidth="1"/>
    <col min="3589" max="3589" width="11.125" style="1" customWidth="1"/>
    <col min="3590" max="3590" width="11.625" style="1" customWidth="1"/>
    <col min="3591" max="3837" width="9" style="1" customWidth="1"/>
    <col min="3838" max="3838" width="13.875" style="1" customWidth="1"/>
    <col min="3839" max="3839" width="9.875" style="1" customWidth="1"/>
    <col min="3840" max="3840" width="8.375" style="1" customWidth="1"/>
    <col min="3841" max="3841" width="8.25" style="1" customWidth="1"/>
    <col min="3842" max="3842" width="5.625" style="1" customWidth="1"/>
    <col min="3843" max="3844" width="8.375" style="1" customWidth="1"/>
    <col min="3845" max="3845" width="11.125" style="1" customWidth="1"/>
    <col min="3846" max="3846" width="11.625" style="1" customWidth="1"/>
    <col min="3847" max="4093" width="9" style="1" customWidth="1"/>
    <col min="4094" max="4094" width="13.875" style="1" customWidth="1"/>
    <col min="4095" max="4095" width="9.875" style="1" customWidth="1"/>
    <col min="4096" max="4096" width="8.375" style="1" customWidth="1"/>
    <col min="4097" max="4097" width="8.25" style="1" customWidth="1"/>
    <col min="4098" max="4098" width="5.625" style="1" customWidth="1"/>
    <col min="4099" max="4100" width="8.375" style="1" customWidth="1"/>
    <col min="4101" max="4101" width="11.125" style="1" customWidth="1"/>
    <col min="4102" max="4102" width="11.625" style="1" customWidth="1"/>
    <col min="4103" max="4349" width="9" style="1" customWidth="1"/>
    <col min="4350" max="4350" width="13.875" style="1" customWidth="1"/>
    <col min="4351" max="4351" width="9.875" style="1" customWidth="1"/>
    <col min="4352" max="4352" width="8.375" style="1" customWidth="1"/>
    <col min="4353" max="4353" width="8.25" style="1" customWidth="1"/>
    <col min="4354" max="4354" width="5.625" style="1" customWidth="1"/>
    <col min="4355" max="4356" width="8.375" style="1" customWidth="1"/>
    <col min="4357" max="4357" width="11.125" style="1" customWidth="1"/>
    <col min="4358" max="4358" width="11.625" style="1" customWidth="1"/>
    <col min="4359" max="4605" width="9" style="1" customWidth="1"/>
    <col min="4606" max="4606" width="13.875" style="1" customWidth="1"/>
    <col min="4607" max="4607" width="9.875" style="1" customWidth="1"/>
    <col min="4608" max="4608" width="8.375" style="1" customWidth="1"/>
    <col min="4609" max="4609" width="8.25" style="1" customWidth="1"/>
    <col min="4610" max="4610" width="5.625" style="1" customWidth="1"/>
    <col min="4611" max="4612" width="8.375" style="1" customWidth="1"/>
    <col min="4613" max="4613" width="11.125" style="1" customWidth="1"/>
    <col min="4614" max="4614" width="11.625" style="1" customWidth="1"/>
    <col min="4615" max="4861" width="9" style="1" customWidth="1"/>
    <col min="4862" max="4862" width="13.875" style="1" customWidth="1"/>
    <col min="4863" max="4863" width="9.875" style="1" customWidth="1"/>
    <col min="4864" max="4864" width="8.375" style="1" customWidth="1"/>
    <col min="4865" max="4865" width="8.25" style="1" customWidth="1"/>
    <col min="4866" max="4866" width="5.625" style="1" customWidth="1"/>
    <col min="4867" max="4868" width="8.375" style="1" customWidth="1"/>
    <col min="4869" max="4869" width="11.125" style="1" customWidth="1"/>
    <col min="4870" max="4870" width="11.625" style="1" customWidth="1"/>
    <col min="4871" max="5117" width="9" style="1" customWidth="1"/>
    <col min="5118" max="5118" width="13.875" style="1" customWidth="1"/>
    <col min="5119" max="5119" width="9.875" style="1" customWidth="1"/>
    <col min="5120" max="5120" width="8.375" style="1" customWidth="1"/>
    <col min="5121" max="5121" width="8.25" style="1" customWidth="1"/>
    <col min="5122" max="5122" width="5.625" style="1" customWidth="1"/>
    <col min="5123" max="5124" width="8.375" style="1" customWidth="1"/>
    <col min="5125" max="5125" width="11.125" style="1" customWidth="1"/>
    <col min="5126" max="5126" width="11.625" style="1" customWidth="1"/>
    <col min="5127" max="5373" width="9" style="1" customWidth="1"/>
    <col min="5374" max="5374" width="13.875" style="1" customWidth="1"/>
    <col min="5375" max="5375" width="9.875" style="1" customWidth="1"/>
    <col min="5376" max="5376" width="8.375" style="1" customWidth="1"/>
    <col min="5377" max="5377" width="8.25" style="1" customWidth="1"/>
    <col min="5378" max="5378" width="5.625" style="1" customWidth="1"/>
    <col min="5379" max="5380" width="8.375" style="1" customWidth="1"/>
    <col min="5381" max="5381" width="11.125" style="1" customWidth="1"/>
    <col min="5382" max="5382" width="11.625" style="1" customWidth="1"/>
    <col min="5383" max="5629" width="9" style="1" customWidth="1"/>
    <col min="5630" max="5630" width="13.875" style="1" customWidth="1"/>
    <col min="5631" max="5631" width="9.875" style="1" customWidth="1"/>
    <col min="5632" max="5632" width="8.375" style="1" customWidth="1"/>
    <col min="5633" max="5633" width="8.25" style="1" customWidth="1"/>
    <col min="5634" max="5634" width="5.625" style="1" customWidth="1"/>
    <col min="5635" max="5636" width="8.375" style="1" customWidth="1"/>
    <col min="5637" max="5637" width="11.125" style="1" customWidth="1"/>
    <col min="5638" max="5638" width="11.625" style="1" customWidth="1"/>
    <col min="5639" max="5885" width="9" style="1" customWidth="1"/>
    <col min="5886" max="5886" width="13.875" style="1" customWidth="1"/>
    <col min="5887" max="5887" width="9.875" style="1" customWidth="1"/>
    <col min="5888" max="5888" width="8.375" style="1" customWidth="1"/>
    <col min="5889" max="5889" width="8.25" style="1" customWidth="1"/>
    <col min="5890" max="5890" width="5.625" style="1" customWidth="1"/>
    <col min="5891" max="5892" width="8.375" style="1" customWidth="1"/>
    <col min="5893" max="5893" width="11.125" style="1" customWidth="1"/>
    <col min="5894" max="5894" width="11.625" style="1" customWidth="1"/>
    <col min="5895" max="6141" width="9" style="1" customWidth="1"/>
    <col min="6142" max="6142" width="13.875" style="1" customWidth="1"/>
    <col min="6143" max="6143" width="9.875" style="1" customWidth="1"/>
    <col min="6144" max="6144" width="8.375" style="1" customWidth="1"/>
    <col min="6145" max="6145" width="8.25" style="1" customWidth="1"/>
    <col min="6146" max="6146" width="5.625" style="1" customWidth="1"/>
    <col min="6147" max="6148" width="8.375" style="1" customWidth="1"/>
    <col min="6149" max="6149" width="11.125" style="1" customWidth="1"/>
    <col min="6150" max="6150" width="11.625" style="1" customWidth="1"/>
    <col min="6151" max="6397" width="9" style="1" customWidth="1"/>
    <col min="6398" max="6398" width="13.875" style="1" customWidth="1"/>
    <col min="6399" max="6399" width="9.875" style="1" customWidth="1"/>
    <col min="6400" max="6400" width="8.375" style="1" customWidth="1"/>
    <col min="6401" max="6401" width="8.25" style="1" customWidth="1"/>
    <col min="6402" max="6402" width="5.625" style="1" customWidth="1"/>
    <col min="6403" max="6404" width="8.375" style="1" customWidth="1"/>
    <col min="6405" max="6405" width="11.125" style="1" customWidth="1"/>
    <col min="6406" max="6406" width="11.625" style="1" customWidth="1"/>
    <col min="6407" max="6653" width="9" style="1" customWidth="1"/>
    <col min="6654" max="6654" width="13.875" style="1" customWidth="1"/>
    <col min="6655" max="6655" width="9.875" style="1" customWidth="1"/>
    <col min="6656" max="6656" width="8.375" style="1" customWidth="1"/>
    <col min="6657" max="6657" width="8.25" style="1" customWidth="1"/>
    <col min="6658" max="6658" width="5.625" style="1" customWidth="1"/>
    <col min="6659" max="6660" width="8.375" style="1" customWidth="1"/>
    <col min="6661" max="6661" width="11.125" style="1" customWidth="1"/>
    <col min="6662" max="6662" width="11.625" style="1" customWidth="1"/>
    <col min="6663" max="6909" width="9" style="1" customWidth="1"/>
    <col min="6910" max="6910" width="13.875" style="1" customWidth="1"/>
    <col min="6911" max="6911" width="9.875" style="1" customWidth="1"/>
    <col min="6912" max="6912" width="8.375" style="1" customWidth="1"/>
    <col min="6913" max="6913" width="8.25" style="1" customWidth="1"/>
    <col min="6914" max="6914" width="5.625" style="1" customWidth="1"/>
    <col min="6915" max="6916" width="8.375" style="1" customWidth="1"/>
    <col min="6917" max="6917" width="11.125" style="1" customWidth="1"/>
    <col min="6918" max="6918" width="11.625" style="1" customWidth="1"/>
    <col min="6919" max="7165" width="9" style="1" customWidth="1"/>
    <col min="7166" max="7166" width="13.875" style="1" customWidth="1"/>
    <col min="7167" max="7167" width="9.875" style="1" customWidth="1"/>
    <col min="7168" max="7168" width="8.375" style="1" customWidth="1"/>
    <col min="7169" max="7169" width="8.25" style="1" customWidth="1"/>
    <col min="7170" max="7170" width="5.625" style="1" customWidth="1"/>
    <col min="7171" max="7172" width="8.375" style="1" customWidth="1"/>
    <col min="7173" max="7173" width="11.125" style="1" customWidth="1"/>
    <col min="7174" max="7174" width="11.625" style="1" customWidth="1"/>
    <col min="7175" max="7421" width="9" style="1" customWidth="1"/>
    <col min="7422" max="7422" width="13.875" style="1" customWidth="1"/>
    <col min="7423" max="7423" width="9.875" style="1" customWidth="1"/>
    <col min="7424" max="7424" width="8.375" style="1" customWidth="1"/>
    <col min="7425" max="7425" width="8.25" style="1" customWidth="1"/>
    <col min="7426" max="7426" width="5.625" style="1" customWidth="1"/>
    <col min="7427" max="7428" width="8.375" style="1" customWidth="1"/>
    <col min="7429" max="7429" width="11.125" style="1" customWidth="1"/>
    <col min="7430" max="7430" width="11.625" style="1" customWidth="1"/>
    <col min="7431" max="7677" width="9" style="1" customWidth="1"/>
    <col min="7678" max="7678" width="13.875" style="1" customWidth="1"/>
    <col min="7679" max="7679" width="9.875" style="1" customWidth="1"/>
    <col min="7680" max="7680" width="8.375" style="1" customWidth="1"/>
    <col min="7681" max="7681" width="8.25" style="1" customWidth="1"/>
    <col min="7682" max="7682" width="5.625" style="1" customWidth="1"/>
    <col min="7683" max="7684" width="8.375" style="1" customWidth="1"/>
    <col min="7685" max="7685" width="11.125" style="1" customWidth="1"/>
    <col min="7686" max="7686" width="11.625" style="1" customWidth="1"/>
    <col min="7687" max="7933" width="9" style="1" customWidth="1"/>
    <col min="7934" max="7934" width="13.875" style="1" customWidth="1"/>
    <col min="7935" max="7935" width="9.875" style="1" customWidth="1"/>
    <col min="7936" max="7936" width="8.375" style="1" customWidth="1"/>
    <col min="7937" max="7937" width="8.25" style="1" customWidth="1"/>
    <col min="7938" max="7938" width="5.625" style="1" customWidth="1"/>
    <col min="7939" max="7940" width="8.375" style="1" customWidth="1"/>
    <col min="7941" max="7941" width="11.125" style="1" customWidth="1"/>
    <col min="7942" max="7942" width="11.625" style="1" customWidth="1"/>
    <col min="7943" max="8189" width="9" style="1" customWidth="1"/>
    <col min="8190" max="8190" width="13.875" style="1" customWidth="1"/>
    <col min="8191" max="8191" width="9.875" style="1" customWidth="1"/>
    <col min="8192" max="8192" width="8.375" style="1" customWidth="1"/>
    <col min="8193" max="8193" width="8.25" style="1" customWidth="1"/>
    <col min="8194" max="8194" width="5.625" style="1" customWidth="1"/>
    <col min="8195" max="8196" width="8.375" style="1" customWidth="1"/>
    <col min="8197" max="8197" width="11.125" style="1" customWidth="1"/>
    <col min="8198" max="8198" width="11.625" style="1" customWidth="1"/>
    <col min="8199" max="8445" width="9" style="1" customWidth="1"/>
    <col min="8446" max="8446" width="13.875" style="1" customWidth="1"/>
    <col min="8447" max="8447" width="9.875" style="1" customWidth="1"/>
    <col min="8448" max="8448" width="8.375" style="1" customWidth="1"/>
    <col min="8449" max="8449" width="8.25" style="1" customWidth="1"/>
    <col min="8450" max="8450" width="5.625" style="1" customWidth="1"/>
    <col min="8451" max="8452" width="8.375" style="1" customWidth="1"/>
    <col min="8453" max="8453" width="11.125" style="1" customWidth="1"/>
    <col min="8454" max="8454" width="11.625" style="1" customWidth="1"/>
    <col min="8455" max="8701" width="9" style="1" customWidth="1"/>
    <col min="8702" max="8702" width="13.875" style="1" customWidth="1"/>
    <col min="8703" max="8703" width="9.875" style="1" customWidth="1"/>
    <col min="8704" max="8704" width="8.375" style="1" customWidth="1"/>
    <col min="8705" max="8705" width="8.25" style="1" customWidth="1"/>
    <col min="8706" max="8706" width="5.625" style="1" customWidth="1"/>
    <col min="8707" max="8708" width="8.375" style="1" customWidth="1"/>
    <col min="8709" max="8709" width="11.125" style="1" customWidth="1"/>
    <col min="8710" max="8710" width="11.625" style="1" customWidth="1"/>
    <col min="8711" max="8957" width="9" style="1" customWidth="1"/>
    <col min="8958" max="8958" width="13.875" style="1" customWidth="1"/>
    <col min="8959" max="8959" width="9.875" style="1" customWidth="1"/>
    <col min="8960" max="8960" width="8.375" style="1" customWidth="1"/>
    <col min="8961" max="8961" width="8.25" style="1" customWidth="1"/>
    <col min="8962" max="8962" width="5.625" style="1" customWidth="1"/>
    <col min="8963" max="8964" width="8.375" style="1" customWidth="1"/>
    <col min="8965" max="8965" width="11.125" style="1" customWidth="1"/>
    <col min="8966" max="8966" width="11.625" style="1" customWidth="1"/>
    <col min="8967" max="9213" width="9" style="1" customWidth="1"/>
    <col min="9214" max="9214" width="13.875" style="1" customWidth="1"/>
    <col min="9215" max="9215" width="9.875" style="1" customWidth="1"/>
    <col min="9216" max="9216" width="8.375" style="1" customWidth="1"/>
    <col min="9217" max="9217" width="8.25" style="1" customWidth="1"/>
    <col min="9218" max="9218" width="5.625" style="1" customWidth="1"/>
    <col min="9219" max="9220" width="8.375" style="1" customWidth="1"/>
    <col min="9221" max="9221" width="11.125" style="1" customWidth="1"/>
    <col min="9222" max="9222" width="11.625" style="1" customWidth="1"/>
    <col min="9223" max="9469" width="9" style="1" customWidth="1"/>
    <col min="9470" max="9470" width="13.875" style="1" customWidth="1"/>
    <col min="9471" max="9471" width="9.875" style="1" customWidth="1"/>
    <col min="9472" max="9472" width="8.375" style="1" customWidth="1"/>
    <col min="9473" max="9473" width="8.25" style="1" customWidth="1"/>
    <col min="9474" max="9474" width="5.625" style="1" customWidth="1"/>
    <col min="9475" max="9476" width="8.375" style="1" customWidth="1"/>
    <col min="9477" max="9477" width="11.125" style="1" customWidth="1"/>
    <col min="9478" max="9478" width="11.625" style="1" customWidth="1"/>
    <col min="9479" max="9725" width="9" style="1" customWidth="1"/>
    <col min="9726" max="9726" width="13.875" style="1" customWidth="1"/>
    <col min="9727" max="9727" width="9.875" style="1" customWidth="1"/>
    <col min="9728" max="9728" width="8.375" style="1" customWidth="1"/>
    <col min="9729" max="9729" width="8.25" style="1" customWidth="1"/>
    <col min="9730" max="9730" width="5.625" style="1" customWidth="1"/>
    <col min="9731" max="9732" width="8.375" style="1" customWidth="1"/>
    <col min="9733" max="9733" width="11.125" style="1" customWidth="1"/>
    <col min="9734" max="9734" width="11.625" style="1" customWidth="1"/>
    <col min="9735" max="9981" width="9" style="1" customWidth="1"/>
    <col min="9982" max="9982" width="13.875" style="1" customWidth="1"/>
    <col min="9983" max="9983" width="9.875" style="1" customWidth="1"/>
    <col min="9984" max="9984" width="8.375" style="1" customWidth="1"/>
    <col min="9985" max="9985" width="8.25" style="1" customWidth="1"/>
    <col min="9986" max="9986" width="5.625" style="1" customWidth="1"/>
    <col min="9987" max="9988" width="8.375" style="1" customWidth="1"/>
    <col min="9989" max="9989" width="11.125" style="1" customWidth="1"/>
    <col min="9990" max="9990" width="11.625" style="1" customWidth="1"/>
    <col min="9991" max="10237" width="9" style="1" customWidth="1"/>
    <col min="10238" max="10238" width="13.875" style="1" customWidth="1"/>
    <col min="10239" max="10239" width="9.875" style="1" customWidth="1"/>
    <col min="10240" max="10240" width="8.375" style="1" customWidth="1"/>
    <col min="10241" max="10241" width="8.25" style="1" customWidth="1"/>
    <col min="10242" max="10242" width="5.625" style="1" customWidth="1"/>
    <col min="10243" max="10244" width="8.375" style="1" customWidth="1"/>
    <col min="10245" max="10245" width="11.125" style="1" customWidth="1"/>
    <col min="10246" max="10246" width="11.625" style="1" customWidth="1"/>
    <col min="10247" max="10493" width="9" style="1" customWidth="1"/>
    <col min="10494" max="10494" width="13.875" style="1" customWidth="1"/>
    <col min="10495" max="10495" width="9.875" style="1" customWidth="1"/>
    <col min="10496" max="10496" width="8.375" style="1" customWidth="1"/>
    <col min="10497" max="10497" width="8.25" style="1" customWidth="1"/>
    <col min="10498" max="10498" width="5.625" style="1" customWidth="1"/>
    <col min="10499" max="10500" width="8.375" style="1" customWidth="1"/>
    <col min="10501" max="10501" width="11.125" style="1" customWidth="1"/>
    <col min="10502" max="10502" width="11.625" style="1" customWidth="1"/>
    <col min="10503" max="10749" width="9" style="1" customWidth="1"/>
    <col min="10750" max="10750" width="13.875" style="1" customWidth="1"/>
    <col min="10751" max="10751" width="9.875" style="1" customWidth="1"/>
    <col min="10752" max="10752" width="8.375" style="1" customWidth="1"/>
    <col min="10753" max="10753" width="8.25" style="1" customWidth="1"/>
    <col min="10754" max="10754" width="5.625" style="1" customWidth="1"/>
    <col min="10755" max="10756" width="8.375" style="1" customWidth="1"/>
    <col min="10757" max="10757" width="11.125" style="1" customWidth="1"/>
    <col min="10758" max="10758" width="11.625" style="1" customWidth="1"/>
    <col min="10759" max="11005" width="9" style="1" customWidth="1"/>
    <col min="11006" max="11006" width="13.875" style="1" customWidth="1"/>
    <col min="11007" max="11007" width="9.875" style="1" customWidth="1"/>
    <col min="11008" max="11008" width="8.375" style="1" customWidth="1"/>
    <col min="11009" max="11009" width="8.25" style="1" customWidth="1"/>
    <col min="11010" max="11010" width="5.625" style="1" customWidth="1"/>
    <col min="11011" max="11012" width="8.375" style="1" customWidth="1"/>
    <col min="11013" max="11013" width="11.125" style="1" customWidth="1"/>
    <col min="11014" max="11014" width="11.625" style="1" customWidth="1"/>
    <col min="11015" max="11261" width="9" style="1" customWidth="1"/>
    <col min="11262" max="11262" width="13.875" style="1" customWidth="1"/>
    <col min="11263" max="11263" width="9.875" style="1" customWidth="1"/>
    <col min="11264" max="11264" width="8.375" style="1" customWidth="1"/>
    <col min="11265" max="11265" width="8.25" style="1" customWidth="1"/>
    <col min="11266" max="11266" width="5.625" style="1" customWidth="1"/>
    <col min="11267" max="11268" width="8.375" style="1" customWidth="1"/>
    <col min="11269" max="11269" width="11.125" style="1" customWidth="1"/>
    <col min="11270" max="11270" width="11.625" style="1" customWidth="1"/>
    <col min="11271" max="11517" width="9" style="1" customWidth="1"/>
    <col min="11518" max="11518" width="13.875" style="1" customWidth="1"/>
    <col min="11519" max="11519" width="9.875" style="1" customWidth="1"/>
    <col min="11520" max="11520" width="8.375" style="1" customWidth="1"/>
    <col min="11521" max="11521" width="8.25" style="1" customWidth="1"/>
    <col min="11522" max="11522" width="5.625" style="1" customWidth="1"/>
    <col min="11523" max="11524" width="8.375" style="1" customWidth="1"/>
    <col min="11525" max="11525" width="11.125" style="1" customWidth="1"/>
    <col min="11526" max="11526" width="11.625" style="1" customWidth="1"/>
    <col min="11527" max="11773" width="9" style="1" customWidth="1"/>
    <col min="11774" max="11774" width="13.875" style="1" customWidth="1"/>
    <col min="11775" max="11775" width="9.875" style="1" customWidth="1"/>
    <col min="11776" max="11776" width="8.375" style="1" customWidth="1"/>
    <col min="11777" max="11777" width="8.25" style="1" customWidth="1"/>
    <col min="11778" max="11778" width="5.625" style="1" customWidth="1"/>
    <col min="11779" max="11780" width="8.375" style="1" customWidth="1"/>
    <col min="11781" max="11781" width="11.125" style="1" customWidth="1"/>
    <col min="11782" max="11782" width="11.625" style="1" customWidth="1"/>
    <col min="11783" max="12029" width="9" style="1" customWidth="1"/>
    <col min="12030" max="12030" width="13.875" style="1" customWidth="1"/>
    <col min="12031" max="12031" width="9.875" style="1" customWidth="1"/>
    <col min="12032" max="12032" width="8.375" style="1" customWidth="1"/>
    <col min="12033" max="12033" width="8.25" style="1" customWidth="1"/>
    <col min="12034" max="12034" width="5.625" style="1" customWidth="1"/>
    <col min="12035" max="12036" width="8.375" style="1" customWidth="1"/>
    <col min="12037" max="12037" width="11.125" style="1" customWidth="1"/>
    <col min="12038" max="12038" width="11.625" style="1" customWidth="1"/>
    <col min="12039" max="12285" width="9" style="1" customWidth="1"/>
    <col min="12286" max="12286" width="13.875" style="1" customWidth="1"/>
    <col min="12287" max="12287" width="9.875" style="1" customWidth="1"/>
    <col min="12288" max="12288" width="8.375" style="1" customWidth="1"/>
    <col min="12289" max="12289" width="8.25" style="1" customWidth="1"/>
    <col min="12290" max="12290" width="5.625" style="1" customWidth="1"/>
    <col min="12291" max="12292" width="8.375" style="1" customWidth="1"/>
    <col min="12293" max="12293" width="11.125" style="1" customWidth="1"/>
    <col min="12294" max="12294" width="11.625" style="1" customWidth="1"/>
    <col min="12295" max="12541" width="9" style="1" customWidth="1"/>
    <col min="12542" max="12542" width="13.875" style="1" customWidth="1"/>
    <col min="12543" max="12543" width="9.875" style="1" customWidth="1"/>
    <col min="12544" max="12544" width="8.375" style="1" customWidth="1"/>
    <col min="12545" max="12545" width="8.25" style="1" customWidth="1"/>
    <col min="12546" max="12546" width="5.625" style="1" customWidth="1"/>
    <col min="12547" max="12548" width="8.375" style="1" customWidth="1"/>
    <col min="12549" max="12549" width="11.125" style="1" customWidth="1"/>
    <col min="12550" max="12550" width="11.625" style="1" customWidth="1"/>
    <col min="12551" max="12797" width="9" style="1" customWidth="1"/>
    <col min="12798" max="12798" width="13.875" style="1" customWidth="1"/>
    <col min="12799" max="12799" width="9.875" style="1" customWidth="1"/>
    <col min="12800" max="12800" width="8.375" style="1" customWidth="1"/>
    <col min="12801" max="12801" width="8.25" style="1" customWidth="1"/>
    <col min="12802" max="12802" width="5.625" style="1" customWidth="1"/>
    <col min="12803" max="12804" width="8.375" style="1" customWidth="1"/>
    <col min="12805" max="12805" width="11.125" style="1" customWidth="1"/>
    <col min="12806" max="12806" width="11.625" style="1" customWidth="1"/>
    <col min="12807" max="13053" width="9" style="1" customWidth="1"/>
    <col min="13054" max="13054" width="13.875" style="1" customWidth="1"/>
    <col min="13055" max="13055" width="9.875" style="1" customWidth="1"/>
    <col min="13056" max="13056" width="8.375" style="1" customWidth="1"/>
    <col min="13057" max="13057" width="8.25" style="1" customWidth="1"/>
    <col min="13058" max="13058" width="5.625" style="1" customWidth="1"/>
    <col min="13059" max="13060" width="8.375" style="1" customWidth="1"/>
    <col min="13061" max="13061" width="11.125" style="1" customWidth="1"/>
    <col min="13062" max="13062" width="11.625" style="1" customWidth="1"/>
    <col min="13063" max="13309" width="9" style="1" customWidth="1"/>
    <col min="13310" max="13310" width="13.875" style="1" customWidth="1"/>
    <col min="13311" max="13311" width="9.875" style="1" customWidth="1"/>
    <col min="13312" max="13312" width="8.375" style="1" customWidth="1"/>
    <col min="13313" max="13313" width="8.25" style="1" customWidth="1"/>
    <col min="13314" max="13314" width="5.625" style="1" customWidth="1"/>
    <col min="13315" max="13316" width="8.375" style="1" customWidth="1"/>
    <col min="13317" max="13317" width="11.125" style="1" customWidth="1"/>
    <col min="13318" max="13318" width="11.625" style="1" customWidth="1"/>
    <col min="13319" max="13565" width="9" style="1" customWidth="1"/>
    <col min="13566" max="13566" width="13.875" style="1" customWidth="1"/>
    <col min="13567" max="13567" width="9.875" style="1" customWidth="1"/>
    <col min="13568" max="13568" width="8.375" style="1" customWidth="1"/>
    <col min="13569" max="13569" width="8.25" style="1" customWidth="1"/>
    <col min="13570" max="13570" width="5.625" style="1" customWidth="1"/>
    <col min="13571" max="13572" width="8.375" style="1" customWidth="1"/>
    <col min="13573" max="13573" width="11.125" style="1" customWidth="1"/>
    <col min="13574" max="13574" width="11.625" style="1" customWidth="1"/>
    <col min="13575" max="13821" width="9" style="1" customWidth="1"/>
    <col min="13822" max="13822" width="13.875" style="1" customWidth="1"/>
    <col min="13823" max="13823" width="9.875" style="1" customWidth="1"/>
    <col min="13824" max="13824" width="8.375" style="1" customWidth="1"/>
    <col min="13825" max="13825" width="8.25" style="1" customWidth="1"/>
    <col min="13826" max="13826" width="5.625" style="1" customWidth="1"/>
    <col min="13827" max="13828" width="8.375" style="1" customWidth="1"/>
    <col min="13829" max="13829" width="11.125" style="1" customWidth="1"/>
    <col min="13830" max="13830" width="11.625" style="1" customWidth="1"/>
    <col min="13831" max="14077" width="9" style="1" customWidth="1"/>
    <col min="14078" max="14078" width="13.875" style="1" customWidth="1"/>
    <col min="14079" max="14079" width="9.875" style="1" customWidth="1"/>
    <col min="14080" max="14080" width="8.375" style="1" customWidth="1"/>
    <col min="14081" max="14081" width="8.25" style="1" customWidth="1"/>
    <col min="14082" max="14082" width="5.625" style="1" customWidth="1"/>
    <col min="14083" max="14084" width="8.375" style="1" customWidth="1"/>
    <col min="14085" max="14085" width="11.125" style="1" customWidth="1"/>
    <col min="14086" max="14086" width="11.625" style="1" customWidth="1"/>
    <col min="14087" max="14333" width="9" style="1" customWidth="1"/>
    <col min="14334" max="14334" width="13.875" style="1" customWidth="1"/>
    <col min="14335" max="14335" width="9.875" style="1" customWidth="1"/>
    <col min="14336" max="14336" width="8.375" style="1" customWidth="1"/>
    <col min="14337" max="14337" width="8.25" style="1" customWidth="1"/>
    <col min="14338" max="14338" width="5.625" style="1" customWidth="1"/>
    <col min="14339" max="14340" width="8.375" style="1" customWidth="1"/>
    <col min="14341" max="14341" width="11.125" style="1" customWidth="1"/>
    <col min="14342" max="14342" width="11.625" style="1" customWidth="1"/>
    <col min="14343" max="14589" width="9" style="1" customWidth="1"/>
    <col min="14590" max="14590" width="13.875" style="1" customWidth="1"/>
    <col min="14591" max="14591" width="9.875" style="1" customWidth="1"/>
    <col min="14592" max="14592" width="8.375" style="1" customWidth="1"/>
    <col min="14593" max="14593" width="8.25" style="1" customWidth="1"/>
    <col min="14594" max="14594" width="5.625" style="1" customWidth="1"/>
    <col min="14595" max="14596" width="8.375" style="1" customWidth="1"/>
    <col min="14597" max="14597" width="11.125" style="1" customWidth="1"/>
    <col min="14598" max="14598" width="11.625" style="1" customWidth="1"/>
    <col min="14599" max="14845" width="9" style="1" customWidth="1"/>
    <col min="14846" max="14846" width="13.875" style="1" customWidth="1"/>
    <col min="14847" max="14847" width="9.875" style="1" customWidth="1"/>
    <col min="14848" max="14848" width="8.375" style="1" customWidth="1"/>
    <col min="14849" max="14849" width="8.25" style="1" customWidth="1"/>
    <col min="14850" max="14850" width="5.625" style="1" customWidth="1"/>
    <col min="14851" max="14852" width="8.375" style="1" customWidth="1"/>
    <col min="14853" max="14853" width="11.125" style="1" customWidth="1"/>
    <col min="14854" max="14854" width="11.625" style="1" customWidth="1"/>
    <col min="14855" max="15101" width="9" style="1" customWidth="1"/>
    <col min="15102" max="15102" width="13.875" style="1" customWidth="1"/>
    <col min="15103" max="15103" width="9.875" style="1" customWidth="1"/>
    <col min="15104" max="15104" width="8.375" style="1" customWidth="1"/>
    <col min="15105" max="15105" width="8.25" style="1" customWidth="1"/>
    <col min="15106" max="15106" width="5.625" style="1" customWidth="1"/>
    <col min="15107" max="15108" width="8.375" style="1" customWidth="1"/>
    <col min="15109" max="15109" width="11.125" style="1" customWidth="1"/>
    <col min="15110" max="15110" width="11.625" style="1" customWidth="1"/>
    <col min="15111" max="15357" width="9" style="1" customWidth="1"/>
    <col min="15358" max="15358" width="13.875" style="1" customWidth="1"/>
    <col min="15359" max="15359" width="9.875" style="1" customWidth="1"/>
    <col min="15360" max="15360" width="8.375" style="1" customWidth="1"/>
    <col min="15361" max="15361" width="8.25" style="1" customWidth="1"/>
    <col min="15362" max="15362" width="5.625" style="1" customWidth="1"/>
    <col min="15363" max="15364" width="8.375" style="1" customWidth="1"/>
    <col min="15365" max="15365" width="11.125" style="1" customWidth="1"/>
    <col min="15366" max="15366" width="11.625" style="1" customWidth="1"/>
    <col min="15367" max="15613" width="9" style="1" customWidth="1"/>
    <col min="15614" max="15614" width="13.875" style="1" customWidth="1"/>
    <col min="15615" max="15615" width="9.875" style="1" customWidth="1"/>
    <col min="15616" max="15616" width="8.375" style="1" customWidth="1"/>
    <col min="15617" max="15617" width="8.25" style="1" customWidth="1"/>
    <col min="15618" max="15618" width="5.625" style="1" customWidth="1"/>
    <col min="15619" max="15620" width="8.375" style="1" customWidth="1"/>
    <col min="15621" max="15621" width="11.125" style="1" customWidth="1"/>
    <col min="15622" max="15622" width="11.625" style="1" customWidth="1"/>
    <col min="15623" max="15869" width="9" style="1" customWidth="1"/>
    <col min="15870" max="15870" width="13.875" style="1" customWidth="1"/>
    <col min="15871" max="15871" width="9.875" style="1" customWidth="1"/>
    <col min="15872" max="15872" width="8.375" style="1" customWidth="1"/>
    <col min="15873" max="15873" width="8.25" style="1" customWidth="1"/>
    <col min="15874" max="15874" width="5.625" style="1" customWidth="1"/>
    <col min="15875" max="15876" width="8.375" style="1" customWidth="1"/>
    <col min="15877" max="15877" width="11.125" style="1" customWidth="1"/>
    <col min="15878" max="15878" width="11.625" style="1" customWidth="1"/>
    <col min="15879" max="16125" width="9" style="1" customWidth="1"/>
    <col min="16126" max="16126" width="13.875" style="1" customWidth="1"/>
    <col min="16127" max="16127" width="9.875" style="1" customWidth="1"/>
    <col min="16128" max="16128" width="8.375" style="1" customWidth="1"/>
    <col min="16129" max="16129" width="8.25" style="1" customWidth="1"/>
    <col min="16130" max="16130" width="5.625" style="1" customWidth="1"/>
    <col min="16131" max="16132" width="8.375" style="1" customWidth="1"/>
    <col min="16133" max="16133" width="11.125" style="1" customWidth="1"/>
    <col min="16134" max="16134" width="11.625" style="1" customWidth="1"/>
    <col min="16135" max="16384" width="9" style="1" customWidth="1"/>
  </cols>
  <sheetData>
    <row r="1" ht="27.95" customHeight="1" spans="1:9" s="3" customFormat="1" x14ac:dyDescent="0.25">
      <c r="A1" s="351" t="s">
        <v>24</v>
      </c>
      <c r="B1" s="351"/>
      <c r="C1" s="351"/>
      <c r="D1" s="351"/>
      <c r="E1" s="351"/>
      <c r="F1" s="351"/>
      <c r="G1" s="351"/>
      <c r="H1" s="351"/>
      <c r="I1" s="351"/>
    </row>
    <row r="2" ht="18" customHeight="1" spans="1:9" s="3" customFormat="1" x14ac:dyDescent="0.25">
      <c r="A2" s="294" t="s">
        <v>25</v>
      </c>
      <c r="B2" s="294"/>
      <c r="C2" s="294"/>
      <c r="D2" s="294"/>
      <c r="E2" s="294"/>
      <c r="F2" s="294"/>
      <c r="G2" s="294"/>
      <c r="H2" s="294"/>
      <c r="I2" s="294"/>
    </row>
    <row r="3" ht="11.25" customHeight="1" s="3" customFormat="1" x14ac:dyDescent="0.25"/>
    <row r="4" ht="27" customHeight="1" spans="1:9" s="3" customFormat="1" x14ac:dyDescent="0.25">
      <c r="A4" s="204" t="s">
        <v>106</v>
      </c>
      <c r="B4" s="204"/>
      <c r="C4" s="204"/>
      <c r="D4" s="204"/>
      <c r="E4" s="204"/>
      <c r="F4" s="204"/>
      <c r="G4" s="204"/>
      <c r="H4" s="204"/>
      <c r="I4" s="204"/>
    </row>
    <row r="5" spans="1:9" s="3" customFormat="1" x14ac:dyDescent="0.25">
      <c r="A5" s="187" t="s">
        <v>107</v>
      </c>
      <c r="B5" s="187"/>
      <c r="C5" s="187"/>
      <c r="D5" s="187"/>
      <c r="E5" s="187"/>
      <c r="F5" s="187"/>
      <c r="G5" s="187"/>
      <c r="H5" s="187"/>
      <c r="I5" s="187"/>
    </row>
    <row r="6" ht="14.25" customHeight="1" spans="1:9" s="3" customFormat="1" x14ac:dyDescent="0.25">
      <c r="A6" s="187"/>
      <c r="B6" s="187"/>
      <c r="C6" s="187"/>
      <c r="D6" s="187"/>
      <c r="E6" s="187"/>
      <c r="F6" s="187"/>
      <c r="G6" s="187"/>
      <c r="H6" s="187"/>
      <c r="I6" s="8" t="s">
        <v>108</v>
      </c>
    </row>
    <row r="7" ht="22.5" customHeight="1" spans="1:9" s="3" customFormat="1" x14ac:dyDescent="0.25">
      <c r="A7" s="3" t="s">
        <v>109</v>
      </c>
      <c r="D7" s="3" t="s">
        <v>4</v>
      </c>
      <c r="E7" s="187" t="str">
        <f>'OS-IN'!H6</f>
        <v>2606N</v>
      </c>
      <c r="F7" s="187"/>
      <c r="G7" s="8" t="s">
        <v>5</v>
      </c>
      <c r="H7" s="256">
        <v>46225</v>
      </c>
      <c r="I7" s="256"/>
    </row>
    <row r="8" ht="22.5" customHeight="1" spans="1:9" s="3" customFormat="1" x14ac:dyDescent="0.25">
      <c r="A8" s="3" t="s">
        <v>110</v>
      </c>
      <c r="D8" s="352" t="s">
        <v>7</v>
      </c>
      <c r="E8" s="187">
        <f>'Final Work'!작업선석</f>
        <v>6</v>
      </c>
      <c r="F8" s="187"/>
      <c r="G8" s="8" t="s">
        <v>8</v>
      </c>
      <c r="H8" s="14" t="s">
        <v>111</v>
      </c>
      <c r="I8" s="14"/>
    </row>
    <row r="9" ht="9" customHeight="1" s="3" customFormat="1" x14ac:dyDescent="0.25"/>
    <row r="10" ht="21" customHeight="1" spans="1:9" s="87" customFormat="1" x14ac:dyDescent="0.25">
      <c r="A10" s="316" t="s">
        <v>112</v>
      </c>
      <c r="B10" s="353" t="s">
        <v>95</v>
      </c>
      <c r="C10" s="316" t="s">
        <v>91</v>
      </c>
      <c r="D10" s="232" t="s">
        <v>113</v>
      </c>
      <c r="E10" s="199"/>
      <c r="F10" s="227" t="s">
        <v>114</v>
      </c>
      <c r="G10" s="232"/>
      <c r="H10" s="227" t="s">
        <v>115</v>
      </c>
      <c r="I10" s="316" t="s">
        <v>49</v>
      </c>
    </row>
    <row r="11" ht="21" customHeight="1" spans="1:9" s="87" customFormat="1" x14ac:dyDescent="0.25">
      <c r="A11" s="32"/>
      <c r="B11" s="106"/>
      <c r="C11" s="32"/>
      <c r="D11" s="354" t="s">
        <v>116</v>
      </c>
      <c r="E11" s="355"/>
      <c r="F11" s="356" t="s">
        <v>117</v>
      </c>
      <c r="G11" s="354" t="s">
        <v>118</v>
      </c>
      <c r="H11" s="357" t="s">
        <v>119</v>
      </c>
      <c r="I11" s="32"/>
    </row>
    <row r="12" ht="21" customHeight="1" spans="1:10" s="40" customFormat="1" x14ac:dyDescent="0.25">
      <c r="A12" s="51"/>
      <c r="B12" s="358"/>
      <c r="C12" s="358"/>
      <c r="D12" s="51"/>
      <c r="E12" s="40"/>
      <c r="F12" s="359"/>
      <c r="G12" s="359"/>
      <c r="H12" s="360"/>
      <c r="I12" s="51"/>
      <c r="J12" s="87"/>
    </row>
    <row r="13" ht="21" customHeight="1" spans="1:10" s="40" customFormat="1" x14ac:dyDescent="0.25">
      <c r="A13" s="227"/>
      <c r="B13" s="361"/>
      <c r="C13" s="361"/>
      <c r="D13" s="227"/>
      <c r="E13" s="40"/>
      <c r="F13" s="362"/>
      <c r="G13" s="362"/>
      <c r="H13" s="363"/>
      <c r="I13" s="227"/>
      <c r="J13" s="87"/>
    </row>
    <row r="14" ht="21" customHeight="1" spans="1:10" s="40" customFormat="1" x14ac:dyDescent="0.25">
      <c r="A14" s="227"/>
      <c r="B14" s="361"/>
      <c r="C14" s="361"/>
      <c r="D14" s="227"/>
      <c r="E14" s="40"/>
      <c r="F14" s="362"/>
      <c r="G14" s="362"/>
      <c r="H14" s="363"/>
      <c r="I14" s="227"/>
      <c r="J14" s="87"/>
    </row>
    <row r="15" ht="21" customHeight="1" spans="1:10" s="40" customFormat="1" x14ac:dyDescent="0.25">
      <c r="A15" s="227"/>
      <c r="B15" s="361"/>
      <c r="C15" s="361"/>
      <c r="D15" s="227"/>
      <c r="E15" s="40"/>
      <c r="F15" s="362"/>
      <c r="G15" s="362"/>
      <c r="H15" s="363"/>
      <c r="I15" s="227"/>
      <c r="J15" s="364"/>
    </row>
    <row r="16" ht="21" customHeight="1" spans="1:10" s="40" customFormat="1" x14ac:dyDescent="0.25">
      <c r="A16" s="312"/>
      <c r="B16" s="365"/>
      <c r="C16" s="365"/>
      <c r="D16" s="312"/>
      <c r="E16" s="40"/>
      <c r="F16" s="366"/>
      <c r="G16" s="366"/>
      <c r="H16" s="367"/>
      <c r="I16" s="312"/>
      <c r="J16" s="364"/>
    </row>
    <row r="17" ht="21" customHeight="1" spans="1:10" s="40" customFormat="1" x14ac:dyDescent="0.25">
      <c r="A17" s="51"/>
      <c r="B17" s="358"/>
      <c r="C17" s="358"/>
      <c r="D17" s="51"/>
      <c r="E17" s="40"/>
      <c r="F17" s="359"/>
      <c r="G17" s="359"/>
      <c r="H17" s="360"/>
      <c r="I17" s="51"/>
      <c r="J17" s="364"/>
    </row>
    <row r="18" ht="21" customHeight="1" spans="1:10" s="40" customFormat="1" x14ac:dyDescent="0.25">
      <c r="A18" s="227"/>
      <c r="B18" s="361"/>
      <c r="C18" s="358"/>
      <c r="D18" s="227"/>
      <c r="E18" s="40"/>
      <c r="F18" s="362"/>
      <c r="G18" s="362"/>
      <c r="H18" s="363"/>
      <c r="I18" s="227"/>
      <c r="J18" s="364"/>
    </row>
    <row r="19" ht="21" customHeight="1" spans="1:10" s="40" customFormat="1" x14ac:dyDescent="0.25">
      <c r="A19" s="227"/>
      <c r="B19" s="361"/>
      <c r="C19" s="358"/>
      <c r="D19" s="227"/>
      <c r="E19" s="40"/>
      <c r="F19" s="362"/>
      <c r="G19" s="362"/>
      <c r="H19" s="363"/>
      <c r="I19" s="227"/>
      <c r="J19" s="364"/>
    </row>
    <row r="20" ht="21" customHeight="1" spans="1:10" s="40" customFormat="1" x14ac:dyDescent="0.25">
      <c r="A20" s="227"/>
      <c r="B20" s="361"/>
      <c r="C20" s="358"/>
      <c r="D20" s="227"/>
      <c r="E20" s="40"/>
      <c r="F20" s="362"/>
      <c r="G20" s="362"/>
      <c r="H20" s="363"/>
      <c r="I20" s="227"/>
      <c r="J20" s="87"/>
    </row>
    <row r="21" ht="21" customHeight="1" spans="1:10" s="40" customFormat="1" x14ac:dyDescent="0.25">
      <c r="A21" s="312"/>
      <c r="B21" s="365"/>
      <c r="C21" s="365"/>
      <c r="D21" s="312"/>
      <c r="E21" s="40"/>
      <c r="F21" s="366"/>
      <c r="G21" s="366"/>
      <c r="H21" s="367"/>
      <c r="I21" s="312"/>
      <c r="J21" s="87"/>
    </row>
    <row r="22" ht="21" customHeight="1" spans="1:10" s="40" customFormat="1" x14ac:dyDescent="0.25">
      <c r="A22" s="51"/>
      <c r="B22" s="358"/>
      <c r="C22" s="358"/>
      <c r="D22" s="51"/>
      <c r="E22" s="40"/>
      <c r="F22" s="359"/>
      <c r="G22" s="359"/>
      <c r="H22" s="360"/>
      <c r="I22" s="51"/>
      <c r="J22" s="87"/>
    </row>
    <row r="23" ht="21" customHeight="1" spans="1:10" s="40" customFormat="1" x14ac:dyDescent="0.25">
      <c r="A23" s="227"/>
      <c r="B23" s="358"/>
      <c r="C23" s="358"/>
      <c r="D23" s="51"/>
      <c r="E23" s="40"/>
      <c r="F23" s="359"/>
      <c r="G23" s="359"/>
      <c r="H23" s="360"/>
      <c r="I23" s="227"/>
      <c r="J23" s="87"/>
    </row>
    <row r="24" ht="21" customHeight="1" spans="1:10" s="40" customFormat="1" x14ac:dyDescent="0.25">
      <c r="A24" s="227"/>
      <c r="B24" s="361"/>
      <c r="C24" s="358"/>
      <c r="D24" s="227"/>
      <c r="E24" s="40"/>
      <c r="F24" s="362"/>
      <c r="G24" s="362"/>
      <c r="H24" s="363"/>
      <c r="I24" s="227"/>
      <c r="J24" s="87"/>
    </row>
    <row r="25" ht="21" customHeight="1" spans="1:10" s="40" customFormat="1" x14ac:dyDescent="0.25">
      <c r="A25" s="227"/>
      <c r="B25" s="361"/>
      <c r="C25" s="358"/>
      <c r="D25" s="227"/>
      <c r="E25" s="40"/>
      <c r="F25" s="362"/>
      <c r="G25" s="362"/>
      <c r="H25" s="363"/>
      <c r="I25" s="227"/>
      <c r="J25" s="87"/>
    </row>
    <row r="26" ht="21" customHeight="1" spans="1:9" s="40" customFormat="1" x14ac:dyDescent="0.25">
      <c r="A26" s="312"/>
      <c r="B26" s="365"/>
      <c r="C26" s="365"/>
      <c r="D26" s="312"/>
      <c r="E26" s="40"/>
      <c r="F26" s="366"/>
      <c r="G26" s="366"/>
      <c r="H26" s="367"/>
      <c r="I26" s="312"/>
    </row>
    <row r="27" ht="21" customHeight="1" spans="1:9" s="40" customFormat="1" x14ac:dyDescent="0.25">
      <c r="A27" s="51"/>
      <c r="B27" s="358"/>
      <c r="C27" s="358"/>
      <c r="D27" s="51"/>
      <c r="E27" s="40"/>
      <c r="F27" s="359"/>
      <c r="G27" s="359"/>
      <c r="H27" s="360"/>
      <c r="I27" s="51"/>
    </row>
    <row r="28" ht="21" customHeight="1" spans="1:9" s="40" customFormat="1" x14ac:dyDescent="0.25">
      <c r="A28" s="227"/>
      <c r="B28" s="361"/>
      <c r="C28" s="358"/>
      <c r="D28" s="227"/>
      <c r="E28" s="40"/>
      <c r="F28" s="368"/>
      <c r="G28" s="368"/>
      <c r="H28" s="363"/>
      <c r="I28" s="227"/>
    </row>
    <row r="29" ht="21" customHeight="1" spans="1:9" s="40" customFormat="1" x14ac:dyDescent="0.25">
      <c r="A29" s="227"/>
      <c r="B29" s="361"/>
      <c r="C29" s="358"/>
      <c r="D29" s="227"/>
      <c r="E29" s="40"/>
      <c r="F29" s="368"/>
      <c r="G29" s="368"/>
      <c r="H29" s="363"/>
      <c r="I29" s="227"/>
    </row>
    <row r="30" ht="21" customHeight="1" spans="1:9" s="40" customFormat="1" x14ac:dyDescent="0.25">
      <c r="A30" s="227"/>
      <c r="B30" s="361"/>
      <c r="C30" s="358"/>
      <c r="D30" s="227"/>
      <c r="E30" s="40"/>
      <c r="F30" s="368"/>
      <c r="G30" s="368"/>
      <c r="H30" s="363"/>
      <c r="I30" s="227"/>
    </row>
    <row r="31" ht="21" customHeight="1" spans="1:9" s="369" customFormat="1" x14ac:dyDescent="0.25">
      <c r="A31" s="227"/>
      <c r="B31" s="361"/>
      <c r="C31" s="358"/>
      <c r="D31" s="227"/>
      <c r="E31" s="369"/>
      <c r="F31" s="368"/>
      <c r="G31" s="368"/>
      <c r="H31" s="363"/>
      <c r="I31" s="227"/>
    </row>
    <row r="32" ht="6.95" customHeight="1" spans="1:9" s="3" customForma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ht="15" customHeight="1" spans="1:9" s="40" customFormat="1" x14ac:dyDescent="0.25">
      <c r="A33" s="40"/>
      <c r="B33" s="40"/>
      <c r="C33" s="40"/>
      <c r="D33" s="40"/>
      <c r="E33" s="40"/>
      <c r="F33" s="40"/>
      <c r="G33" s="40"/>
      <c r="H33" s="40"/>
      <c r="I33" s="40"/>
    </row>
    <row r="34" ht="14.25" customHeight="1" spans="1:9" s="40" customFormat="1" x14ac:dyDescent="0.25">
      <c r="A34" s="40"/>
      <c r="B34" s="40"/>
      <c r="C34" s="40"/>
      <c r="D34" s="40"/>
      <c r="E34" s="40"/>
      <c r="F34" s="40"/>
      <c r="G34" s="40"/>
      <c r="H34" s="40"/>
      <c r="I34" s="40"/>
    </row>
    <row r="35" ht="14.25" customHeight="1" spans="1:9" s="40" customFormat="1" x14ac:dyDescent="0.25">
      <c r="A35" s="40"/>
      <c r="B35" s="40"/>
      <c r="C35" s="40"/>
      <c r="D35" s="40"/>
      <c r="E35" s="40"/>
      <c r="F35" s="40"/>
      <c r="G35" s="40"/>
      <c r="H35" s="40"/>
      <c r="I35" s="40"/>
    </row>
    <row r="36" ht="14.25" customHeight="1" spans="1:9" s="40" customFormat="1" x14ac:dyDescent="0.25">
      <c r="A36" s="40"/>
      <c r="B36" s="40"/>
      <c r="C36" s="40"/>
      <c r="D36" s="40"/>
      <c r="E36" s="40"/>
      <c r="F36" s="40"/>
      <c r="G36" s="40"/>
      <c r="H36" s="40"/>
      <c r="I36" s="40"/>
    </row>
    <row r="37" ht="14.25" customHeight="1" spans="1:9" s="40" customFormat="1" x14ac:dyDescent="0.25">
      <c r="A37" s="40"/>
      <c r="B37" s="40"/>
      <c r="C37" s="40"/>
      <c r="D37" s="40"/>
      <c r="E37" s="40"/>
      <c r="F37" s="40"/>
      <c r="G37" s="40"/>
      <c r="H37" s="40"/>
      <c r="I37" s="40"/>
    </row>
    <row r="38" ht="14.25" customHeight="1" spans="1:9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</row>
    <row r="39" ht="14.25" customHeight="1" spans="1:9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</row>
    <row r="40" ht="15.95" customHeight="1" spans="1:9" s="3" customFormat="1" x14ac:dyDescent="0.25">
      <c r="A40" s="3"/>
      <c r="B40" s="3"/>
      <c r="C40" s="3"/>
      <c r="D40" s="3"/>
      <c r="E40" s="3"/>
      <c r="F40" s="3"/>
      <c r="G40" s="3"/>
      <c r="H40" s="3"/>
      <c r="I40" s="3"/>
    </row>
    <row r="41" ht="15.95" customHeight="1" spans="1:1" s="3" customFormat="1" x14ac:dyDescent="0.25">
      <c r="A41" s="3"/>
    </row>
    <row r="42" ht="18" customHeight="1" spans="1:9" s="40" customFormat="1" x14ac:dyDescent="0.25">
      <c r="A42" s="202" t="s">
        <v>22</v>
      </c>
      <c r="B42" s="202"/>
      <c r="D42" s="202" t="s">
        <v>120</v>
      </c>
      <c r="E42" s="202"/>
      <c r="F42" s="202"/>
      <c r="H42" s="202" t="s">
        <v>23</v>
      </c>
      <c r="I42" s="202"/>
    </row>
    <row r="43" ht="27.95" customHeight="1" spans="1:9" s="3" customFormat="1" x14ac:dyDescent="0.25">
      <c r="A43" s="351" t="s">
        <v>24</v>
      </c>
      <c r="B43" s="351"/>
      <c r="C43" s="351"/>
      <c r="D43" s="351"/>
      <c r="E43" s="351"/>
      <c r="F43" s="351"/>
      <c r="G43" s="351"/>
      <c r="H43" s="351"/>
      <c r="I43" s="351"/>
    </row>
    <row r="44" ht="18" customHeight="1" spans="1:9" s="3" customFormat="1" x14ac:dyDescent="0.25">
      <c r="A44" s="294" t="s">
        <v>25</v>
      </c>
      <c r="B44" s="294"/>
      <c r="C44" s="294"/>
      <c r="D44" s="294"/>
      <c r="E44" s="294"/>
      <c r="F44" s="294"/>
      <c r="G44" s="294"/>
      <c r="H44" s="294"/>
      <c r="I44" s="294"/>
    </row>
    <row r="45" ht="11.25" customHeight="1" s="3" customFormat="1" x14ac:dyDescent="0.25"/>
    <row r="46" ht="27" customHeight="1" spans="1:9" s="3" customFormat="1" x14ac:dyDescent="0.25">
      <c r="A46" s="204" t="s">
        <v>106</v>
      </c>
      <c r="B46" s="204"/>
      <c r="C46" s="204"/>
      <c r="D46" s="204"/>
      <c r="E46" s="204"/>
      <c r="F46" s="204"/>
      <c r="G46" s="204"/>
      <c r="H46" s="204"/>
      <c r="I46" s="204"/>
    </row>
    <row r="47" spans="1:9" s="3" customFormat="1" x14ac:dyDescent="0.25">
      <c r="A47" s="187" t="s">
        <v>107</v>
      </c>
      <c r="B47" s="187"/>
      <c r="C47" s="187"/>
      <c r="D47" s="187"/>
      <c r="E47" s="187"/>
      <c r="F47" s="187"/>
      <c r="G47" s="187"/>
      <c r="H47" s="187"/>
      <c r="I47" s="187"/>
    </row>
    <row r="48" ht="14.25" customHeight="1" spans="1:9" s="3" customFormat="1" x14ac:dyDescent="0.25">
      <c r="A48" s="187"/>
      <c r="B48" s="187"/>
      <c r="C48" s="187"/>
      <c r="D48" s="187"/>
      <c r="E48" s="187"/>
      <c r="F48" s="187"/>
      <c r="G48" s="187"/>
      <c r="H48" s="187"/>
      <c r="I48" s="8" t="s">
        <v>121</v>
      </c>
    </row>
    <row r="49" ht="22.5" customHeight="1" spans="1:9" s="3" customFormat="1" x14ac:dyDescent="0.25">
      <c r="A49" s="3" t="s">
        <v>109</v>
      </c>
      <c r="D49" s="3" t="s">
        <v>4</v>
      </c>
      <c r="E49" s="187" t="str">
        <f>양하항차</f>
        <v>2606N</v>
      </c>
      <c r="F49" s="187"/>
      <c r="G49" s="8" t="s">
        <v>5</v>
      </c>
      <c r="H49" s="256">
        <f>양하종료일</f>
        <v>46225</v>
      </c>
      <c r="I49" s="256"/>
    </row>
    <row r="50" ht="22.5" customHeight="1" spans="1:9" s="3" customFormat="1" x14ac:dyDescent="0.25">
      <c r="A50" s="3" t="s">
        <v>110</v>
      </c>
      <c r="D50" s="352" t="s">
        <v>7</v>
      </c>
      <c r="E50" s="187">
        <f>작업선석</f>
        <v>6</v>
      </c>
      <c r="F50" s="187"/>
      <c r="G50" s="8" t="s">
        <v>8</v>
      </c>
      <c r="H50" s="14" t="s">
        <v>111</v>
      </c>
      <c r="I50" s="14"/>
    </row>
    <row r="51" ht="9" customHeight="1" s="3" customFormat="1" x14ac:dyDescent="0.25"/>
    <row r="52" ht="21" customHeight="1" spans="1:9" s="87" customFormat="1" x14ac:dyDescent="0.25">
      <c r="A52" s="316" t="s">
        <v>112</v>
      </c>
      <c r="B52" s="353" t="s">
        <v>95</v>
      </c>
      <c r="C52" s="316" t="s">
        <v>91</v>
      </c>
      <c r="D52" s="232" t="s">
        <v>113</v>
      </c>
      <c r="E52" s="199"/>
      <c r="F52" s="227" t="s">
        <v>114</v>
      </c>
      <c r="G52" s="232"/>
      <c r="H52" s="227" t="s">
        <v>115</v>
      </c>
      <c r="I52" s="316" t="s">
        <v>49</v>
      </c>
    </row>
    <row r="53" ht="21" customHeight="1" spans="1:9" s="87" customFormat="1" x14ac:dyDescent="0.25">
      <c r="A53" s="32"/>
      <c r="B53" s="106"/>
      <c r="C53" s="32"/>
      <c r="D53" s="354" t="s">
        <v>116</v>
      </c>
      <c r="E53" s="355"/>
      <c r="F53" s="356" t="s">
        <v>117</v>
      </c>
      <c r="G53" s="354" t="s">
        <v>118</v>
      </c>
      <c r="H53" s="357" t="s">
        <v>119</v>
      </c>
      <c r="I53" s="32"/>
    </row>
    <row r="54" ht="21" customHeight="1" spans="1:10" s="40" customFormat="1" x14ac:dyDescent="0.25">
      <c r="A54" s="51" t="s">
        <v>122</v>
      </c>
      <c r="B54" s="358"/>
      <c r="C54" s="358" t="s">
        <v>123</v>
      </c>
      <c r="D54" s="51"/>
      <c r="E54" s="51"/>
      <c r="F54" s="359">
        <v>1</v>
      </c>
      <c r="G54" s="359">
        <v>1</v>
      </c>
      <c r="H54" s="360">
        <f>H12</f>
        <v>NaN</v>
      </c>
      <c r="I54" s="51" t="s">
        <v>69</v>
      </c>
      <c r="J54" s="87"/>
    </row>
    <row r="55" ht="21" customHeight="1" spans="1:10" s="40" customFormat="1" x14ac:dyDescent="0.25">
      <c r="A55" s="227" t="s">
        <v>124</v>
      </c>
      <c r="B55" s="361"/>
      <c r="C55" s="361" t="s">
        <v>123</v>
      </c>
      <c r="D55" s="227"/>
      <c r="E55" s="227"/>
      <c r="F55" s="362">
        <v>14</v>
      </c>
      <c r="G55" s="362">
        <v>13.9</v>
      </c>
      <c r="H55" s="363" t="s">
        <v>125</v>
      </c>
      <c r="I55" s="227" t="s">
        <v>126</v>
      </c>
      <c r="J55" s="87"/>
    </row>
    <row r="56" ht="21" customHeight="1" spans="1:10" s="40" customFormat="1" x14ac:dyDescent="0.25">
      <c r="A56" s="227"/>
      <c r="B56" s="361"/>
      <c r="C56" s="361"/>
      <c r="D56" s="227"/>
      <c r="E56" s="227"/>
      <c r="F56" s="362"/>
      <c r="G56" s="362"/>
      <c r="H56" s="363"/>
      <c r="I56" s="227"/>
      <c r="J56" s="87"/>
    </row>
    <row r="57" ht="21" customHeight="1" spans="1:10" s="40" customFormat="1" x14ac:dyDescent="0.25">
      <c r="A57" s="227"/>
      <c r="B57" s="361"/>
      <c r="C57" s="361"/>
      <c r="D57" s="227"/>
      <c r="E57" s="227"/>
      <c r="F57" s="362"/>
      <c r="G57" s="362"/>
      <c r="H57" s="363"/>
      <c r="I57" s="227"/>
      <c r="J57" s="364"/>
    </row>
    <row r="58" ht="21" customHeight="1" spans="1:10" s="40" customFormat="1" x14ac:dyDescent="0.25">
      <c r="A58" s="312"/>
      <c r="B58" s="365"/>
      <c r="C58" s="365"/>
      <c r="D58" s="312"/>
      <c r="E58" s="312"/>
      <c r="F58" s="366"/>
      <c r="G58" s="366"/>
      <c r="H58" s="367"/>
      <c r="I58" s="312"/>
      <c r="J58" s="364"/>
    </row>
    <row r="59" ht="21" customHeight="1" spans="1:10" s="40" customFormat="1" x14ac:dyDescent="0.25">
      <c r="A59" s="51"/>
      <c r="B59" s="358"/>
      <c r="C59" s="358"/>
      <c r="D59" s="51"/>
      <c r="E59" s="51"/>
      <c r="F59" s="359"/>
      <c r="G59" s="359"/>
      <c r="H59" s="360"/>
      <c r="I59" s="51"/>
      <c r="J59" s="364"/>
    </row>
    <row r="60" ht="21" customHeight="1" spans="1:10" s="40" customFormat="1" x14ac:dyDescent="0.25">
      <c r="A60" s="227"/>
      <c r="B60" s="361"/>
      <c r="C60" s="361"/>
      <c r="D60" s="227"/>
      <c r="E60" s="227"/>
      <c r="F60" s="362"/>
      <c r="G60" s="362"/>
      <c r="H60" s="363"/>
      <c r="I60" s="227"/>
      <c r="J60" s="364"/>
    </row>
    <row r="61" ht="21" customHeight="1" spans="1:10" s="40" customFormat="1" x14ac:dyDescent="0.25">
      <c r="A61" s="227"/>
      <c r="B61" s="361"/>
      <c r="C61" s="361"/>
      <c r="D61" s="227"/>
      <c r="E61" s="227"/>
      <c r="F61" s="362"/>
      <c r="G61" s="362"/>
      <c r="H61" s="363"/>
      <c r="I61" s="370"/>
      <c r="J61" s="364"/>
    </row>
    <row r="62" ht="21" customHeight="1" spans="1:10" s="40" customFormat="1" x14ac:dyDescent="0.25">
      <c r="A62" s="227"/>
      <c r="B62" s="361"/>
      <c r="C62" s="361"/>
      <c r="D62" s="227"/>
      <c r="E62" s="227"/>
      <c r="F62" s="362"/>
      <c r="G62" s="362"/>
      <c r="H62" s="363"/>
      <c r="I62" s="370"/>
      <c r="J62" s="87"/>
    </row>
    <row r="63" ht="21" customHeight="1" spans="1:10" s="40" customFormat="1" x14ac:dyDescent="0.25">
      <c r="A63" s="312"/>
      <c r="B63" s="365"/>
      <c r="C63" s="365"/>
      <c r="D63" s="312"/>
      <c r="E63" s="312"/>
      <c r="F63" s="366"/>
      <c r="G63" s="371"/>
      <c r="H63" s="367"/>
      <c r="I63" s="372"/>
      <c r="J63" s="87"/>
    </row>
    <row r="64" ht="21" customHeight="1" spans="1:10" s="40" customFormat="1" x14ac:dyDescent="0.25">
      <c r="A64" s="51"/>
      <c r="B64" s="358"/>
      <c r="C64" s="358"/>
      <c r="D64" s="51"/>
      <c r="E64" s="51"/>
      <c r="F64" s="359"/>
      <c r="G64" s="373"/>
      <c r="H64" s="360"/>
      <c r="I64" s="374"/>
      <c r="J64" s="87"/>
    </row>
    <row r="65" ht="21" customHeight="1" spans="1:10" s="40" customFormat="1" x14ac:dyDescent="0.25">
      <c r="A65" s="51"/>
      <c r="B65" s="358"/>
      <c r="C65" s="358"/>
      <c r="D65" s="51"/>
      <c r="E65" s="51"/>
      <c r="F65" s="359"/>
      <c r="G65" s="375"/>
      <c r="H65" s="360"/>
      <c r="I65" s="374"/>
      <c r="J65" s="87"/>
    </row>
    <row r="66" ht="21" customHeight="1" spans="1:10" s="40" customFormat="1" x14ac:dyDescent="0.25">
      <c r="A66" s="227"/>
      <c r="B66" s="361"/>
      <c r="C66" s="361"/>
      <c r="D66" s="227"/>
      <c r="E66" s="227"/>
      <c r="F66" s="362"/>
      <c r="G66" s="368"/>
      <c r="H66" s="363"/>
      <c r="I66" s="370"/>
      <c r="J66" s="87"/>
    </row>
    <row r="67" ht="21" customHeight="1" spans="1:10" s="40" customFormat="1" x14ac:dyDescent="0.25">
      <c r="A67" s="227"/>
      <c r="B67" s="361"/>
      <c r="C67" s="361"/>
      <c r="D67" s="227"/>
      <c r="E67" s="227"/>
      <c r="F67" s="362"/>
      <c r="G67" s="368"/>
      <c r="H67" s="363"/>
      <c r="I67" s="370"/>
      <c r="J67" s="87"/>
    </row>
    <row r="68" ht="21" customHeight="1" spans="1:9" s="40" customFormat="1" x14ac:dyDescent="0.25">
      <c r="A68" s="312"/>
      <c r="B68" s="365"/>
      <c r="C68" s="365"/>
      <c r="D68" s="312"/>
      <c r="E68" s="312"/>
      <c r="F68" s="366"/>
      <c r="G68" s="371"/>
      <c r="H68" s="367"/>
      <c r="I68" s="372"/>
    </row>
    <row r="69" ht="21" customHeight="1" spans="1:9" s="40" customFormat="1" x14ac:dyDescent="0.25">
      <c r="A69" s="51"/>
      <c r="B69" s="358"/>
      <c r="C69" s="358"/>
      <c r="D69" s="51"/>
      <c r="E69" s="51"/>
      <c r="F69" s="359"/>
      <c r="G69" s="373"/>
      <c r="H69" s="360"/>
      <c r="I69" s="374"/>
    </row>
    <row r="70" ht="21" customHeight="1" spans="1:9" s="40" customFormat="1" x14ac:dyDescent="0.25">
      <c r="A70" s="227"/>
      <c r="B70" s="361"/>
      <c r="C70" s="361"/>
      <c r="D70" s="227"/>
      <c r="E70" s="227"/>
      <c r="F70" s="368"/>
      <c r="G70" s="368"/>
      <c r="H70" s="363"/>
      <c r="I70" s="376"/>
    </row>
    <row r="71" ht="21" customHeight="1" spans="1:9" s="40" customFormat="1" x14ac:dyDescent="0.25">
      <c r="A71" s="377"/>
      <c r="B71" s="361"/>
      <c r="C71" s="361"/>
      <c r="D71" s="227"/>
      <c r="E71" s="227"/>
      <c r="F71" s="368"/>
      <c r="G71" s="368"/>
      <c r="H71" s="363"/>
      <c r="I71" s="376"/>
    </row>
    <row r="72" ht="21" customHeight="1" spans="1:9" s="40" customFormat="1" x14ac:dyDescent="0.25">
      <c r="A72" s="377"/>
      <c r="B72" s="361"/>
      <c r="C72" s="361"/>
      <c r="D72" s="227"/>
      <c r="E72" s="227"/>
      <c r="F72" s="368"/>
      <c r="G72" s="368"/>
      <c r="H72" s="363"/>
      <c r="I72" s="376"/>
    </row>
    <row r="73" ht="21" customHeight="1" spans="1:9" s="369" customFormat="1" x14ac:dyDescent="0.25">
      <c r="A73" s="377"/>
      <c r="B73" s="361"/>
      <c r="C73" s="361"/>
      <c r="D73" s="227"/>
      <c r="E73" s="227"/>
      <c r="F73" s="368"/>
      <c r="G73" s="368"/>
      <c r="H73" s="363"/>
      <c r="I73" s="376"/>
    </row>
    <row r="74" ht="6.95" customHeight="1" spans="1:9" s="3" customFormat="1" x14ac:dyDescent="0.25">
      <c r="A74" s="3"/>
      <c r="B74" s="3"/>
      <c r="C74" s="3"/>
      <c r="D74" s="3"/>
      <c r="E74" s="3"/>
      <c r="F74" s="3"/>
      <c r="G74" s="3"/>
      <c r="H74" s="3"/>
      <c r="I74" s="3"/>
    </row>
    <row r="75" ht="15" customHeight="1" spans="1:1" s="40" customFormat="1" x14ac:dyDescent="0.25">
      <c r="A75" s="40" t="s">
        <v>127</v>
      </c>
    </row>
    <row r="76" ht="14.25" customHeight="1" spans="1:1" s="40" customFormat="1" x14ac:dyDescent="0.25">
      <c r="A76" s="40" t="s">
        <v>128</v>
      </c>
    </row>
    <row r="77" ht="14.25" customHeight="1" spans="1:1" s="40" customFormat="1" x14ac:dyDescent="0.25">
      <c r="A77" s="40" t="s">
        <v>129</v>
      </c>
    </row>
    <row r="78" ht="14.25" customHeight="1" spans="1:1" s="40" customFormat="1" x14ac:dyDescent="0.25">
      <c r="A78" s="40" t="s">
        <v>130</v>
      </c>
    </row>
    <row r="79" ht="14.25" customHeight="1" spans="1:1" s="40" customFormat="1" x14ac:dyDescent="0.25">
      <c r="A79" s="40" t="s">
        <v>131</v>
      </c>
    </row>
    <row r="80" ht="14.25" customHeight="1" spans="1:1" s="40" customFormat="1" x14ac:dyDescent="0.25">
      <c r="A80" s="40" t="s">
        <v>132</v>
      </c>
    </row>
    <row r="81" ht="14.25" customHeight="1" s="40" customFormat="1" x14ac:dyDescent="0.25"/>
    <row r="82" ht="15.95" customHeight="1" s="3" customFormat="1" x14ac:dyDescent="0.25"/>
    <row r="83" ht="15.95" customHeight="1" s="3" customFormat="1" x14ac:dyDescent="0.25"/>
    <row r="84" ht="18" customHeight="1" spans="1:9" s="40" customFormat="1" x14ac:dyDescent="0.25">
      <c r="A84" s="202" t="s">
        <v>22</v>
      </c>
      <c r="B84" s="202"/>
      <c r="D84" s="202" t="s">
        <v>120</v>
      </c>
      <c r="E84" s="202"/>
      <c r="F84" s="202"/>
      <c r="H84" s="202" t="s">
        <v>23</v>
      </c>
      <c r="I84" s="202"/>
    </row>
    <row r="85" ht="27.95" customHeight="1" spans="1:9" s="3" customFormat="1" x14ac:dyDescent="0.25">
      <c r="A85" s="351" t="s">
        <v>24</v>
      </c>
      <c r="B85" s="351"/>
      <c r="C85" s="351"/>
      <c r="D85" s="351"/>
      <c r="E85" s="351"/>
      <c r="F85" s="351"/>
      <c r="G85" s="351"/>
      <c r="H85" s="351"/>
      <c r="I85" s="351"/>
    </row>
    <row r="86" ht="18" customHeight="1" spans="1:9" s="3" customFormat="1" x14ac:dyDescent="0.25">
      <c r="A86" s="294" t="s">
        <v>25</v>
      </c>
      <c r="B86" s="294"/>
      <c r="C86" s="294"/>
      <c r="D86" s="294"/>
      <c r="E86" s="294"/>
      <c r="F86" s="294"/>
      <c r="G86" s="294"/>
      <c r="H86" s="294"/>
      <c r="I86" s="294"/>
    </row>
    <row r="87" ht="11.25" customHeight="1" s="3" customFormat="1" x14ac:dyDescent="0.25"/>
    <row r="88" ht="27" customHeight="1" spans="1:9" x14ac:dyDescent="0.25">
      <c r="A88" s="204" t="s">
        <v>106</v>
      </c>
      <c r="B88" s="204"/>
      <c r="C88" s="204"/>
      <c r="D88" s="204"/>
      <c r="E88" s="204"/>
      <c r="F88" s="204"/>
      <c r="G88" s="204"/>
      <c r="H88" s="204"/>
      <c r="I88" s="204"/>
    </row>
    <row r="89" spans="1:9" x14ac:dyDescent="0.25">
      <c r="A89" s="187" t="s">
        <v>107</v>
      </c>
      <c r="B89" s="187"/>
      <c r="C89" s="187"/>
      <c r="D89" s="187"/>
      <c r="E89" s="187"/>
      <c r="F89" s="187"/>
      <c r="G89" s="187"/>
      <c r="H89" s="187"/>
      <c r="I89" s="187"/>
    </row>
    <row r="90" ht="14.25" customHeight="1" spans="1:9" x14ac:dyDescent="0.25">
      <c r="A90" s="187"/>
      <c r="B90" s="187"/>
      <c r="C90" s="187"/>
      <c r="D90" s="187"/>
      <c r="E90" s="187"/>
      <c r="F90" s="187"/>
      <c r="G90" s="187"/>
      <c r="H90" s="187"/>
      <c r="I90" s="8" t="s">
        <v>133</v>
      </c>
    </row>
    <row r="91" ht="22.5" customHeight="1" spans="1:9" x14ac:dyDescent="0.25">
      <c r="A91" s="3" t="str">
        <f>모선이름</f>
        <v>M / V : SAWASDEE ALTAIR</v>
      </c>
      <c r="B91" s="3"/>
      <c r="C91" s="3"/>
      <c r="D91" s="3" t="s">
        <v>4</v>
      </c>
      <c r="E91" s="187" t="str">
        <f>'OS-OUT'!H6</f>
        <v>2607S</v>
      </c>
      <c r="F91" s="187"/>
      <c r="G91" s="8" t="s">
        <v>5</v>
      </c>
      <c r="H91" s="256">
        <f>'OS-OUT'!L6</f>
        <v>46225</v>
      </c>
      <c r="I91" s="256"/>
    </row>
    <row r="92" ht="22.5" customHeight="1" spans="1:9" x14ac:dyDescent="0.25">
      <c r="A92" s="3" t="s">
        <v>110</v>
      </c>
      <c r="B92" s="3"/>
      <c r="C92" s="3"/>
      <c r="D92" s="352" t="s">
        <v>7</v>
      </c>
      <c r="E92" s="187">
        <f>작업선석</f>
        <v>6</v>
      </c>
      <c r="F92" s="187"/>
      <c r="G92" s="8" t="s">
        <v>8</v>
      </c>
      <c r="H92" s="14" t="s">
        <v>111</v>
      </c>
      <c r="I92" s="14"/>
    </row>
    <row r="93" ht="9" customHeight="1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ht="21" customHeight="1" spans="1:9" x14ac:dyDescent="0.25">
      <c r="A94" s="316" t="s">
        <v>112</v>
      </c>
      <c r="B94" s="316" t="s">
        <v>95</v>
      </c>
      <c r="C94" s="316" t="s">
        <v>91</v>
      </c>
      <c r="D94" s="167" t="s">
        <v>113</v>
      </c>
      <c r="E94" s="199"/>
      <c r="F94" s="167" t="s">
        <v>114</v>
      </c>
      <c r="G94" s="199"/>
      <c r="H94" s="267" t="s">
        <v>115</v>
      </c>
      <c r="I94" s="316" t="s">
        <v>49</v>
      </c>
    </row>
    <row r="95" ht="21" customHeight="1" spans="1:9" x14ac:dyDescent="0.25">
      <c r="A95" s="32"/>
      <c r="B95" s="32"/>
      <c r="C95" s="32"/>
      <c r="D95" s="354" t="s">
        <v>116</v>
      </c>
      <c r="E95" s="355"/>
      <c r="F95" s="356" t="s">
        <v>117</v>
      </c>
      <c r="G95" s="354" t="s">
        <v>118</v>
      </c>
      <c r="H95" s="357" t="s">
        <v>119</v>
      </c>
      <c r="I95" s="32"/>
    </row>
    <row r="96" ht="21" customHeight="1" spans="1:9" x14ac:dyDescent="0.25">
      <c r="A96" s="378" t="s">
        <v>53</v>
      </c>
      <c r="B96" s="379"/>
      <c r="C96" s="361"/>
      <c r="D96" s="215"/>
      <c r="E96" s="263"/>
      <c r="F96" s="368"/>
      <c r="G96" s="380"/>
      <c r="H96" s="381"/>
      <c r="I96" s="382"/>
    </row>
    <row r="97" ht="21" customHeight="1" spans="1:9" x14ac:dyDescent="0.25">
      <c r="A97" s="377"/>
      <c r="B97" s="383"/>
      <c r="C97" s="383"/>
      <c r="D97" s="167"/>
      <c r="E97" s="199"/>
      <c r="F97" s="368"/>
      <c r="G97" s="368"/>
      <c r="H97" s="384"/>
      <c r="I97" s="385"/>
    </row>
    <row r="98" ht="21" customHeight="1" spans="1:9" x14ac:dyDescent="0.25">
      <c r="A98" s="377"/>
      <c r="B98" s="383"/>
      <c r="C98" s="383"/>
      <c r="D98" s="167"/>
      <c r="E98" s="199"/>
      <c r="F98" s="368"/>
      <c r="G98" s="368"/>
      <c r="H98" s="384"/>
      <c r="I98" s="385"/>
    </row>
    <row r="99" ht="21" customHeight="1" spans="1:9" x14ac:dyDescent="0.25">
      <c r="A99" s="377"/>
      <c r="B99" s="383"/>
      <c r="C99" s="383"/>
      <c r="D99" s="167"/>
      <c r="E99" s="199"/>
      <c r="F99" s="368"/>
      <c r="G99" s="368"/>
      <c r="H99" s="384"/>
      <c r="I99" s="385"/>
    </row>
    <row r="100" ht="21" customHeight="1" spans="1:9" x14ac:dyDescent="0.25">
      <c r="A100" s="386"/>
      <c r="B100" s="387"/>
      <c r="C100" s="387"/>
      <c r="D100" s="173"/>
      <c r="E100" s="388"/>
      <c r="F100" s="389"/>
      <c r="G100" s="389"/>
      <c r="H100" s="390"/>
      <c r="I100" s="391"/>
    </row>
    <row r="101" ht="21" customHeight="1" spans="1:9" x14ac:dyDescent="0.25">
      <c r="A101" s="392"/>
      <c r="B101" s="393"/>
      <c r="C101" s="393"/>
      <c r="D101" s="188"/>
      <c r="E101" s="54"/>
      <c r="F101" s="375"/>
      <c r="G101" s="373"/>
      <c r="H101" s="384"/>
      <c r="I101" s="394"/>
    </row>
    <row r="102" ht="21" customHeight="1" spans="1:9" x14ac:dyDescent="0.25">
      <c r="A102" s="377"/>
      <c r="B102" s="395"/>
      <c r="C102" s="395"/>
      <c r="D102" s="167"/>
      <c r="E102" s="199"/>
      <c r="F102" s="368"/>
      <c r="G102" s="368"/>
      <c r="H102" s="384"/>
      <c r="I102" s="385"/>
    </row>
    <row r="103" ht="21" customHeight="1" spans="1:9" x14ac:dyDescent="0.25">
      <c r="A103" s="396"/>
      <c r="B103" s="396"/>
      <c r="C103" s="396"/>
      <c r="D103" s="167"/>
      <c r="E103" s="199"/>
      <c r="F103" s="368"/>
      <c r="G103" s="368"/>
      <c r="H103" s="384"/>
      <c r="I103" s="396"/>
    </row>
    <row r="104" ht="21" customHeight="1" spans="1:9" x14ac:dyDescent="0.25">
      <c r="A104" s="396"/>
      <c r="B104" s="396"/>
      <c r="C104" s="396"/>
      <c r="D104" s="167"/>
      <c r="E104" s="199"/>
      <c r="F104" s="368"/>
      <c r="G104" s="368"/>
      <c r="H104" s="384"/>
      <c r="I104" s="396"/>
    </row>
    <row r="105" ht="21" customHeight="1" spans="1:9" x14ac:dyDescent="0.25">
      <c r="A105" s="397"/>
      <c r="B105" s="397"/>
      <c r="C105" s="397"/>
      <c r="D105" s="173"/>
      <c r="E105" s="388"/>
      <c r="F105" s="389"/>
      <c r="G105" s="389"/>
      <c r="H105" s="390"/>
      <c r="I105" s="397"/>
    </row>
    <row r="106" ht="21" customHeight="1" spans="1:9" x14ac:dyDescent="0.25">
      <c r="A106" s="398"/>
      <c r="B106" s="398"/>
      <c r="C106" s="398"/>
      <c r="D106" s="29"/>
      <c r="E106" s="27"/>
      <c r="F106" s="375"/>
      <c r="G106" s="373"/>
      <c r="H106" s="399"/>
      <c r="I106" s="398"/>
    </row>
    <row r="107" ht="21" customHeight="1" spans="1:9" x14ac:dyDescent="0.25">
      <c r="A107" s="396"/>
      <c r="B107" s="396"/>
      <c r="C107" s="396"/>
      <c r="D107" s="167"/>
      <c r="E107" s="199"/>
      <c r="F107" s="368"/>
      <c r="G107" s="368"/>
      <c r="H107" s="384"/>
      <c r="I107" s="396"/>
    </row>
    <row r="108" ht="21" customHeight="1" spans="1:9" x14ac:dyDescent="0.25">
      <c r="A108" s="396"/>
      <c r="B108" s="396"/>
      <c r="C108" s="396"/>
      <c r="D108" s="167"/>
      <c r="E108" s="199"/>
      <c r="F108" s="368"/>
      <c r="G108" s="368"/>
      <c r="H108" s="384"/>
      <c r="I108" s="396"/>
    </row>
    <row r="109" ht="21" customHeight="1" spans="1:9" x14ac:dyDescent="0.25">
      <c r="A109" s="396"/>
      <c r="B109" s="396"/>
      <c r="C109" s="396"/>
      <c r="D109" s="167"/>
      <c r="E109" s="199"/>
      <c r="F109" s="368"/>
      <c r="G109" s="368"/>
      <c r="H109" s="384"/>
      <c r="I109" s="396"/>
    </row>
    <row r="110" ht="21" customHeight="1" spans="1:9" x14ac:dyDescent="0.25">
      <c r="A110" s="400"/>
      <c r="B110" s="400"/>
      <c r="C110" s="400"/>
      <c r="D110" s="173"/>
      <c r="E110" s="388"/>
      <c r="F110" s="389"/>
      <c r="G110" s="389"/>
      <c r="H110" s="316"/>
      <c r="I110" s="400"/>
    </row>
    <row r="111" ht="21" customHeight="1" spans="1:9" x14ac:dyDescent="0.25">
      <c r="A111" s="401"/>
      <c r="B111" s="401"/>
      <c r="C111" s="401"/>
      <c r="D111" s="29"/>
      <c r="E111" s="27"/>
      <c r="F111" s="375"/>
      <c r="G111" s="373"/>
      <c r="H111" s="28"/>
      <c r="I111" s="401"/>
    </row>
    <row r="112" ht="21" customHeight="1" spans="1:9" x14ac:dyDescent="0.25">
      <c r="A112" s="396"/>
      <c r="B112" s="396"/>
      <c r="C112" s="396"/>
      <c r="D112" s="167"/>
      <c r="E112" s="199"/>
      <c r="F112" s="368"/>
      <c r="G112" s="368"/>
      <c r="H112" s="267"/>
      <c r="I112" s="396"/>
    </row>
    <row r="113" ht="21" customHeight="1" spans="1:9" x14ac:dyDescent="0.25">
      <c r="A113" s="402"/>
      <c r="B113" s="402"/>
      <c r="C113" s="402"/>
      <c r="D113" s="167"/>
      <c r="E113" s="199"/>
      <c r="F113" s="368"/>
      <c r="G113" s="368"/>
      <c r="H113" s="267"/>
      <c r="I113" s="403"/>
    </row>
    <row r="114" ht="21" customHeight="1" spans="1:9" x14ac:dyDescent="0.25">
      <c r="A114" s="402"/>
      <c r="B114" s="402"/>
      <c r="C114" s="402"/>
      <c r="D114" s="167"/>
      <c r="E114" s="199"/>
      <c r="F114" s="368"/>
      <c r="G114" s="368"/>
      <c r="H114" s="267"/>
      <c r="I114" s="403"/>
    </row>
    <row r="115" ht="21" customHeight="1" spans="1:9" x14ac:dyDescent="0.25">
      <c r="A115" s="404"/>
      <c r="B115" s="404"/>
      <c r="C115" s="404"/>
      <c r="D115" s="232"/>
      <c r="E115" s="199"/>
      <c r="F115" s="368"/>
      <c r="G115" s="368"/>
      <c r="H115" s="227"/>
      <c r="I115" s="345"/>
    </row>
    <row r="116" ht="6.95" customHeight="1" spans="1:9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ht="15" customHeight="1" spans="1:9" x14ac:dyDescent="0.25">
      <c r="A117" s="40" t="s">
        <v>127</v>
      </c>
      <c r="B117" s="40"/>
      <c r="C117" s="40"/>
      <c r="D117" s="40"/>
      <c r="E117" s="40"/>
      <c r="F117" s="40"/>
      <c r="G117" s="40"/>
      <c r="H117" s="40"/>
      <c r="I117" s="40"/>
    </row>
    <row r="118" ht="14.25" customHeight="1" spans="1:9" x14ac:dyDescent="0.25">
      <c r="A118" s="40" t="s">
        <v>128</v>
      </c>
      <c r="B118" s="40"/>
      <c r="C118" s="40"/>
      <c r="D118" s="40"/>
      <c r="E118" s="40"/>
      <c r="F118" s="40"/>
      <c r="G118" s="40"/>
      <c r="H118" s="40"/>
      <c r="I118" s="40"/>
    </row>
    <row r="119" ht="14.25" customHeight="1" spans="1:9" x14ac:dyDescent="0.25">
      <c r="A119" s="40" t="s">
        <v>129</v>
      </c>
      <c r="B119" s="40"/>
      <c r="C119" s="40"/>
      <c r="D119" s="40"/>
      <c r="E119" s="40"/>
      <c r="F119" s="40"/>
      <c r="G119" s="40"/>
      <c r="H119" s="40"/>
      <c r="I119" s="40"/>
    </row>
    <row r="120" ht="14.25" customHeight="1" spans="1:9" x14ac:dyDescent="0.25">
      <c r="A120" s="40" t="s">
        <v>130</v>
      </c>
      <c r="B120" s="40"/>
      <c r="C120" s="40"/>
      <c r="D120" s="40"/>
      <c r="E120" s="40"/>
      <c r="F120" s="40"/>
      <c r="G120" s="40"/>
      <c r="H120" s="40"/>
      <c r="I120" s="40"/>
    </row>
    <row r="121" ht="14.25" customHeight="1" spans="1:9" x14ac:dyDescent="0.25">
      <c r="A121" s="40" t="s">
        <v>131</v>
      </c>
      <c r="B121" s="40"/>
      <c r="C121" s="40"/>
      <c r="D121" s="40"/>
      <c r="E121" s="40"/>
      <c r="F121" s="40"/>
      <c r="G121" s="40"/>
      <c r="H121" s="40"/>
      <c r="I121" s="40"/>
    </row>
    <row r="122" ht="14.25" customHeight="1" spans="1:9" x14ac:dyDescent="0.25">
      <c r="A122" s="40" t="s">
        <v>132</v>
      </c>
      <c r="B122" s="40"/>
      <c r="C122" s="40"/>
      <c r="D122" s="40"/>
      <c r="E122" s="40"/>
      <c r="F122" s="40"/>
      <c r="G122" s="40"/>
      <c r="H122" s="40"/>
      <c r="I122" s="40"/>
    </row>
    <row r="123" ht="14.25" customHeight="1" spans="1:9" x14ac:dyDescent="0.25">
      <c r="A123" s="40"/>
      <c r="B123" s="40"/>
      <c r="C123" s="40"/>
      <c r="D123" s="40"/>
      <c r="E123" s="40"/>
      <c r="F123" s="40"/>
      <c r="G123" s="40"/>
      <c r="H123" s="40"/>
      <c r="I123" s="40"/>
    </row>
    <row r="124" ht="14.25" customHeight="1" spans="1:9" x14ac:dyDescent="0.25">
      <c r="A124" s="40"/>
      <c r="B124" s="40"/>
      <c r="C124" s="40"/>
      <c r="D124" s="40"/>
      <c r="E124" s="40"/>
      <c r="F124" s="40"/>
      <c r="G124" s="40"/>
      <c r="H124" s="40"/>
      <c r="I124" s="40"/>
    </row>
    <row r="125" ht="15.95" customHeight="1" spans="1:9" x14ac:dyDescent="0.25">
      <c r="A125" s="200"/>
      <c r="B125" s="200"/>
      <c r="C125" s="3"/>
      <c r="D125" s="200"/>
      <c r="E125" s="200"/>
      <c r="F125" s="200"/>
      <c r="G125" s="3"/>
      <c r="H125" s="200"/>
      <c r="I125" s="200"/>
    </row>
    <row r="126" ht="18" customHeight="1" spans="1:9" x14ac:dyDescent="0.25">
      <c r="A126" s="202" t="s">
        <v>22</v>
      </c>
      <c r="B126" s="202"/>
      <c r="C126" s="40"/>
      <c r="D126" s="202" t="s">
        <v>120</v>
      </c>
      <c r="E126" s="202"/>
      <c r="F126" s="202"/>
      <c r="G126" s="40"/>
      <c r="H126" s="202" t="s">
        <v>23</v>
      </c>
      <c r="I126" s="202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E50:F50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  <mergeCell ref="A85:I85"/>
    <mergeCell ref="A86:I86"/>
    <mergeCell ref="A88:I88"/>
    <mergeCell ref="A89:I89"/>
    <mergeCell ref="E91:F91"/>
    <mergeCell ref="H91:I91"/>
    <mergeCell ref="E92:F92"/>
    <mergeCell ref="H92:I92"/>
    <mergeCell ref="D94:E94"/>
    <mergeCell ref="F94:G94"/>
    <mergeCell ref="A94:A95"/>
    <mergeCell ref="B94:B95"/>
    <mergeCell ref="C94:C95"/>
    <mergeCell ref="D95:E95"/>
    <mergeCell ref="I94:I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A126:B126"/>
    <mergeCell ref="D126:F126"/>
    <mergeCell ref="H126:I126"/>
  </mergeCells>
  <printOptions horizontalCentered="1" verticalCentered="1"/>
  <pageMargins left="0.3937007874015748" right="0.3937007874015748" top="0.5905511811023623" bottom="0.5905511811023623" header="0.15748031496062992" footer="0.15748031496062992"/>
  <pageSetup paperSize="9" orientation="portrait" horizontalDpi="4294967295" verticalDpi="4294967295" scale="94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R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18" x14ac:dyDescent="0.25">
      <c r="A1" s="203" t="s">
        <v>24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</row>
    <row r="2" ht="12" customHeight="1" spans="1:18" x14ac:dyDescent="0.25">
      <c r="A2" s="187" t="s">
        <v>25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</row>
    <row r="3" ht="5.25" customHeight="1" x14ac:dyDescent="0.25"/>
    <row r="4" ht="20.25" customHeight="1" spans="1:18" s="3" customFormat="1" x14ac:dyDescent="0.25">
      <c r="A4" s="204" t="s">
        <v>55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</row>
    <row r="5" ht="4.5" customHeight="1" x14ac:dyDescent="0.25"/>
    <row r="6" ht="17.45" customHeight="1" spans="1:18" x14ac:dyDescent="0.25">
      <c r="A6" s="3" t="s">
        <v>56</v>
      </c>
      <c r="B6" s="205" t="str">
        <f>'OS-OUT'!모선이름</f>
        <v>SAWASDEE ATLANTIC</v>
      </c>
      <c r="H6" s="187" t="s">
        <v>57</v>
      </c>
      <c r="I6" s="187"/>
      <c r="J6" s="187" t="str">
        <f>'OS-OUT'!H6</f>
        <v>2607S</v>
      </c>
      <c r="K6" s="187"/>
      <c r="O6" s="205" t="s">
        <v>58</v>
      </c>
      <c r="P6" s="256">
        <f>'OS-OUT'!L6</f>
        <v>46225</v>
      </c>
      <c r="Q6" s="256"/>
      <c r="R6" s="256"/>
    </row>
    <row r="7" ht="11.25" customHeight="1" x14ac:dyDescent="0.25"/>
    <row r="8" ht="17.45" customHeight="1" spans="1:18" x14ac:dyDescent="0.25">
      <c r="A8" s="205" t="s">
        <v>59</v>
      </c>
      <c r="B8" s="205" t="s">
        <v>25</v>
      </c>
      <c r="C8" s="205"/>
      <c r="D8" s="205"/>
      <c r="E8" s="205"/>
      <c r="H8" s="187" t="s">
        <v>39</v>
      </c>
      <c r="I8" s="187"/>
      <c r="J8" s="187" t="s">
        <v>61</v>
      </c>
      <c r="K8" s="187"/>
      <c r="O8" s="205" t="s">
        <v>80</v>
      </c>
      <c r="P8" s="293">
        <f>'Final Work'!작업선석</f>
        <v>6</v>
      </c>
      <c r="Q8" s="293"/>
      <c r="R8" s="293"/>
    </row>
    <row r="9" ht="6.75" customHeight="1" x14ac:dyDescent="0.25"/>
    <row r="10" ht="12" customHeight="1" spans="1:18" x14ac:dyDescent="0.25">
      <c r="A10" s="209" t="s">
        <v>11</v>
      </c>
      <c r="B10" s="209" t="s">
        <v>41</v>
      </c>
      <c r="C10" s="257" t="s">
        <v>63</v>
      </c>
      <c r="D10" s="201"/>
      <c r="E10" s="258"/>
      <c r="F10" s="257" t="s">
        <v>64</v>
      </c>
      <c r="G10" s="201"/>
      <c r="H10" s="201"/>
      <c r="I10" s="258"/>
      <c r="J10" s="209" t="s">
        <v>65</v>
      </c>
      <c r="K10" s="209" t="s">
        <v>66</v>
      </c>
      <c r="L10" s="257" t="s">
        <v>81</v>
      </c>
      <c r="M10" s="201"/>
      <c r="N10" s="201"/>
      <c r="O10" s="201"/>
      <c r="P10" s="201"/>
      <c r="Q10" s="201"/>
      <c r="R10" s="258"/>
    </row>
    <row r="11" ht="12" customHeight="1" spans="1:18" x14ac:dyDescent="0.25">
      <c r="A11" s="213"/>
      <c r="B11" s="213"/>
      <c r="C11" s="259"/>
      <c r="D11" s="260"/>
      <c r="E11" s="261"/>
      <c r="F11" s="259"/>
      <c r="G11" s="260"/>
      <c r="H11" s="260"/>
      <c r="I11" s="261"/>
      <c r="J11" s="213" t="s">
        <v>50</v>
      </c>
      <c r="K11" s="213"/>
      <c r="L11" s="259"/>
      <c r="M11" s="260"/>
      <c r="N11" s="260"/>
      <c r="O11" s="260"/>
      <c r="P11" s="260"/>
      <c r="Q11" s="260"/>
      <c r="R11" s="261"/>
    </row>
    <row r="12" ht="19.15" customHeight="1" spans="1:18" x14ac:dyDescent="0.25">
      <c r="A12" s="51" t="s">
        <v>82</v>
      </c>
      <c r="B12" s="51"/>
      <c r="C12" s="215"/>
      <c r="D12" s="262"/>
      <c r="E12" s="263"/>
      <c r="F12" s="215"/>
      <c r="G12" s="262"/>
      <c r="H12" s="262"/>
      <c r="I12" s="263"/>
      <c r="J12" s="51"/>
      <c r="K12" s="51"/>
      <c r="L12" s="264"/>
      <c r="M12" s="265"/>
      <c r="N12" s="265"/>
      <c r="O12" s="265"/>
      <c r="P12" s="265"/>
      <c r="Q12" s="265"/>
      <c r="R12" s="266"/>
    </row>
    <row r="13" ht="19.15" customHeight="1" spans="1:18" x14ac:dyDescent="0.25">
      <c r="A13" s="267"/>
      <c r="B13" s="267"/>
      <c r="C13" s="167"/>
      <c r="D13" s="268"/>
      <c r="E13" s="199"/>
      <c r="F13" s="167"/>
      <c r="G13" s="268"/>
      <c r="H13" s="268"/>
      <c r="I13" s="199"/>
      <c r="J13" s="267"/>
      <c r="K13" s="267"/>
      <c r="L13" s="269"/>
      <c r="M13" s="269"/>
      <c r="N13" s="269"/>
      <c r="O13" s="269"/>
      <c r="P13" s="269"/>
      <c r="Q13" s="269"/>
      <c r="R13" s="269"/>
    </row>
    <row r="14" ht="19.15" customHeight="1" spans="1:18" x14ac:dyDescent="0.25">
      <c r="A14" s="267"/>
      <c r="B14" s="267"/>
      <c r="C14" s="167"/>
      <c r="D14" s="268"/>
      <c r="E14" s="199"/>
      <c r="F14" s="167"/>
      <c r="G14" s="268"/>
      <c r="H14" s="268"/>
      <c r="I14" s="199"/>
      <c r="J14" s="267"/>
      <c r="K14" s="267"/>
      <c r="L14" s="269"/>
      <c r="M14" s="269"/>
      <c r="N14" s="269"/>
      <c r="O14" s="269"/>
      <c r="P14" s="269"/>
      <c r="Q14" s="269"/>
      <c r="R14" s="269"/>
    </row>
    <row r="15" ht="19.15" customHeight="1" spans="1:18" x14ac:dyDescent="0.25">
      <c r="A15" s="267"/>
      <c r="B15" s="267"/>
      <c r="C15" s="167"/>
      <c r="D15" s="268"/>
      <c r="E15" s="199"/>
      <c r="F15" s="167"/>
      <c r="G15" s="268"/>
      <c r="H15" s="268"/>
      <c r="I15" s="199"/>
      <c r="J15" s="267"/>
      <c r="K15" s="267"/>
      <c r="L15" s="269"/>
      <c r="M15" s="269"/>
      <c r="N15" s="269"/>
      <c r="O15" s="269"/>
      <c r="P15" s="269"/>
      <c r="Q15" s="269"/>
      <c r="R15" s="269"/>
    </row>
    <row r="16" ht="19.15" customHeight="1" spans="1:18" x14ac:dyDescent="0.25">
      <c r="A16" s="267"/>
      <c r="B16" s="267"/>
      <c r="C16" s="167"/>
      <c r="D16" s="268"/>
      <c r="E16" s="199"/>
      <c r="F16" s="167"/>
      <c r="G16" s="268"/>
      <c r="H16" s="268"/>
      <c r="I16" s="199"/>
      <c r="J16" s="267"/>
      <c r="K16" s="267"/>
      <c r="L16" s="269"/>
      <c r="M16" s="269"/>
      <c r="N16" s="269"/>
      <c r="O16" s="269"/>
      <c r="P16" s="269"/>
      <c r="Q16" s="269"/>
      <c r="R16" s="269"/>
    </row>
    <row r="17" ht="19.15" customHeight="1" spans="1:18" x14ac:dyDescent="0.25">
      <c r="A17" s="267"/>
      <c r="B17" s="267"/>
      <c r="C17" s="167"/>
      <c r="D17" s="268"/>
      <c r="E17" s="199"/>
      <c r="F17" s="167"/>
      <c r="G17" s="268"/>
      <c r="H17" s="268"/>
      <c r="I17" s="199"/>
      <c r="J17" s="267"/>
      <c r="K17" s="267"/>
      <c r="L17" s="269"/>
      <c r="M17" s="269"/>
      <c r="N17" s="269"/>
      <c r="O17" s="269"/>
      <c r="P17" s="269"/>
      <c r="Q17" s="269"/>
      <c r="R17" s="269"/>
    </row>
    <row r="18" ht="19.15" customHeight="1" spans="1:18" x14ac:dyDescent="0.25">
      <c r="A18" s="267"/>
      <c r="B18" s="267"/>
      <c r="C18" s="167"/>
      <c r="D18" s="268"/>
      <c r="E18" s="199"/>
      <c r="F18" s="167"/>
      <c r="G18" s="268"/>
      <c r="H18" s="268"/>
      <c r="I18" s="199"/>
      <c r="J18" s="267"/>
      <c r="K18" s="267"/>
      <c r="L18" s="269"/>
      <c r="M18" s="269"/>
      <c r="N18" s="269"/>
      <c r="O18" s="269"/>
      <c r="P18" s="269"/>
      <c r="Q18" s="269"/>
      <c r="R18" s="269"/>
    </row>
    <row r="19" ht="19.15" customHeight="1" spans="1:18" x14ac:dyDescent="0.25">
      <c r="A19" s="267"/>
      <c r="B19" s="267"/>
      <c r="C19" s="167"/>
      <c r="D19" s="268"/>
      <c r="E19" s="199"/>
      <c r="F19" s="167"/>
      <c r="G19" s="268"/>
      <c r="H19" s="268"/>
      <c r="I19" s="199"/>
      <c r="J19" s="267"/>
      <c r="K19" s="267"/>
      <c r="L19" s="269"/>
      <c r="M19" s="269"/>
      <c r="N19" s="269"/>
      <c r="O19" s="269"/>
      <c r="P19" s="269"/>
      <c r="Q19" s="269"/>
      <c r="R19" s="269"/>
    </row>
    <row r="20" ht="19.15" customHeight="1" spans="1:18" x14ac:dyDescent="0.25">
      <c r="A20" s="267"/>
      <c r="B20" s="267"/>
      <c r="C20" s="167"/>
      <c r="D20" s="268"/>
      <c r="E20" s="199"/>
      <c r="F20" s="167"/>
      <c r="G20" s="268"/>
      <c r="H20" s="268"/>
      <c r="I20" s="199"/>
      <c r="J20" s="267"/>
      <c r="K20" s="267"/>
      <c r="L20" s="269"/>
      <c r="M20" s="269"/>
      <c r="N20" s="269"/>
      <c r="O20" s="269"/>
      <c r="P20" s="269"/>
      <c r="Q20" s="269"/>
      <c r="R20" s="269"/>
    </row>
    <row r="21" ht="19.15" customHeight="1" spans="1:18" x14ac:dyDescent="0.25">
      <c r="A21" s="267"/>
      <c r="B21" s="267"/>
      <c r="C21" s="167"/>
      <c r="D21" s="268"/>
      <c r="E21" s="199"/>
      <c r="F21" s="167"/>
      <c r="G21" s="268"/>
      <c r="H21" s="268"/>
      <c r="I21" s="199"/>
      <c r="J21" s="267"/>
      <c r="K21" s="267"/>
      <c r="L21" s="269"/>
      <c r="M21" s="269"/>
      <c r="N21" s="269"/>
      <c r="O21" s="269"/>
      <c r="P21" s="269"/>
      <c r="Q21" s="269"/>
      <c r="R21" s="269"/>
    </row>
    <row r="22" ht="19.15" customHeight="1" spans="1:18" x14ac:dyDescent="0.25">
      <c r="A22" s="267"/>
      <c r="B22" s="267"/>
      <c r="C22" s="167"/>
      <c r="D22" s="268"/>
      <c r="E22" s="199"/>
      <c r="F22" s="167"/>
      <c r="G22" s="268"/>
      <c r="H22" s="268"/>
      <c r="I22" s="199"/>
      <c r="J22" s="267"/>
      <c r="K22" s="267"/>
      <c r="L22" s="269"/>
      <c r="M22" s="269"/>
      <c r="N22" s="269"/>
      <c r="O22" s="269"/>
      <c r="P22" s="269"/>
      <c r="Q22" s="269"/>
      <c r="R22" s="269"/>
    </row>
    <row r="23" ht="19.15" customHeight="1" spans="1:18" x14ac:dyDescent="0.25">
      <c r="A23" s="267"/>
      <c r="B23" s="267"/>
      <c r="C23" s="167"/>
      <c r="D23" s="268"/>
      <c r="E23" s="199"/>
      <c r="F23" s="167"/>
      <c r="G23" s="268"/>
      <c r="H23" s="268"/>
      <c r="I23" s="199"/>
      <c r="J23" s="267"/>
      <c r="K23" s="267"/>
      <c r="L23" s="269"/>
      <c r="M23" s="269"/>
      <c r="N23" s="269"/>
      <c r="O23" s="269"/>
      <c r="P23" s="269"/>
      <c r="Q23" s="269"/>
      <c r="R23" s="269"/>
    </row>
    <row r="24" ht="19.15" customHeight="1" spans="1:18" x14ac:dyDescent="0.25">
      <c r="A24" s="267"/>
      <c r="B24" s="267"/>
      <c r="C24" s="167"/>
      <c r="D24" s="268"/>
      <c r="E24" s="199"/>
      <c r="F24" s="167"/>
      <c r="G24" s="268"/>
      <c r="H24" s="268"/>
      <c r="I24" s="199"/>
      <c r="J24" s="267"/>
      <c r="K24" s="267"/>
      <c r="L24" s="269"/>
      <c r="M24" s="269"/>
      <c r="N24" s="269"/>
      <c r="O24" s="269"/>
      <c r="P24" s="269"/>
      <c r="Q24" s="269"/>
      <c r="R24" s="269"/>
    </row>
    <row r="25" ht="19.15" customHeight="1" spans="1:18" x14ac:dyDescent="0.25">
      <c r="A25" s="267"/>
      <c r="B25" s="267"/>
      <c r="C25" s="167"/>
      <c r="D25" s="268"/>
      <c r="E25" s="199"/>
      <c r="F25" s="167"/>
      <c r="G25" s="268"/>
      <c r="H25" s="268"/>
      <c r="I25" s="199"/>
      <c r="J25" s="267"/>
      <c r="K25" s="267"/>
      <c r="L25" s="269"/>
      <c r="M25" s="269"/>
      <c r="N25" s="269"/>
      <c r="O25" s="269"/>
      <c r="P25" s="269"/>
      <c r="Q25" s="269"/>
      <c r="R25" s="269"/>
    </row>
    <row r="26" ht="19.15" customHeight="1" spans="1:18" x14ac:dyDescent="0.25">
      <c r="A26" s="267"/>
      <c r="B26" s="267"/>
      <c r="C26" s="167"/>
      <c r="D26" s="268"/>
      <c r="E26" s="199"/>
      <c r="F26" s="167"/>
      <c r="G26" s="268"/>
      <c r="H26" s="268"/>
      <c r="I26" s="199"/>
      <c r="J26" s="267"/>
      <c r="K26" s="267"/>
      <c r="L26" s="269"/>
      <c r="M26" s="269"/>
      <c r="N26" s="269"/>
      <c r="O26" s="269"/>
      <c r="P26" s="269"/>
      <c r="Q26" s="269"/>
      <c r="R26" s="269"/>
    </row>
    <row r="27" ht="19.15" customHeight="1" spans="1:18" x14ac:dyDescent="0.25">
      <c r="A27" s="267"/>
      <c r="B27" s="267"/>
      <c r="C27" s="167"/>
      <c r="D27" s="268"/>
      <c r="E27" s="199"/>
      <c r="F27" s="167"/>
      <c r="G27" s="268"/>
      <c r="H27" s="268"/>
      <c r="I27" s="199"/>
      <c r="J27" s="267"/>
      <c r="K27" s="267"/>
      <c r="L27" s="269"/>
      <c r="M27" s="269"/>
      <c r="N27" s="269"/>
      <c r="O27" s="269"/>
      <c r="P27" s="269"/>
      <c r="Q27" s="269"/>
      <c r="R27" s="269"/>
    </row>
    <row r="28" ht="19.15" customHeight="1" spans="1:18" x14ac:dyDescent="0.25">
      <c r="A28" s="267"/>
      <c r="B28" s="267"/>
      <c r="C28" s="167"/>
      <c r="D28" s="268"/>
      <c r="E28" s="199"/>
      <c r="F28" s="167"/>
      <c r="G28" s="268"/>
      <c r="H28" s="268"/>
      <c r="I28" s="199"/>
      <c r="J28" s="267"/>
      <c r="K28" s="267"/>
      <c r="L28" s="269"/>
      <c r="M28" s="269"/>
      <c r="N28" s="269"/>
      <c r="O28" s="269"/>
      <c r="P28" s="269"/>
      <c r="Q28" s="269"/>
      <c r="R28" s="269"/>
    </row>
    <row r="31" ht="15" customHeight="1" spans="1:18" x14ac:dyDescent="0.25">
      <c r="A31" s="200"/>
      <c r="B31" s="200"/>
      <c r="C31" s="200"/>
      <c r="D31" s="200"/>
      <c r="F31" s="3"/>
      <c r="G31" s="3"/>
      <c r="H31" s="3"/>
      <c r="I31" s="200"/>
      <c r="J31" s="200"/>
      <c r="K31" s="200"/>
      <c r="O31" s="200"/>
      <c r="P31" s="200"/>
      <c r="Q31" s="200"/>
      <c r="R31" s="200"/>
    </row>
    <row r="32" spans="1:18" x14ac:dyDescent="0.25">
      <c r="A32" s="201" t="s">
        <v>22</v>
      </c>
      <c r="B32" s="201"/>
      <c r="C32" s="201"/>
      <c r="D32" s="201"/>
      <c r="F32" s="3"/>
      <c r="G32" s="3"/>
      <c r="I32" s="201" t="s">
        <v>54</v>
      </c>
      <c r="J32" s="201"/>
      <c r="K32" s="201"/>
      <c r="O32" s="201" t="s">
        <v>23</v>
      </c>
      <c r="P32" s="201"/>
      <c r="Q32" s="201"/>
      <c r="R32" s="201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3937007874015748" right="0.35433070866141736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O88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40.15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5.15" customHeight="1" spans="1:13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10.5" customHeight="1" x14ac:dyDescent="0.25"/>
    <row r="4" spans="1:15" x14ac:dyDescent="0.25">
      <c r="A4" s="8" t="s">
        <v>2</v>
      </c>
      <c r="B4" s="9" t="s">
        <v>3</v>
      </c>
      <c r="C4" s="1"/>
      <c r="E4" s="10"/>
      <c r="F4" s="11" t="s">
        <v>4</v>
      </c>
      <c r="G4" s="12"/>
      <c r="H4" s="12"/>
      <c r="I4" s="12"/>
      <c r="J4" s="1"/>
      <c r="K4" s="8" t="s">
        <v>5</v>
      </c>
      <c r="L4" s="13"/>
      <c r="M4" s="14"/>
      <c r="N4" s="14"/>
      <c r="O4" s="14"/>
    </row>
    <row r="5" ht="9.75" customHeight="1" spans="1:9" x14ac:dyDescent="0.25">
      <c r="A5" s="1"/>
      <c r="B5" s="1"/>
      <c r="D5" s="15"/>
      <c r="F5" s="1"/>
      <c r="G5" s="1"/>
      <c r="H5" s="1"/>
      <c r="I5" s="1"/>
    </row>
    <row r="6" spans="1:15" x14ac:dyDescent="0.25">
      <c r="A6" s="8" t="s">
        <v>6</v>
      </c>
      <c r="B6" s="16"/>
      <c r="E6" s="17"/>
      <c r="F6" s="11" t="s">
        <v>7</v>
      </c>
      <c r="G6" s="12"/>
      <c r="H6" s="12"/>
      <c r="I6" s="12"/>
      <c r="J6" s="1"/>
      <c r="K6" s="8" t="s">
        <v>8</v>
      </c>
      <c r="L6" s="18" t="s">
        <v>9</v>
      </c>
      <c r="M6" s="18"/>
      <c r="N6" s="18"/>
      <c r="O6" s="18"/>
    </row>
    <row r="7" ht="11.25" customHeight="1" spans="1:11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</row>
    <row r="8" ht="15" customHeight="1" spans="1:1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(195)</v>
      </c>
      <c r="E8" s="25"/>
      <c r="F8" s="25"/>
      <c r="G8" s="25"/>
      <c r="H8" s="24" t="str">
        <f>+"LOAD ("&amp;H74+I74+J74+K74+H75+I75+J75+K75&amp;")"</f>
        <v>LOAD (273)</v>
      </c>
      <c r="I8" s="25"/>
      <c r="J8" s="25"/>
      <c r="K8" s="26"/>
      <c r="L8" s="27" t="str">
        <f>+"SHIFT ("&amp;L74+M74+N74+O74+L75+M75+N75+O75&amp;")"</f>
        <v>SHIFT (0)</v>
      </c>
      <c r="M8" s="28"/>
      <c r="N8" s="29"/>
      <c r="O8" s="30"/>
    </row>
    <row r="9" ht="15" customHeight="1" spans="1:1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</row>
    <row r="10" ht="13.9" customHeight="1" hidden="1" spans="1:1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</row>
    <row r="11" ht="13.9" customHeight="1" hidden="1" spans="1:15" s="40" customFormat="1" x14ac:dyDescent="0.25">
      <c r="A11" s="40"/>
      <c r="B11" s="40"/>
      <c r="C11" s="49" t="s">
        <v>18</v>
      </c>
      <c r="D11" s="50"/>
      <c r="E11" s="51"/>
      <c r="F11" s="51"/>
      <c r="G11" s="52"/>
      <c r="H11" s="50"/>
      <c r="I11" s="51"/>
      <c r="J11" s="51"/>
      <c r="K11" s="53"/>
      <c r="L11" s="54"/>
      <c r="M11" s="51"/>
      <c r="N11" s="51"/>
      <c r="O11" s="53"/>
    </row>
    <row r="12" ht="15" customHeight="1" spans="1:15" s="40" customFormat="1" x14ac:dyDescent="0.25">
      <c r="A12" s="40"/>
      <c r="B12" s="55"/>
      <c r="C12" s="56" t="s">
        <v>17</v>
      </c>
      <c r="D12" s="57"/>
      <c r="E12" s="58"/>
      <c r="F12" s="58"/>
      <c r="G12" s="59"/>
      <c r="H12" s="57"/>
      <c r="I12" s="58"/>
      <c r="J12" s="58"/>
      <c r="K12" s="60"/>
      <c r="L12" s="61"/>
      <c r="M12" s="58"/>
      <c r="N12" s="58"/>
      <c r="O12" s="60"/>
    </row>
    <row r="13" ht="15" customHeight="1" spans="1:15" s="40" customFormat="1" x14ac:dyDescent="0.25">
      <c r="A13" s="40"/>
      <c r="B13" s="40"/>
      <c r="C13" s="49" t="s">
        <v>18</v>
      </c>
      <c r="D13" s="50"/>
      <c r="E13" s="51"/>
      <c r="F13" s="51"/>
      <c r="G13" s="52"/>
      <c r="H13" s="50"/>
      <c r="I13" s="51"/>
      <c r="J13" s="51"/>
      <c r="K13" s="53"/>
      <c r="L13" s="54"/>
      <c r="M13" s="51"/>
      <c r="N13" s="51"/>
      <c r="O13" s="53"/>
    </row>
    <row r="14" ht="15" customHeight="1" spans="1:15" s="40" customFormat="1" x14ac:dyDescent="0.25">
      <c r="A14" s="40"/>
      <c r="B14" s="55"/>
      <c r="C14" s="62" t="s">
        <v>17</v>
      </c>
      <c r="D14" s="57"/>
      <c r="E14" s="58"/>
      <c r="F14" s="58"/>
      <c r="G14" s="59"/>
      <c r="H14" s="57"/>
      <c r="I14" s="58"/>
      <c r="J14" s="58"/>
      <c r="K14" s="60"/>
      <c r="L14" s="61"/>
      <c r="M14" s="58"/>
      <c r="N14" s="58"/>
      <c r="O14" s="60"/>
    </row>
    <row r="15" ht="15" customHeight="1" spans="1:15" s="40" customFormat="1" x14ac:dyDescent="0.25">
      <c r="A15" s="40"/>
      <c r="B15" s="40"/>
      <c r="C15" s="63" t="s">
        <v>18</v>
      </c>
      <c r="D15" s="64"/>
      <c r="E15" s="65"/>
      <c r="F15" s="65"/>
      <c r="G15" s="66"/>
      <c r="H15" s="64"/>
      <c r="I15" s="65"/>
      <c r="J15" s="65"/>
      <c r="K15" s="67"/>
      <c r="L15" s="68"/>
      <c r="M15" s="65"/>
      <c r="N15" s="65"/>
      <c r="O15" s="67"/>
    </row>
    <row r="16" ht="15" customHeight="1" spans="1:15" s="40" customFormat="1" x14ac:dyDescent="0.25">
      <c r="A16" s="40"/>
      <c r="B16" s="55"/>
      <c r="C16" s="69" t="s">
        <v>17</v>
      </c>
      <c r="D16" s="70"/>
      <c r="E16" s="71"/>
      <c r="F16" s="71"/>
      <c r="G16" s="72"/>
      <c r="H16" s="70"/>
      <c r="I16" s="71"/>
      <c r="J16" s="71"/>
      <c r="K16" s="73"/>
      <c r="L16" s="74"/>
      <c r="M16" s="71"/>
      <c r="N16" s="71"/>
      <c r="O16" s="73"/>
    </row>
    <row r="17" ht="15" customHeight="1" spans="1:15" s="40" customFormat="1" x14ac:dyDescent="0.25">
      <c r="A17" s="40"/>
      <c r="B17" s="40"/>
      <c r="C17" s="63" t="s">
        <v>18</v>
      </c>
      <c r="D17" s="64"/>
      <c r="E17" s="65"/>
      <c r="F17" s="65"/>
      <c r="G17" s="66"/>
      <c r="H17" s="64"/>
      <c r="I17" s="65"/>
      <c r="J17" s="65"/>
      <c r="K17" s="67"/>
      <c r="L17" s="68"/>
      <c r="M17" s="65"/>
      <c r="N17" s="65"/>
      <c r="O17" s="67"/>
    </row>
    <row r="18" ht="15" customHeight="1" spans="1:15" s="40" customFormat="1" x14ac:dyDescent="0.25">
      <c r="A18" s="40"/>
      <c r="B18" s="55"/>
      <c r="C18" s="62" t="s">
        <v>17</v>
      </c>
      <c r="D18" s="57"/>
      <c r="E18" s="58"/>
      <c r="F18" s="58"/>
      <c r="G18" s="59"/>
      <c r="H18" s="57"/>
      <c r="I18" s="58"/>
      <c r="J18" s="58"/>
      <c r="K18" s="60"/>
      <c r="L18" s="61"/>
      <c r="M18" s="58"/>
      <c r="N18" s="58"/>
      <c r="O18" s="60"/>
    </row>
    <row r="19" ht="15" customHeight="1" spans="1:15" s="40" customFormat="1" x14ac:dyDescent="0.25">
      <c r="A19" s="40"/>
      <c r="B19" s="40"/>
      <c r="C19" s="63" t="s">
        <v>18</v>
      </c>
      <c r="D19" s="64"/>
      <c r="E19" s="65"/>
      <c r="F19" s="65"/>
      <c r="G19" s="66"/>
      <c r="H19" s="64"/>
      <c r="I19" s="65"/>
      <c r="J19" s="65"/>
      <c r="K19" s="67"/>
      <c r="L19" s="68"/>
      <c r="M19" s="65"/>
      <c r="N19" s="65"/>
      <c r="O19" s="67"/>
    </row>
    <row r="20" ht="15" customHeight="1" spans="1:15" s="40" customFormat="1" x14ac:dyDescent="0.25">
      <c r="A20" s="40"/>
      <c r="B20" s="55"/>
      <c r="C20" s="62" t="s">
        <v>17</v>
      </c>
      <c r="D20" s="57"/>
      <c r="E20" s="58"/>
      <c r="F20" s="58"/>
      <c r="G20" s="59"/>
      <c r="H20" s="57"/>
      <c r="I20" s="58"/>
      <c r="J20" s="58"/>
      <c r="K20" s="60"/>
      <c r="L20" s="61"/>
      <c r="M20" s="58"/>
      <c r="N20" s="58"/>
      <c r="O20" s="60"/>
    </row>
    <row r="21" ht="15" customHeight="1" spans="1:15" s="40" customFormat="1" x14ac:dyDescent="0.25">
      <c r="A21" s="40"/>
      <c r="B21" s="40"/>
      <c r="C21" s="75" t="s">
        <v>18</v>
      </c>
      <c r="D21" s="76"/>
      <c r="E21" s="77"/>
      <c r="F21" s="77"/>
      <c r="G21" s="78"/>
      <c r="H21" s="76"/>
      <c r="I21" s="77"/>
      <c r="J21" s="77"/>
      <c r="K21" s="79"/>
      <c r="L21" s="80"/>
      <c r="M21" s="77"/>
      <c r="N21" s="77"/>
      <c r="O21" s="79"/>
    </row>
    <row r="22" ht="13.9" customHeight="1" hidden="1" spans="1:15" s="40" customFormat="1" x14ac:dyDescent="0.25">
      <c r="A22" s="81"/>
      <c r="B22" s="82"/>
      <c r="C22" s="83" t="s">
        <v>17</v>
      </c>
      <c r="D22" s="70"/>
      <c r="E22" s="71"/>
      <c r="F22" s="71"/>
      <c r="G22" s="72"/>
      <c r="H22" s="70"/>
      <c r="I22" s="71"/>
      <c r="J22" s="71"/>
      <c r="K22" s="73"/>
      <c r="L22" s="74"/>
      <c r="M22" s="71"/>
      <c r="N22" s="71"/>
      <c r="O22" s="73"/>
    </row>
    <row r="23" ht="13.9" customHeight="1" hidden="1" spans="1:15" s="40" customFormat="1" x14ac:dyDescent="0.25">
      <c r="A23" s="40"/>
      <c r="B23" s="40"/>
      <c r="C23" s="49" t="s">
        <v>18</v>
      </c>
      <c r="D23" s="50"/>
      <c r="E23" s="51"/>
      <c r="F23" s="51"/>
      <c r="G23" s="52"/>
      <c r="H23" s="50"/>
      <c r="I23" s="51"/>
      <c r="J23" s="51"/>
      <c r="K23" s="53"/>
      <c r="L23" s="54"/>
      <c r="M23" s="51"/>
      <c r="N23" s="51"/>
      <c r="O23" s="53"/>
    </row>
    <row r="24" ht="15" customHeight="1" spans="1:15" s="40" customFormat="1" x14ac:dyDescent="0.25">
      <c r="A24" s="40"/>
      <c r="B24" s="55"/>
      <c r="C24" s="83" t="s">
        <v>17</v>
      </c>
      <c r="D24" s="70"/>
      <c r="E24" s="71"/>
      <c r="F24" s="71"/>
      <c r="G24" s="73"/>
      <c r="H24" s="70"/>
      <c r="I24" s="71"/>
      <c r="J24" s="71"/>
      <c r="K24" s="73"/>
      <c r="L24" s="74"/>
      <c r="M24" s="71"/>
      <c r="N24" s="71"/>
      <c r="O24" s="73"/>
    </row>
    <row r="25" ht="15" customHeight="1" spans="1:15" s="40" customFormat="1" x14ac:dyDescent="0.25">
      <c r="A25" s="40"/>
      <c r="B25" s="40"/>
      <c r="C25" s="49" t="s">
        <v>18</v>
      </c>
      <c r="D25" s="50"/>
      <c r="E25" s="51"/>
      <c r="F25" s="51"/>
      <c r="G25" s="53"/>
      <c r="H25" s="50"/>
      <c r="I25" s="51"/>
      <c r="J25" s="51"/>
      <c r="K25" s="53"/>
      <c r="L25" s="54"/>
      <c r="M25" s="51"/>
      <c r="N25" s="51"/>
      <c r="O25" s="53"/>
    </row>
    <row r="26" ht="15" customHeight="1" spans="1:15" s="40" customFormat="1" x14ac:dyDescent="0.25">
      <c r="A26" s="40"/>
      <c r="B26" s="55"/>
      <c r="C26" s="69" t="s">
        <v>17</v>
      </c>
      <c r="D26" s="70"/>
      <c r="E26" s="71"/>
      <c r="F26" s="71"/>
      <c r="G26" s="73"/>
      <c r="H26" s="70"/>
      <c r="I26" s="71"/>
      <c r="J26" s="71"/>
      <c r="K26" s="73"/>
      <c r="L26" s="74"/>
      <c r="M26" s="71"/>
      <c r="N26" s="71"/>
      <c r="O26" s="73"/>
    </row>
    <row r="27" ht="15" customHeight="1" spans="1:15" s="40" customFormat="1" x14ac:dyDescent="0.25">
      <c r="A27" s="40"/>
      <c r="B27" s="40"/>
      <c r="C27" s="84" t="s">
        <v>18</v>
      </c>
      <c r="D27" s="50"/>
      <c r="E27" s="51"/>
      <c r="F27" s="51"/>
      <c r="G27" s="53"/>
      <c r="H27" s="50"/>
      <c r="I27" s="51"/>
      <c r="J27" s="51"/>
      <c r="K27" s="53"/>
      <c r="L27" s="54"/>
      <c r="M27" s="51"/>
      <c r="N27" s="51"/>
      <c r="O27" s="53"/>
    </row>
    <row r="28" ht="15" customHeight="1" spans="1:15" s="40" customFormat="1" x14ac:dyDescent="0.25">
      <c r="A28" s="40"/>
      <c r="B28" s="55"/>
      <c r="C28" s="69" t="s">
        <v>17</v>
      </c>
      <c r="D28" s="85"/>
      <c r="E28" s="86"/>
      <c r="F28" s="86"/>
      <c r="G28" s="87"/>
      <c r="H28" s="85"/>
      <c r="I28" s="86"/>
      <c r="J28" s="86"/>
      <c r="K28" s="88"/>
      <c r="L28" s="89"/>
      <c r="M28" s="86"/>
      <c r="N28" s="86"/>
      <c r="O28" s="88"/>
    </row>
    <row r="29" ht="15" customHeight="1" spans="1:15" s="40" customFormat="1" x14ac:dyDescent="0.25">
      <c r="A29" s="40"/>
      <c r="B29" s="40"/>
      <c r="C29" s="84" t="s">
        <v>18</v>
      </c>
      <c r="D29" s="85"/>
      <c r="E29" s="86"/>
      <c r="F29" s="86"/>
      <c r="G29" s="87"/>
      <c r="H29" s="85"/>
      <c r="I29" s="86"/>
      <c r="J29" s="86"/>
      <c r="K29" s="88"/>
      <c r="L29" s="89"/>
      <c r="M29" s="86"/>
      <c r="N29" s="86"/>
      <c r="O29" s="88"/>
    </row>
    <row r="30" ht="15" customHeight="1" spans="1:15" s="40" customFormat="1" x14ac:dyDescent="0.25">
      <c r="A30" s="40"/>
      <c r="B30" s="55"/>
      <c r="C30" s="62" t="s">
        <v>17</v>
      </c>
      <c r="D30" s="57"/>
      <c r="E30" s="58"/>
      <c r="F30" s="58"/>
      <c r="G30" s="59"/>
      <c r="H30" s="57"/>
      <c r="I30" s="58"/>
      <c r="J30" s="58"/>
      <c r="K30" s="60"/>
      <c r="L30" s="61"/>
      <c r="M30" s="58"/>
      <c r="N30" s="58"/>
      <c r="O30" s="60"/>
    </row>
    <row r="31" ht="15" customHeight="1" spans="1:15" s="40" customFormat="1" x14ac:dyDescent="0.25">
      <c r="A31" s="40"/>
      <c r="B31" s="40"/>
      <c r="C31" s="84" t="s">
        <v>18</v>
      </c>
      <c r="D31" s="50"/>
      <c r="E31" s="51"/>
      <c r="F31" s="51"/>
      <c r="G31" s="52"/>
      <c r="H31" s="50"/>
      <c r="I31" s="51"/>
      <c r="J31" s="51"/>
      <c r="K31" s="53"/>
      <c r="L31" s="54"/>
      <c r="M31" s="51"/>
      <c r="N31" s="51"/>
      <c r="O31" s="53"/>
    </row>
    <row r="32" ht="15" customHeight="1" spans="1:15" s="40" customFormat="1" x14ac:dyDescent="0.25">
      <c r="A32" s="40"/>
      <c r="B32" s="55"/>
      <c r="C32" s="62" t="s">
        <v>17</v>
      </c>
      <c r="D32" s="57"/>
      <c r="E32" s="58"/>
      <c r="F32" s="58"/>
      <c r="G32" s="59"/>
      <c r="H32" s="57"/>
      <c r="I32" s="58"/>
      <c r="J32" s="58"/>
      <c r="K32" s="60"/>
      <c r="L32" s="61"/>
      <c r="M32" s="58"/>
      <c r="N32" s="58"/>
      <c r="O32" s="60"/>
    </row>
    <row r="33" ht="15" customHeight="1" spans="1:15" s="40" customFormat="1" x14ac:dyDescent="0.25">
      <c r="A33" s="40"/>
      <c r="B33" s="40"/>
      <c r="C33" s="90" t="s">
        <v>18</v>
      </c>
      <c r="D33" s="91"/>
      <c r="E33" s="92"/>
      <c r="F33" s="92"/>
      <c r="G33" s="93"/>
      <c r="H33" s="91"/>
      <c r="I33" s="92"/>
      <c r="J33" s="92"/>
      <c r="K33" s="94"/>
      <c r="L33" s="95"/>
      <c r="M33" s="92"/>
      <c r="N33" s="92"/>
      <c r="O33" s="94"/>
    </row>
    <row r="34" ht="12.4" customHeight="1" hidden="1" spans="1:15" s="40" customFormat="1" x14ac:dyDescent="0.25">
      <c r="A34" s="96"/>
      <c r="B34" s="97"/>
      <c r="C34" s="69" t="s">
        <v>17</v>
      </c>
      <c r="D34" s="70"/>
      <c r="E34" s="71"/>
      <c r="F34" s="71"/>
      <c r="G34" s="73"/>
      <c r="H34" s="70"/>
      <c r="I34" s="71"/>
      <c r="J34" s="71"/>
      <c r="K34" s="73"/>
      <c r="L34" s="74"/>
      <c r="M34" s="71"/>
      <c r="N34" s="71"/>
      <c r="O34" s="73"/>
    </row>
    <row r="35" ht="12.4" customHeight="1" hidden="1" spans="1:15" s="40" customFormat="1" x14ac:dyDescent="0.25">
      <c r="A35" s="40"/>
      <c r="B35" s="40"/>
      <c r="C35" s="84" t="s">
        <v>18</v>
      </c>
      <c r="D35" s="50"/>
      <c r="E35" s="51"/>
      <c r="F35" s="51"/>
      <c r="G35" s="53"/>
      <c r="H35" s="50"/>
      <c r="I35" s="51"/>
      <c r="J35" s="51"/>
      <c r="K35" s="53"/>
      <c r="L35" s="54"/>
      <c r="M35" s="51"/>
      <c r="N35" s="51"/>
      <c r="O35" s="53"/>
    </row>
    <row r="36" ht="12.4" customHeight="1" hidden="1" spans="1:15" s="40" customFormat="1" x14ac:dyDescent="0.25">
      <c r="A36" s="40"/>
      <c r="B36" s="55"/>
      <c r="C36" s="62" t="s">
        <v>17</v>
      </c>
      <c r="D36" s="57"/>
      <c r="E36" s="58"/>
      <c r="F36" s="58"/>
      <c r="G36" s="60"/>
      <c r="H36" s="57"/>
      <c r="I36" s="58"/>
      <c r="J36" s="58"/>
      <c r="K36" s="60"/>
      <c r="L36" s="61"/>
      <c r="M36" s="58"/>
      <c r="N36" s="58"/>
      <c r="O36" s="60"/>
    </row>
    <row r="37" ht="12.4" customHeight="1" hidden="1" spans="1:15" s="40" customFormat="1" x14ac:dyDescent="0.25">
      <c r="A37" s="40"/>
      <c r="B37" s="40"/>
      <c r="C37" s="84" t="s">
        <v>18</v>
      </c>
      <c r="D37" s="50"/>
      <c r="E37" s="51"/>
      <c r="F37" s="51"/>
      <c r="G37" s="53"/>
      <c r="H37" s="50"/>
      <c r="I37" s="51"/>
      <c r="J37" s="51"/>
      <c r="K37" s="53"/>
      <c r="L37" s="54"/>
      <c r="M37" s="51"/>
      <c r="N37" s="51"/>
      <c r="O37" s="53"/>
    </row>
    <row r="38" ht="15" customHeight="1" spans="1:15" s="40" customFormat="1" x14ac:dyDescent="0.25">
      <c r="A38" s="40"/>
      <c r="B38" s="55"/>
      <c r="C38" s="62" t="s">
        <v>17</v>
      </c>
      <c r="D38" s="57"/>
      <c r="E38" s="58"/>
      <c r="F38" s="58"/>
      <c r="G38" s="60"/>
      <c r="H38" s="57"/>
      <c r="I38" s="58"/>
      <c r="J38" s="58"/>
      <c r="K38" s="60"/>
      <c r="L38" s="61"/>
      <c r="M38" s="58"/>
      <c r="N38" s="58"/>
      <c r="O38" s="60"/>
    </row>
    <row r="39" ht="15" customHeight="1" spans="1:15" s="40" customFormat="1" x14ac:dyDescent="0.25">
      <c r="A39" s="40"/>
      <c r="B39" s="40"/>
      <c r="C39" s="84" t="s">
        <v>18</v>
      </c>
      <c r="D39" s="50"/>
      <c r="E39" s="51"/>
      <c r="F39" s="51"/>
      <c r="G39" s="53"/>
      <c r="H39" s="50"/>
      <c r="I39" s="51"/>
      <c r="J39" s="51"/>
      <c r="K39" s="53"/>
      <c r="L39" s="54"/>
      <c r="M39" s="51"/>
      <c r="N39" s="51"/>
      <c r="O39" s="53"/>
    </row>
    <row r="40" ht="15" customHeight="1" spans="1:15" s="40" customFormat="1" x14ac:dyDescent="0.25">
      <c r="A40" s="40"/>
      <c r="B40" s="55"/>
      <c r="C40" s="69" t="s">
        <v>17</v>
      </c>
      <c r="D40" s="70"/>
      <c r="E40" s="71"/>
      <c r="F40" s="71"/>
      <c r="G40" s="73"/>
      <c r="H40" s="70"/>
      <c r="I40" s="71"/>
      <c r="J40" s="71"/>
      <c r="K40" s="73"/>
      <c r="L40" s="74"/>
      <c r="M40" s="71"/>
      <c r="N40" s="71"/>
      <c r="O40" s="73"/>
    </row>
    <row r="41" ht="15" customHeight="1" spans="1:15" s="40" customFormat="1" x14ac:dyDescent="0.25">
      <c r="A41" s="40"/>
      <c r="B41" s="40"/>
      <c r="C41" s="84" t="s">
        <v>18</v>
      </c>
      <c r="D41" s="50"/>
      <c r="E41" s="51"/>
      <c r="F41" s="51"/>
      <c r="G41" s="53"/>
      <c r="H41" s="50"/>
      <c r="I41" s="51"/>
      <c r="J41" s="51"/>
      <c r="K41" s="53"/>
      <c r="L41" s="54"/>
      <c r="M41" s="51"/>
      <c r="N41" s="51"/>
      <c r="O41" s="53"/>
    </row>
    <row r="42" ht="15" customHeight="1" spans="1:15" s="40" customFormat="1" x14ac:dyDescent="0.25">
      <c r="A42" s="40"/>
      <c r="B42" s="55"/>
      <c r="C42" s="62" t="s">
        <v>17</v>
      </c>
      <c r="D42" s="57"/>
      <c r="E42" s="58"/>
      <c r="F42" s="58"/>
      <c r="G42" s="59"/>
      <c r="H42" s="57"/>
      <c r="I42" s="58"/>
      <c r="J42" s="58"/>
      <c r="K42" s="60"/>
      <c r="L42" s="61"/>
      <c r="M42" s="58"/>
      <c r="N42" s="58"/>
      <c r="O42" s="60"/>
    </row>
    <row r="43" ht="15" customHeight="1" spans="1:15" s="40" customFormat="1" x14ac:dyDescent="0.25">
      <c r="A43" s="40"/>
      <c r="B43" s="40"/>
      <c r="C43" s="90" t="s">
        <v>18</v>
      </c>
      <c r="D43" s="91"/>
      <c r="E43" s="92"/>
      <c r="F43" s="92"/>
      <c r="G43" s="93"/>
      <c r="H43" s="91"/>
      <c r="I43" s="92"/>
      <c r="J43" s="92"/>
      <c r="K43" s="94"/>
      <c r="L43" s="95"/>
      <c r="M43" s="92"/>
      <c r="N43" s="92"/>
      <c r="O43" s="94"/>
    </row>
    <row r="44" ht="13.9" customHeight="1" hidden="1" spans="1:15" s="40" customFormat="1" x14ac:dyDescent="0.25">
      <c r="A44" s="81"/>
      <c r="B44" s="98"/>
      <c r="C44" s="69" t="s">
        <v>17</v>
      </c>
      <c r="D44" s="70"/>
      <c r="E44" s="71"/>
      <c r="F44" s="71"/>
      <c r="G44" s="72"/>
      <c r="H44" s="70"/>
      <c r="I44" s="71"/>
      <c r="J44" s="71"/>
      <c r="K44" s="73"/>
      <c r="L44" s="74"/>
      <c r="M44" s="71"/>
      <c r="N44" s="71"/>
      <c r="O44" s="73"/>
    </row>
    <row r="45" ht="13.9" customHeight="1" hidden="1" spans="1:15" s="40" customFormat="1" x14ac:dyDescent="0.25">
      <c r="A45" s="40"/>
      <c r="B45" s="40"/>
      <c r="C45" s="84" t="s">
        <v>18</v>
      </c>
      <c r="D45" s="50"/>
      <c r="E45" s="51"/>
      <c r="F45" s="51"/>
      <c r="G45" s="52"/>
      <c r="H45" s="50"/>
      <c r="I45" s="51"/>
      <c r="J45" s="51"/>
      <c r="K45" s="53"/>
      <c r="L45" s="54"/>
      <c r="M45" s="51"/>
      <c r="N45" s="51"/>
      <c r="O45" s="53"/>
    </row>
    <row r="46" ht="13.9" customHeight="1" hidden="1" spans="1:15" s="40" customFormat="1" x14ac:dyDescent="0.25">
      <c r="A46" s="40"/>
      <c r="B46" s="99"/>
      <c r="C46" s="62" t="s">
        <v>17</v>
      </c>
      <c r="D46" s="57"/>
      <c r="E46" s="58"/>
      <c r="F46" s="58"/>
      <c r="G46" s="59"/>
      <c r="H46" s="57"/>
      <c r="I46" s="58"/>
      <c r="J46" s="58"/>
      <c r="K46" s="60"/>
      <c r="L46" s="61"/>
      <c r="M46" s="58"/>
      <c r="N46" s="58"/>
      <c r="O46" s="60"/>
    </row>
    <row r="47" ht="13.9" customHeight="1" hidden="1" spans="1:15" s="40" customFormat="1" x14ac:dyDescent="0.25">
      <c r="A47" s="40"/>
      <c r="B47" s="40"/>
      <c r="C47" s="84" t="s">
        <v>18</v>
      </c>
      <c r="D47" s="50"/>
      <c r="E47" s="51"/>
      <c r="F47" s="51"/>
      <c r="G47" s="52"/>
      <c r="H47" s="50"/>
      <c r="I47" s="51"/>
      <c r="J47" s="51"/>
      <c r="K47" s="53"/>
      <c r="L47" s="54"/>
      <c r="M47" s="51"/>
      <c r="N47" s="51"/>
      <c r="O47" s="53"/>
    </row>
    <row r="48" ht="13.9" customHeight="1" hidden="1" spans="1:15" s="40" customFormat="1" x14ac:dyDescent="0.25">
      <c r="A48" s="40"/>
      <c r="B48" s="99"/>
      <c r="C48" s="62" t="s">
        <v>17</v>
      </c>
      <c r="D48" s="57"/>
      <c r="E48" s="58"/>
      <c r="F48" s="58"/>
      <c r="G48" s="60"/>
      <c r="H48" s="57"/>
      <c r="I48" s="58"/>
      <c r="J48" s="58"/>
      <c r="K48" s="60"/>
      <c r="L48" s="61"/>
      <c r="M48" s="58"/>
      <c r="N48" s="58"/>
      <c r="O48" s="60"/>
    </row>
    <row r="49" ht="13.9" customHeight="1" hidden="1" spans="1:15" s="40" customFormat="1" x14ac:dyDescent="0.25">
      <c r="A49" s="40"/>
      <c r="B49" s="40"/>
      <c r="C49" s="84" t="s">
        <v>18</v>
      </c>
      <c r="D49" s="50"/>
      <c r="E49" s="51"/>
      <c r="F49" s="51"/>
      <c r="G49" s="53"/>
      <c r="H49" s="50"/>
      <c r="I49" s="51"/>
      <c r="J49" s="51"/>
      <c r="K49" s="53"/>
      <c r="L49" s="54"/>
      <c r="M49" s="51"/>
      <c r="N49" s="51"/>
      <c r="O49" s="53"/>
    </row>
    <row r="50" ht="13.9" customHeight="1" hidden="1" spans="1:15" s="40" customFormat="1" x14ac:dyDescent="0.25">
      <c r="A50" s="40"/>
      <c r="B50" s="99"/>
      <c r="C50" s="62" t="s">
        <v>17</v>
      </c>
      <c r="D50" s="57"/>
      <c r="E50" s="58"/>
      <c r="F50" s="58"/>
      <c r="G50" s="60"/>
      <c r="H50" s="57"/>
      <c r="I50" s="58"/>
      <c r="J50" s="58"/>
      <c r="K50" s="60"/>
      <c r="L50" s="61"/>
      <c r="M50" s="58"/>
      <c r="N50" s="58"/>
      <c r="O50" s="60"/>
    </row>
    <row r="51" ht="13.9" customHeight="1" hidden="1" spans="1:15" s="40" customFormat="1" x14ac:dyDescent="0.25">
      <c r="A51" s="40"/>
      <c r="B51" s="40"/>
      <c r="C51" s="84" t="s">
        <v>18</v>
      </c>
      <c r="D51" s="50"/>
      <c r="E51" s="51"/>
      <c r="F51" s="51"/>
      <c r="G51" s="53"/>
      <c r="H51" s="50"/>
      <c r="I51" s="51"/>
      <c r="J51" s="51"/>
      <c r="K51" s="53"/>
      <c r="L51" s="54"/>
      <c r="M51" s="51"/>
      <c r="N51" s="51"/>
      <c r="O51" s="53"/>
    </row>
    <row r="52" ht="13.9" customHeight="1" hidden="1" spans="1:15" s="40" customFormat="1" x14ac:dyDescent="0.25">
      <c r="A52" s="40"/>
      <c r="B52" s="99"/>
      <c r="C52" s="62" t="s">
        <v>17</v>
      </c>
      <c r="D52" s="57"/>
      <c r="E52" s="58"/>
      <c r="F52" s="58"/>
      <c r="G52" s="60"/>
      <c r="H52" s="57"/>
      <c r="I52" s="58"/>
      <c r="J52" s="58"/>
      <c r="K52" s="60"/>
      <c r="L52" s="61"/>
      <c r="M52" s="58"/>
      <c r="N52" s="58"/>
      <c r="O52" s="60"/>
    </row>
    <row r="53" ht="13.9" customHeight="1" hidden="1" spans="1:15" s="40" customFormat="1" x14ac:dyDescent="0.25">
      <c r="A53" s="40"/>
      <c r="B53" s="40"/>
      <c r="C53" s="84" t="s">
        <v>18</v>
      </c>
      <c r="D53" s="50"/>
      <c r="E53" s="51"/>
      <c r="F53" s="51"/>
      <c r="G53" s="53"/>
      <c r="H53" s="50"/>
      <c r="I53" s="51"/>
      <c r="J53" s="51"/>
      <c r="K53" s="53"/>
      <c r="L53" s="54"/>
      <c r="M53" s="51"/>
      <c r="N53" s="51"/>
      <c r="O53" s="53"/>
    </row>
    <row r="54" ht="12.6" customHeight="1" hidden="1" spans="1:15" s="40" customFormat="1" x14ac:dyDescent="0.25">
      <c r="A54" s="96"/>
      <c r="B54" s="99"/>
      <c r="C54" s="69" t="s">
        <v>17</v>
      </c>
      <c r="D54" s="70"/>
      <c r="E54" s="71"/>
      <c r="F54" s="71"/>
      <c r="G54" s="73"/>
      <c r="H54" s="70"/>
      <c r="I54" s="71"/>
      <c r="J54" s="71"/>
      <c r="K54" s="73"/>
      <c r="L54" s="74"/>
      <c r="M54" s="71"/>
      <c r="N54" s="71"/>
      <c r="O54" s="73"/>
    </row>
    <row r="55" ht="12.6" customHeight="1" hidden="1" spans="1:15" s="40" customFormat="1" x14ac:dyDescent="0.25">
      <c r="A55" s="40"/>
      <c r="B55" s="40"/>
      <c r="C55" s="84" t="s">
        <v>18</v>
      </c>
      <c r="D55" s="50"/>
      <c r="E55" s="51"/>
      <c r="F55" s="51"/>
      <c r="G55" s="53"/>
      <c r="H55" s="50"/>
      <c r="I55" s="51"/>
      <c r="J55" s="51"/>
      <c r="K55" s="53"/>
      <c r="L55" s="54"/>
      <c r="M55" s="51"/>
      <c r="N55" s="51"/>
      <c r="O55" s="53"/>
    </row>
    <row r="56" ht="12.6" customHeight="1" hidden="1" spans="1:15" s="40" customFormat="1" x14ac:dyDescent="0.25">
      <c r="A56" s="100"/>
      <c r="B56" s="101"/>
      <c r="C56" s="62" t="s">
        <v>17</v>
      </c>
      <c r="D56" s="57"/>
      <c r="E56" s="58"/>
      <c r="F56" s="58"/>
      <c r="G56" s="59"/>
      <c r="H56" s="57"/>
      <c r="I56" s="58"/>
      <c r="J56" s="58"/>
      <c r="K56" s="60"/>
      <c r="L56" s="61"/>
      <c r="M56" s="58"/>
      <c r="N56" s="58"/>
      <c r="O56" s="60"/>
    </row>
    <row r="57" ht="12.6" customHeight="1" hidden="1" spans="1:15" s="40" customFormat="1" x14ac:dyDescent="0.25">
      <c r="A57" s="40"/>
      <c r="B57" s="40"/>
      <c r="C57" s="84" t="s">
        <v>18</v>
      </c>
      <c r="D57" s="50"/>
      <c r="E57" s="51"/>
      <c r="F57" s="51"/>
      <c r="G57" s="52"/>
      <c r="H57" s="50"/>
      <c r="I57" s="51"/>
      <c r="J57" s="51"/>
      <c r="K57" s="53"/>
      <c r="L57" s="54"/>
      <c r="M57" s="51"/>
      <c r="N57" s="51"/>
      <c r="O57" s="53"/>
    </row>
    <row r="58" ht="12.6" customHeight="1" hidden="1" spans="1:15" s="40" customFormat="1" x14ac:dyDescent="0.25">
      <c r="A58" s="100"/>
      <c r="B58" s="98"/>
      <c r="C58" s="62" t="s">
        <v>17</v>
      </c>
      <c r="D58" s="57"/>
      <c r="E58" s="58"/>
      <c r="F58" s="58"/>
      <c r="G58" s="59"/>
      <c r="H58" s="57"/>
      <c r="I58" s="58"/>
      <c r="J58" s="58"/>
      <c r="K58" s="60"/>
      <c r="L58" s="61"/>
      <c r="M58" s="58"/>
      <c r="N58" s="58"/>
      <c r="O58" s="60"/>
    </row>
    <row r="59" ht="12.6" customHeight="1" hidden="1" spans="1:15" s="40" customFormat="1" x14ac:dyDescent="0.25">
      <c r="A59" s="40"/>
      <c r="B59" s="40"/>
      <c r="C59" s="84" t="s">
        <v>18</v>
      </c>
      <c r="D59" s="50"/>
      <c r="E59" s="51"/>
      <c r="F59" s="51"/>
      <c r="G59" s="52"/>
      <c r="H59" s="50"/>
      <c r="I59" s="51"/>
      <c r="J59" s="51"/>
      <c r="K59" s="53"/>
      <c r="L59" s="54"/>
      <c r="M59" s="51"/>
      <c r="N59" s="51"/>
      <c r="O59" s="53"/>
    </row>
    <row r="60" ht="12.6" customHeight="1" hidden="1" spans="1:15" s="40" customFormat="1" x14ac:dyDescent="0.25">
      <c r="A60" s="96"/>
      <c r="B60" s="99"/>
      <c r="C60" s="62" t="s">
        <v>17</v>
      </c>
      <c r="D60" s="57"/>
      <c r="E60" s="58"/>
      <c r="F60" s="58"/>
      <c r="G60" s="59"/>
      <c r="H60" s="57"/>
      <c r="I60" s="58"/>
      <c r="J60" s="58"/>
      <c r="K60" s="60"/>
      <c r="L60" s="61"/>
      <c r="M60" s="58"/>
      <c r="N60" s="58"/>
      <c r="O60" s="60"/>
    </row>
    <row r="61" ht="12.6" customHeight="1" hidden="1" spans="1:15" s="40" customFormat="1" x14ac:dyDescent="0.25">
      <c r="A61" s="40"/>
      <c r="B61" s="40"/>
      <c r="C61" s="84" t="s">
        <v>18</v>
      </c>
      <c r="D61" s="50"/>
      <c r="E61" s="51"/>
      <c r="F61" s="51"/>
      <c r="G61" s="52"/>
      <c r="H61" s="50"/>
      <c r="I61" s="51"/>
      <c r="J61" s="51"/>
      <c r="K61" s="53"/>
      <c r="L61" s="54"/>
      <c r="M61" s="51"/>
      <c r="N61" s="51"/>
      <c r="O61" s="53"/>
    </row>
    <row r="62" ht="12.6" customHeight="1" hidden="1" spans="1:15" s="40" customFormat="1" x14ac:dyDescent="0.25">
      <c r="A62" s="96"/>
      <c r="B62" s="99"/>
      <c r="C62" s="62" t="s">
        <v>17</v>
      </c>
      <c r="D62" s="57"/>
      <c r="E62" s="58"/>
      <c r="F62" s="58"/>
      <c r="G62" s="60"/>
      <c r="H62" s="57"/>
      <c r="I62" s="58"/>
      <c r="J62" s="58"/>
      <c r="K62" s="60"/>
      <c r="L62" s="61"/>
      <c r="M62" s="58"/>
      <c r="N62" s="58"/>
      <c r="O62" s="60"/>
    </row>
    <row r="63" ht="12.6" customHeight="1" hidden="1" spans="1:15" s="40" customFormat="1" x14ac:dyDescent="0.25">
      <c r="A63" s="40"/>
      <c r="B63" s="40"/>
      <c r="C63" s="84" t="s">
        <v>18</v>
      </c>
      <c r="D63" s="50"/>
      <c r="E63" s="51"/>
      <c r="F63" s="51"/>
      <c r="G63" s="53"/>
      <c r="H63" s="50"/>
      <c r="I63" s="51"/>
      <c r="J63" s="51"/>
      <c r="K63" s="53"/>
      <c r="L63" s="54"/>
      <c r="M63" s="51"/>
      <c r="N63" s="51"/>
      <c r="O63" s="53"/>
    </row>
    <row r="64" ht="12.6" customHeight="1" hidden="1" spans="1:15" s="40" customFormat="1" x14ac:dyDescent="0.25">
      <c r="A64" s="96"/>
      <c r="B64" s="99"/>
      <c r="C64" s="62" t="s">
        <v>17</v>
      </c>
      <c r="D64" s="57"/>
      <c r="E64" s="58"/>
      <c r="F64" s="58"/>
      <c r="G64" s="60"/>
      <c r="H64" s="57"/>
      <c r="I64" s="58"/>
      <c r="J64" s="58"/>
      <c r="K64" s="60"/>
      <c r="L64" s="61"/>
      <c r="M64" s="58"/>
      <c r="N64" s="58"/>
      <c r="O64" s="60"/>
    </row>
    <row r="65" ht="12.6" customHeight="1" hidden="1" spans="1:15" s="40" customFormat="1" x14ac:dyDescent="0.25">
      <c r="A65" s="40"/>
      <c r="B65" s="40"/>
      <c r="C65" s="84" t="s">
        <v>18</v>
      </c>
      <c r="D65" s="50"/>
      <c r="E65" s="51"/>
      <c r="F65" s="51"/>
      <c r="G65" s="53"/>
      <c r="H65" s="50"/>
      <c r="I65" s="51"/>
      <c r="J65" s="51"/>
      <c r="K65" s="53"/>
      <c r="L65" s="54"/>
      <c r="M65" s="51"/>
      <c r="N65" s="51"/>
      <c r="O65" s="53"/>
    </row>
    <row r="66" ht="12.6" customHeight="1" hidden="1" spans="1:15" s="40" customFormat="1" x14ac:dyDescent="0.25">
      <c r="A66" s="96"/>
      <c r="B66" s="99"/>
      <c r="C66" s="62" t="s">
        <v>17</v>
      </c>
      <c r="D66" s="57"/>
      <c r="E66" s="58"/>
      <c r="F66" s="58"/>
      <c r="G66" s="60"/>
      <c r="H66" s="57"/>
      <c r="I66" s="58"/>
      <c r="J66" s="58"/>
      <c r="K66" s="60"/>
      <c r="L66" s="61"/>
      <c r="M66" s="58"/>
      <c r="N66" s="58"/>
      <c r="O66" s="60"/>
    </row>
    <row r="67" ht="12.6" customHeight="1" hidden="1" spans="1:15" s="40" customFormat="1" x14ac:dyDescent="0.25">
      <c r="A67" s="40"/>
      <c r="B67" s="40"/>
      <c r="C67" s="84" t="s">
        <v>18</v>
      </c>
      <c r="D67" s="50"/>
      <c r="E67" s="51"/>
      <c r="F67" s="51"/>
      <c r="G67" s="53"/>
      <c r="H67" s="50"/>
      <c r="I67" s="51"/>
      <c r="J67" s="51"/>
      <c r="K67" s="53"/>
      <c r="L67" s="54"/>
      <c r="M67" s="51"/>
      <c r="N67" s="51"/>
      <c r="O67" s="53"/>
    </row>
    <row r="68" ht="12.6" customHeight="1" hidden="1" spans="1:15" s="40" customFormat="1" x14ac:dyDescent="0.25">
      <c r="A68" s="96"/>
      <c r="B68" s="99"/>
      <c r="C68" s="69" t="s">
        <v>17</v>
      </c>
      <c r="D68" s="70"/>
      <c r="E68" s="71"/>
      <c r="F68" s="71"/>
      <c r="G68" s="73"/>
      <c r="H68" s="70"/>
      <c r="I68" s="71"/>
      <c r="J68" s="71"/>
      <c r="K68" s="73"/>
      <c r="L68" s="74"/>
      <c r="M68" s="71"/>
      <c r="N68" s="71"/>
      <c r="O68" s="73"/>
    </row>
    <row r="69" ht="12.6" customHeight="1" hidden="1" spans="1:15" s="40" customFormat="1" x14ac:dyDescent="0.25">
      <c r="A69" s="40"/>
      <c r="B69" s="40"/>
      <c r="C69" s="84" t="s">
        <v>18</v>
      </c>
      <c r="D69" s="50"/>
      <c r="E69" s="51"/>
      <c r="F69" s="51"/>
      <c r="G69" s="53"/>
      <c r="H69" s="50"/>
      <c r="I69" s="51"/>
      <c r="J69" s="51"/>
      <c r="K69" s="53"/>
      <c r="L69" s="54"/>
      <c r="M69" s="51"/>
      <c r="N69" s="51"/>
      <c r="O69" s="53"/>
    </row>
    <row r="70" ht="12.6" customHeight="1" hidden="1" spans="1:15" s="40" customFormat="1" x14ac:dyDescent="0.25">
      <c r="A70" s="100"/>
      <c r="B70" s="101"/>
      <c r="C70" s="62" t="s">
        <v>17</v>
      </c>
      <c r="D70" s="57"/>
      <c r="E70" s="58"/>
      <c r="F70" s="58"/>
      <c r="G70" s="59"/>
      <c r="H70" s="57"/>
      <c r="I70" s="58"/>
      <c r="J70" s="58"/>
      <c r="K70" s="60"/>
      <c r="L70" s="61"/>
      <c r="M70" s="58"/>
      <c r="N70" s="58"/>
      <c r="O70" s="60"/>
    </row>
    <row r="71" ht="12.6" customHeight="1" hidden="1" spans="1:15" s="40" customFormat="1" x14ac:dyDescent="0.25">
      <c r="A71" s="40"/>
      <c r="B71" s="40"/>
      <c r="C71" s="84" t="s">
        <v>18</v>
      </c>
      <c r="D71" s="50"/>
      <c r="E71" s="51"/>
      <c r="F71" s="51"/>
      <c r="G71" s="52"/>
      <c r="H71" s="50"/>
      <c r="I71" s="51"/>
      <c r="J71" s="51"/>
      <c r="K71" s="53"/>
      <c r="L71" s="54"/>
      <c r="M71" s="51"/>
      <c r="N71" s="51"/>
      <c r="O71" s="53"/>
    </row>
    <row r="72" ht="12.6" customHeight="1" hidden="1" spans="1:15" s="40" customFormat="1" x14ac:dyDescent="0.25">
      <c r="A72" s="96"/>
      <c r="B72" s="101"/>
      <c r="C72" s="62" t="s">
        <v>17</v>
      </c>
      <c r="D72" s="57"/>
      <c r="E72" s="58"/>
      <c r="F72" s="58"/>
      <c r="G72" s="59"/>
      <c r="H72" s="57"/>
      <c r="I72" s="58"/>
      <c r="J72" s="58"/>
      <c r="K72" s="60"/>
      <c r="L72" s="61"/>
      <c r="M72" s="58"/>
      <c r="N72" s="58"/>
      <c r="O72" s="60"/>
    </row>
    <row r="73" ht="12.6" customHeight="1" hidden="1" spans="1:15" s="40" customFormat="1" x14ac:dyDescent="0.25">
      <c r="A73" s="40"/>
      <c r="B73" s="40"/>
      <c r="C73" s="102" t="s">
        <v>18</v>
      </c>
      <c r="D73" s="103"/>
      <c r="E73" s="32"/>
      <c r="F73" s="32"/>
      <c r="G73" s="104"/>
      <c r="H73" s="103"/>
      <c r="I73" s="32"/>
      <c r="J73" s="32"/>
      <c r="K73" s="105"/>
      <c r="L73" s="106"/>
      <c r="M73" s="32"/>
      <c r="N73" s="32"/>
      <c r="O73" s="105"/>
    </row>
    <row r="74" ht="16.9" customHeight="1" spans="1:15" s="40" customFormat="1" x14ac:dyDescent="0.25">
      <c r="A74" s="107" t="s">
        <v>19</v>
      </c>
      <c r="B74" s="42"/>
      <c r="C74" s="108"/>
      <c r="D74" s="109">
        <f t="shared" ref="D74:G75" si="0">SUM(D10,D12,D14,D16,D18,D20,D24,D26,D30,D32,D34,D36,D38,D40,D42,D44,D46,D48,D50,D52,D54,D56,D58,D60,D62,D64,D66,D68,D70,D72,D28)</f>
        <v>86</v>
      </c>
      <c r="E74" s="110">
        <f t="shared" si="0"/>
        <v>0</v>
      </c>
      <c r="F74" s="110">
        <f t="shared" si="0"/>
        <v>109</v>
      </c>
      <c r="G74" s="111">
        <f t="shared" si="0"/>
        <v>0</v>
      </c>
      <c r="H74" s="112">
        <f>SUM(H52,H48,H46,H44,H42,H40,H38,H32,H30,H26,H24,H22,H20,H18,H16,H14,H12,H10,H28,H34,H36)</f>
        <v>82</v>
      </c>
      <c r="I74" s="113">
        <f t="shared" ref="I74:K74" si="1">SUM(I52,I48,I46,I44,I42,I40,I38,I32,I30,I26,I24,I22,I20,I18,I16,I14,I12,I10,I28,I34,I36)</f>
        <v>0</v>
      </c>
      <c r="J74" s="110">
        <f t="shared" si="1"/>
        <v>29</v>
      </c>
      <c r="K74" s="111">
        <f t="shared" si="1"/>
        <v>0</v>
      </c>
      <c r="L74" s="109">
        <f>SUM(L10,L12,L14,L16,L18,L20,L24,L26,L30,L32,L34,L36,L38,L40,L42,L44,L46,L48,L50,L52,L54,L56,L58,L60,L62,L64,L66,L68,L70,L72,L28)</f>
        <v>0</v>
      </c>
      <c r="M74" s="114">
        <f t="shared" ref="M74:O74" si="2">SUM(M10,M12,M14,M16,M18,M20,M24,M26,M30,M32,M34,M36,M38,M40,M42,M44,M46,M48,M50,M52,M54,M56,M58,M60,M62,M64,M66,M68,M70,M72,M28)</f>
        <v>0</v>
      </c>
      <c r="N74" s="114">
        <f t="shared" si="2"/>
        <v>0</v>
      </c>
      <c r="O74" s="115">
        <f t="shared" si="2"/>
        <v>0</v>
      </c>
    </row>
    <row r="75" ht="16.9" customHeight="1" spans="1:15" s="40" customFormat="1" x14ac:dyDescent="0.25">
      <c r="A75" s="116"/>
      <c r="B75" s="117"/>
      <c r="C75" s="118"/>
      <c r="D75" s="119">
        <f t="shared" si="0"/>
        <v>0</v>
      </c>
      <c r="E75" s="120">
        <f t="shared" si="0"/>
        <v>0</v>
      </c>
      <c r="F75" s="120">
        <f t="shared" si="0"/>
        <v>0</v>
      </c>
      <c r="G75" s="121">
        <f t="shared" si="0"/>
        <v>0</v>
      </c>
      <c r="H75" s="122">
        <f>SUM(H53,H49,H47,H45,H43,H41,H39,H33,H31,H27,H25,H23,H21,H19,H17,H15,H13,H11,H35,H37)</f>
        <v>0</v>
      </c>
      <c r="I75" s="123">
        <f t="shared" ref="I75:K75" si="3">SUM(I53,I49,I47,I45,I43,I41,I39,I33,I31,I27,I25,I23,I21,I19,I17,I15,I13,I11,I35,I37)</f>
        <v>0</v>
      </c>
      <c r="J75" s="124">
        <f t="shared" si="3"/>
        <v>162</v>
      </c>
      <c r="K75" s="121">
        <f t="shared" si="3"/>
        <v>0</v>
      </c>
      <c r="L75" s="119">
        <f>SUM(L11,L13,L15,L17,L19,L21,L25,L27,L31,L33,L35,L37,L39,L41,L43,L45,L47,L49,L51,L53,L55,L57,L59,L61,L63,L65,L67,L69,L71,L73,L29)</f>
        <v>0</v>
      </c>
      <c r="M75" s="125">
        <f t="shared" ref="M75:O75" si="4">SUM(M11,M13,M15,M17,M19,M21,M25,M27,M31,M33,M35,M37,M39,M41,M43,M45,M47,M49,M51,M53,M55,M57,M59,M61,M63,M65,M67,M69,M71,M73,M29)</f>
        <v>0</v>
      </c>
      <c r="N75" s="125">
        <f t="shared" si="4"/>
        <v>0</v>
      </c>
      <c r="O75" s="126">
        <f t="shared" si="4"/>
        <v>0</v>
      </c>
    </row>
    <row r="76" ht="9.75" customHeight="1" spans="1:15" x14ac:dyDescent="0.25">
      <c r="A76" s="127"/>
      <c r="B76" s="127"/>
      <c r="C76" s="87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</row>
    <row r="77" ht="13.5" customHeight="1" spans="1:15" x14ac:dyDescent="0.25">
      <c r="A77" s="129" t="s">
        <v>20</v>
      </c>
      <c r="B77" s="130"/>
      <c r="C77" s="130"/>
      <c r="D77" s="130"/>
      <c r="E77" s="130"/>
      <c r="F77" s="130"/>
      <c r="G77" s="131"/>
      <c r="H77" s="132" t="s">
        <v>21</v>
      </c>
      <c r="I77" s="133"/>
      <c r="J77" s="133"/>
      <c r="K77" s="133"/>
      <c r="L77" s="133"/>
      <c r="M77" s="133"/>
      <c r="N77" s="133"/>
      <c r="O77" s="134"/>
    </row>
    <row r="78" ht="13.5" customHeight="1" spans="1:15" x14ac:dyDescent="0.25">
      <c r="A78" s="135"/>
      <c r="B78" s="136"/>
      <c r="C78" s="136"/>
      <c r="D78" s="136"/>
      <c r="E78" s="136"/>
      <c r="F78" s="136"/>
      <c r="G78" s="137"/>
      <c r="H78" s="135"/>
      <c r="I78" s="136"/>
      <c r="J78" s="136"/>
      <c r="K78" s="136"/>
      <c r="L78" s="136"/>
      <c r="M78" s="136"/>
      <c r="N78" s="136"/>
      <c r="O78" s="137"/>
    </row>
    <row r="79" ht="13.5" customHeight="1" spans="1:15" x14ac:dyDescent="0.25">
      <c r="A79" s="138"/>
      <c r="B79" s="139"/>
      <c r="C79" s="139"/>
      <c r="D79" s="139"/>
      <c r="E79" s="139"/>
      <c r="F79" s="139"/>
      <c r="G79" s="140"/>
      <c r="H79" s="138"/>
      <c r="I79" s="139"/>
      <c r="J79" s="139"/>
      <c r="K79" s="139"/>
      <c r="L79" s="139"/>
      <c r="M79" s="139"/>
      <c r="N79" s="139"/>
      <c r="O79" s="140"/>
    </row>
    <row r="80" ht="13.5" customHeight="1" spans="1:15" x14ac:dyDescent="0.25">
      <c r="A80" s="138"/>
      <c r="B80" s="139"/>
      <c r="C80" s="139"/>
      <c r="D80" s="139"/>
      <c r="E80" s="139"/>
      <c r="F80" s="139"/>
      <c r="G80" s="140"/>
      <c r="H80" s="138"/>
      <c r="I80" s="139"/>
      <c r="J80" s="139"/>
      <c r="K80" s="139"/>
      <c r="L80" s="139"/>
      <c r="M80" s="139"/>
      <c r="N80" s="139"/>
      <c r="O80" s="140"/>
    </row>
    <row r="81" ht="13.5" customHeight="1" spans="1:15" x14ac:dyDescent="0.25">
      <c r="A81" s="141"/>
      <c r="B81" s="142"/>
      <c r="C81" s="142"/>
      <c r="D81" s="142"/>
      <c r="E81" s="142"/>
      <c r="F81" s="142"/>
      <c r="G81" s="143"/>
      <c r="H81" s="141"/>
      <c r="I81" s="142"/>
      <c r="J81" s="142"/>
      <c r="K81" s="142"/>
      <c r="L81" s="142"/>
      <c r="M81" s="142"/>
      <c r="N81" s="142"/>
      <c r="O81" s="143"/>
    </row>
    <row r="82" ht="13.5" customHeight="1" spans="1:15" x14ac:dyDescent="0.25">
      <c r="A82" s="138"/>
      <c r="B82" s="139"/>
      <c r="C82" s="139"/>
      <c r="D82" s="139"/>
      <c r="E82" s="139"/>
      <c r="F82" s="139"/>
      <c r="G82" s="140"/>
      <c r="H82" s="138"/>
      <c r="I82" s="139"/>
      <c r="J82" s="139"/>
      <c r="K82" s="139"/>
      <c r="L82" s="139"/>
      <c r="M82" s="139"/>
      <c r="N82" s="139"/>
      <c r="O82" s="140"/>
    </row>
    <row r="83" ht="13.5" customHeight="1" spans="1:15" x14ac:dyDescent="0.25">
      <c r="A83" s="144"/>
      <c r="B83" s="145"/>
      <c r="C83" s="145"/>
      <c r="D83" s="145"/>
      <c r="E83" s="145"/>
      <c r="F83" s="145"/>
      <c r="G83" s="146"/>
      <c r="H83" s="144"/>
      <c r="I83" s="145"/>
      <c r="J83" s="145"/>
      <c r="K83" s="145"/>
      <c r="L83" s="145"/>
      <c r="M83" s="145"/>
      <c r="N83" s="145"/>
      <c r="O83" s="146"/>
    </row>
    <row r="84" ht="17.1" customHeight="1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7.1" customHeight="1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7.1" customHeight="1" spans="1:1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7.1" customHeight="1" spans="1:15" x14ac:dyDescent="0.25">
      <c r="A87" s="147"/>
      <c r="B87" s="147"/>
      <c r="C87" s="147"/>
      <c r="D87" s="148"/>
      <c r="E87" s="1"/>
      <c r="F87" s="1"/>
      <c r="G87" s="1"/>
      <c r="H87" s="1"/>
      <c r="I87" s="1"/>
      <c r="J87" s="147"/>
      <c r="K87" s="147"/>
      <c r="L87" s="147"/>
      <c r="M87" s="147"/>
      <c r="N87" s="147"/>
      <c r="O87" s="147"/>
    </row>
    <row r="88" ht="19.5" customHeight="1" spans="1:15" x14ac:dyDescent="0.25">
      <c r="A88" s="149" t="s">
        <v>22</v>
      </c>
      <c r="B88" s="149"/>
      <c r="C88" s="149"/>
      <c r="D88" s="149"/>
      <c r="E88" s="150"/>
      <c r="F88" s="150"/>
      <c r="G88" s="150"/>
      <c r="H88" s="150"/>
      <c r="I88" s="1"/>
      <c r="J88" s="149" t="s">
        <v>23</v>
      </c>
      <c r="K88" s="149"/>
      <c r="L88" s="149"/>
      <c r="M88" s="149"/>
      <c r="N88" s="149"/>
      <c r="O88" s="149"/>
    </row>
  </sheetData>
  <mergeCells count="29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8:D88"/>
    <mergeCell ref="J88:O88"/>
  </mergeCells>
  <printOptions horizontalCentered="1" verticalCentered="1"/>
  <pageMargins left="0.11811023622047245" right="0.11811023622047245" top="0.5905511811023623" bottom="0.5511811023622047" header="0.5118110236220472" footer="0.5118110236220472"/>
  <pageSetup paperSize="9" orientation="portrait" horizontalDpi="4294967295" verticalDpi="4294967295" scale="96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113"/>
  <sheetViews>
    <sheetView workbookViewId="0" zoomScale="90" zoomScaleNormal="9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7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51" t="s">
        <v>134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51"/>
      <c r="AF1" s="351"/>
      <c r="AG1" s="351"/>
      <c r="AH1" s="351"/>
      <c r="AI1" s="351"/>
      <c r="AJ1" s="351"/>
    </row>
    <row r="2" ht="17.25" customHeight="1" spans="1:36" x14ac:dyDescent="0.25">
      <c r="A2" s="187" t="s">
        <v>25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</row>
    <row r="3" ht="4.5" customHeight="1" spans="1:36" x14ac:dyDescent="0.25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</row>
    <row r="4" ht="26.25" customHeight="1" spans="1:36" x14ac:dyDescent="0.25">
      <c r="A4" s="204" t="s">
        <v>135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</row>
    <row r="5" ht="6" customHeight="1" spans="1:36" x14ac:dyDescent="0.25">
      <c r="A5" s="405"/>
      <c r="B5" s="405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05"/>
      <c r="P5" s="405"/>
      <c r="Q5" s="405"/>
      <c r="R5" s="405"/>
      <c r="S5" s="405"/>
      <c r="T5" s="405"/>
      <c r="U5" s="405"/>
      <c r="V5" s="405"/>
      <c r="W5" s="405"/>
      <c r="X5" s="405"/>
      <c r="Y5" s="405"/>
      <c r="Z5" s="405"/>
      <c r="AA5" s="405"/>
      <c r="AB5" s="405"/>
      <c r="AC5" s="405"/>
      <c r="AD5" s="405"/>
      <c r="AE5" s="405"/>
      <c r="AF5" s="405"/>
      <c r="AG5" s="405"/>
      <c r="AH5" s="405"/>
      <c r="AI5" s="405"/>
      <c r="AJ5" s="405"/>
    </row>
    <row r="6" spans="1:36" s="16" customFormat="1" x14ac:dyDescent="0.25">
      <c r="A6" s="255" t="s">
        <v>136</v>
      </c>
      <c r="B6" s="255"/>
      <c r="C6" s="255"/>
      <c r="D6" s="255" t="str">
        <f>'Final Work'!B4</f>
        <v>SAWASDEE ATLANTIC</v>
      </c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 t="s">
        <v>4</v>
      </c>
      <c r="P6" s="40"/>
      <c r="Q6" s="40"/>
      <c r="R6" s="87" t="str">
        <f>'Final Work'!G4</f>
        <v>2606N &amp; 2607S</v>
      </c>
      <c r="S6" s="87"/>
      <c r="T6" s="87"/>
      <c r="U6" s="87"/>
      <c r="V6" s="87"/>
      <c r="W6" s="87"/>
      <c r="X6" s="40"/>
      <c r="Y6" s="87" t="s">
        <v>5</v>
      </c>
      <c r="Z6" s="87"/>
      <c r="AA6" s="87"/>
      <c r="AB6" s="406">
        <f>'Final Work'!L4</f>
        <v>46225</v>
      </c>
      <c r="AC6" s="406"/>
      <c r="AD6" s="406"/>
      <c r="AE6" s="406"/>
      <c r="AF6" s="406"/>
      <c r="AG6" s="406"/>
      <c r="AH6" s="406"/>
      <c r="AI6" s="406"/>
      <c r="AJ6" s="406"/>
    </row>
    <row r="7" ht="6" customHeight="1" spans="1:36" s="16" customFormat="1" x14ac:dyDescent="0.25">
      <c r="A7" s="407"/>
      <c r="B7" s="407"/>
      <c r="C7" s="407"/>
      <c r="D7" s="407"/>
      <c r="E7" s="407"/>
      <c r="F7" s="407"/>
      <c r="G7" s="407"/>
      <c r="H7" s="407"/>
      <c r="I7" s="407"/>
      <c r="J7" s="407"/>
      <c r="K7" s="407"/>
      <c r="L7" s="407"/>
      <c r="M7" s="407"/>
      <c r="N7" s="407"/>
      <c r="O7" s="407"/>
      <c r="P7" s="407"/>
      <c r="Q7" s="407"/>
      <c r="R7" s="407"/>
      <c r="S7" s="407"/>
      <c r="T7" s="407"/>
      <c r="U7" s="407"/>
      <c r="V7" s="407"/>
      <c r="W7" s="407"/>
      <c r="X7" s="407"/>
      <c r="Y7" s="407"/>
      <c r="Z7" s="407"/>
      <c r="AA7" s="407"/>
      <c r="AB7" s="407"/>
      <c r="AC7" s="407"/>
      <c r="AD7" s="407"/>
      <c r="AE7" s="407"/>
      <c r="AF7" s="407"/>
      <c r="AG7" s="407"/>
      <c r="AH7" s="407"/>
      <c r="AI7" s="407"/>
      <c r="AJ7" s="407"/>
    </row>
    <row r="8" spans="1:36" s="16" customFormat="1" x14ac:dyDescent="0.25">
      <c r="A8" s="407" t="s">
        <v>137</v>
      </c>
      <c r="B8" s="407"/>
      <c r="C8" s="407"/>
      <c r="D8" s="408" t="s">
        <v>61</v>
      </c>
      <c r="E8" s="408"/>
      <c r="F8" s="408"/>
      <c r="G8" s="408"/>
      <c r="H8" s="408"/>
      <c r="I8" s="408"/>
      <c r="J8" s="150"/>
      <c r="K8" s="150"/>
      <c r="L8" s="40"/>
      <c r="M8" s="40"/>
      <c r="N8" s="40"/>
      <c r="O8" s="408" t="s">
        <v>7</v>
      </c>
      <c r="P8" s="150"/>
      <c r="Q8" s="150"/>
      <c r="R8" s="407">
        <f>'Final Work'!G6</f>
        <v>6</v>
      </c>
      <c r="S8" s="407"/>
      <c r="T8" s="407"/>
      <c r="U8" s="407"/>
      <c r="V8" s="407"/>
      <c r="W8" s="407"/>
      <c r="X8" s="150"/>
      <c r="Y8" s="407" t="s">
        <v>138</v>
      </c>
      <c r="Z8" s="407"/>
      <c r="AA8" s="407"/>
      <c r="AB8" s="407" t="s">
        <v>25</v>
      </c>
      <c r="AC8" s="407"/>
      <c r="AD8" s="407"/>
      <c r="AE8" s="407"/>
      <c r="AF8" s="407"/>
      <c r="AG8" s="407"/>
      <c r="AH8" s="407"/>
      <c r="AI8" s="407"/>
      <c r="AJ8" s="407"/>
    </row>
    <row r="9" ht="4.5" customHeight="1" spans="1:36" x14ac:dyDescent="0.25">
      <c r="A9" s="409"/>
      <c r="B9" s="409"/>
      <c r="C9" s="409"/>
      <c r="D9" s="409"/>
      <c r="E9" s="409"/>
      <c r="F9" s="409"/>
      <c r="G9" s="409"/>
      <c r="H9" s="409"/>
      <c r="I9" s="409"/>
      <c r="J9" s="409"/>
      <c r="K9" s="409"/>
      <c r="L9" s="409"/>
      <c r="M9" s="409"/>
      <c r="N9" s="409"/>
      <c r="O9" s="409"/>
      <c r="P9" s="409"/>
      <c r="Q9" s="409"/>
      <c r="R9" s="409"/>
      <c r="S9" s="409"/>
      <c r="T9" s="409"/>
      <c r="U9" s="409"/>
      <c r="V9" s="409"/>
      <c r="W9" s="409"/>
      <c r="X9" s="409"/>
      <c r="Y9" s="409"/>
      <c r="Z9" s="409"/>
      <c r="AA9" s="409"/>
      <c r="AB9" s="409"/>
      <c r="AC9" s="409"/>
      <c r="AD9" s="409"/>
      <c r="AE9" s="409"/>
      <c r="AF9" s="409"/>
      <c r="AG9" s="409"/>
      <c r="AH9" s="409"/>
      <c r="AI9" s="409"/>
      <c r="AJ9" s="409"/>
    </row>
    <row r="10" ht="17.1" customHeight="1" spans="1:36" s="40" customFormat="1" x14ac:dyDescent="0.25">
      <c r="A10" s="410" t="s">
        <v>139</v>
      </c>
      <c r="B10" s="411"/>
      <c r="C10" s="411"/>
      <c r="D10" s="411"/>
      <c r="E10" s="411"/>
      <c r="F10" s="411"/>
      <c r="G10" s="411"/>
      <c r="H10" s="412" t="s">
        <v>98</v>
      </c>
      <c r="I10" s="28"/>
      <c r="J10" s="28"/>
      <c r="K10" s="28"/>
      <c r="L10" s="28"/>
      <c r="M10" s="28"/>
      <c r="N10" s="28"/>
      <c r="O10" s="30"/>
      <c r="P10" s="412" t="s">
        <v>97</v>
      </c>
      <c r="Q10" s="28"/>
      <c r="R10" s="28"/>
      <c r="S10" s="28"/>
      <c r="T10" s="28"/>
      <c r="U10" s="28"/>
      <c r="V10" s="28"/>
      <c r="W10" s="30"/>
      <c r="X10" s="27" t="s">
        <v>100</v>
      </c>
      <c r="Y10" s="28"/>
      <c r="Z10" s="30"/>
      <c r="AA10" s="27" t="s">
        <v>49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413" t="s">
        <v>140</v>
      </c>
      <c r="B11" s="414"/>
      <c r="C11" s="414"/>
      <c r="D11" s="414"/>
      <c r="E11" s="414"/>
      <c r="F11" s="414"/>
      <c r="G11" s="414"/>
      <c r="H11" s="37" t="s">
        <v>13</v>
      </c>
      <c r="I11" s="35"/>
      <c r="J11" s="35" t="s">
        <v>14</v>
      </c>
      <c r="K11" s="35"/>
      <c r="L11" s="35" t="s">
        <v>141</v>
      </c>
      <c r="M11" s="35"/>
      <c r="N11" s="35" t="s">
        <v>16</v>
      </c>
      <c r="O11" s="415"/>
      <c r="P11" s="37" t="s">
        <v>13</v>
      </c>
      <c r="Q11" s="35"/>
      <c r="R11" s="35" t="s">
        <v>14</v>
      </c>
      <c r="S11" s="35"/>
      <c r="T11" s="35" t="s">
        <v>141</v>
      </c>
      <c r="U11" s="35"/>
      <c r="V11" s="35" t="s">
        <v>16</v>
      </c>
      <c r="W11" s="415"/>
      <c r="X11" s="39"/>
      <c r="Y11" s="35"/>
      <c r="Z11" s="415"/>
      <c r="AA11" s="39"/>
      <c r="AB11" s="35"/>
      <c r="AC11" s="35"/>
      <c r="AD11" s="35"/>
      <c r="AE11" s="35"/>
      <c r="AF11" s="35"/>
      <c r="AG11" s="35"/>
      <c r="AH11" s="35"/>
      <c r="AI11" s="35"/>
      <c r="AJ11" s="415"/>
    </row>
    <row r="12" ht="17.1" customHeight="1" spans="1:36" s="40" customFormat="1" x14ac:dyDescent="0.25">
      <c r="A12" s="416" t="s">
        <v>142</v>
      </c>
      <c r="B12" s="417"/>
      <c r="C12" s="417"/>
      <c r="D12" s="215"/>
      <c r="E12" s="40"/>
      <c r="F12" s="40"/>
      <c r="G12" s="40"/>
      <c r="H12" s="418"/>
      <c r="I12" s="40"/>
      <c r="J12" s="110"/>
      <c r="K12" s="40"/>
      <c r="L12" s="419"/>
      <c r="M12" s="40"/>
      <c r="N12" s="419"/>
      <c r="O12" s="40"/>
      <c r="P12" s="418"/>
      <c r="Q12" s="40"/>
      <c r="R12" s="113"/>
      <c r="S12" s="40"/>
      <c r="T12" s="113"/>
      <c r="U12" s="40"/>
      <c r="V12" s="113"/>
      <c r="W12" s="40"/>
      <c r="X12" s="109">
        <f t="shared" ref="X12:X18" si="0">SUM(H12:W12)</f>
        <v>106</v>
      </c>
      <c r="Y12" s="110"/>
      <c r="Z12" s="420"/>
      <c r="AA12" s="421" t="s">
        <v>143</v>
      </c>
      <c r="AB12" s="422"/>
      <c r="AC12" s="422"/>
      <c r="AD12" s="422"/>
      <c r="AE12" s="422"/>
      <c r="AF12" s="422"/>
      <c r="AG12" s="422"/>
      <c r="AH12" s="422"/>
      <c r="AI12" s="422"/>
      <c r="AJ12" s="423"/>
    </row>
    <row r="13" ht="17.1" customHeight="1" spans="1:36" s="40" customFormat="1" x14ac:dyDescent="0.25">
      <c r="A13" s="424"/>
      <c r="B13" s="425"/>
      <c r="C13" s="425"/>
      <c r="D13" s="232"/>
      <c r="E13" s="40"/>
      <c r="F13" s="40"/>
      <c r="G13" s="40"/>
      <c r="H13" s="418"/>
      <c r="I13" s="40"/>
      <c r="J13" s="426"/>
      <c r="K13" s="40"/>
      <c r="L13" s="426"/>
      <c r="M13" s="40"/>
      <c r="N13" s="426"/>
      <c r="O13" s="40"/>
      <c r="P13" s="418"/>
      <c r="Q13" s="40"/>
      <c r="R13" s="427"/>
      <c r="S13" s="40"/>
      <c r="T13" s="427"/>
      <c r="U13" s="40"/>
      <c r="V13" s="427"/>
      <c r="W13" s="40"/>
      <c r="X13" s="428">
        <f t="shared" si="0"/>
        <v>84</v>
      </c>
      <c r="Y13" s="426"/>
      <c r="Z13" s="429"/>
      <c r="AA13" s="430" t="s">
        <v>144</v>
      </c>
      <c r="AB13" s="431"/>
      <c r="AC13" s="431"/>
      <c r="AD13" s="431"/>
      <c r="AE13" s="431"/>
      <c r="AF13" s="431"/>
      <c r="AG13" s="431"/>
      <c r="AH13" s="431"/>
      <c r="AI13" s="431"/>
      <c r="AJ13" s="432"/>
    </row>
    <row r="14" ht="17.1" customHeight="1" spans="1:36" s="40" customFormat="1" x14ac:dyDescent="0.25">
      <c r="A14" s="424"/>
      <c r="B14" s="425"/>
      <c r="C14" s="425"/>
      <c r="D14" s="232"/>
      <c r="E14" s="40"/>
      <c r="F14" s="40"/>
      <c r="G14" s="40"/>
      <c r="H14" s="418"/>
      <c r="I14" s="40"/>
      <c r="J14" s="427"/>
      <c r="K14" s="40"/>
      <c r="L14" s="419"/>
      <c r="M14" s="40"/>
      <c r="N14" s="419"/>
      <c r="O14" s="40"/>
      <c r="P14" s="418"/>
      <c r="Q14" s="40"/>
      <c r="R14" s="426"/>
      <c r="S14" s="40"/>
      <c r="T14" s="419"/>
      <c r="U14" s="40"/>
      <c r="V14" s="419"/>
      <c r="W14" s="40"/>
      <c r="X14" s="433">
        <f t="shared" si="0"/>
        <v>5</v>
      </c>
      <c r="Y14" s="434"/>
      <c r="Z14" s="435"/>
      <c r="AA14" s="430"/>
      <c r="AB14" s="431"/>
      <c r="AC14" s="431"/>
      <c r="AD14" s="431"/>
      <c r="AE14" s="431"/>
      <c r="AF14" s="431"/>
      <c r="AG14" s="431"/>
      <c r="AH14" s="431"/>
      <c r="AI14" s="431"/>
      <c r="AJ14" s="432"/>
    </row>
    <row r="15" ht="17.1" customHeight="1" spans="1:36" s="40" customFormat="1" x14ac:dyDescent="0.25">
      <c r="A15" s="424"/>
      <c r="B15" s="425"/>
      <c r="C15" s="425"/>
      <c r="D15" s="232"/>
      <c r="E15" s="40"/>
      <c r="F15" s="40"/>
      <c r="G15" s="40"/>
      <c r="H15" s="418"/>
      <c r="I15" s="40"/>
      <c r="J15" s="427"/>
      <c r="K15" s="40"/>
      <c r="L15" s="419"/>
      <c r="M15" s="40"/>
      <c r="N15" s="419"/>
      <c r="O15" s="40"/>
      <c r="P15" s="418"/>
      <c r="Q15" s="40"/>
      <c r="R15" s="426"/>
      <c r="S15" s="40"/>
      <c r="T15" s="419"/>
      <c r="U15" s="40"/>
      <c r="V15" s="419"/>
      <c r="W15" s="40"/>
      <c r="X15" s="433">
        <f t="shared" si="0"/>
        <v>0</v>
      </c>
      <c r="Y15" s="434"/>
      <c r="Z15" s="435"/>
      <c r="AA15" s="430"/>
      <c r="AB15" s="431"/>
      <c r="AC15" s="431"/>
      <c r="AD15" s="431"/>
      <c r="AE15" s="431"/>
      <c r="AF15" s="431"/>
      <c r="AG15" s="431"/>
      <c r="AH15" s="431"/>
      <c r="AI15" s="431"/>
      <c r="AJ15" s="432"/>
    </row>
    <row r="16" ht="17.1" customHeight="1" spans="1:36" s="40" customFormat="1" x14ac:dyDescent="0.25">
      <c r="A16" s="424"/>
      <c r="B16" s="425"/>
      <c r="C16" s="425"/>
      <c r="D16" s="232"/>
      <c r="E16" s="40"/>
      <c r="F16" s="40"/>
      <c r="G16" s="40"/>
      <c r="H16" s="433"/>
      <c r="I16" s="40"/>
      <c r="J16" s="436"/>
      <c r="K16" s="40"/>
      <c r="L16" s="436"/>
      <c r="M16" s="40"/>
      <c r="N16" s="436"/>
      <c r="O16" s="40"/>
      <c r="P16" s="433"/>
      <c r="Q16" s="40"/>
      <c r="R16" s="436"/>
      <c r="S16" s="40"/>
      <c r="T16" s="436"/>
      <c r="U16" s="40"/>
      <c r="V16" s="436"/>
      <c r="W16" s="40"/>
      <c r="X16" s="433">
        <f t="shared" si="0"/>
        <v>0</v>
      </c>
      <c r="Y16" s="434"/>
      <c r="Z16" s="435"/>
      <c r="AA16" s="430"/>
      <c r="AB16" s="431"/>
      <c r="AC16" s="431"/>
      <c r="AD16" s="431"/>
      <c r="AE16" s="431"/>
      <c r="AF16" s="431"/>
      <c r="AG16" s="431"/>
      <c r="AH16" s="431"/>
      <c r="AI16" s="431"/>
      <c r="AJ16" s="432"/>
    </row>
    <row r="17" ht="17.1" customHeight="1" spans="1:36" s="40" customFormat="1" x14ac:dyDescent="0.25">
      <c r="A17" s="424"/>
      <c r="B17" s="425"/>
      <c r="C17" s="425"/>
      <c r="D17" s="232"/>
      <c r="E17" s="40"/>
      <c r="F17" s="40"/>
      <c r="G17" s="40"/>
      <c r="H17" s="433"/>
      <c r="I17" s="40"/>
      <c r="J17" s="436"/>
      <c r="K17" s="40"/>
      <c r="L17" s="436"/>
      <c r="M17" s="40"/>
      <c r="N17" s="436"/>
      <c r="O17" s="40"/>
      <c r="P17" s="433"/>
      <c r="Q17" s="40"/>
      <c r="R17" s="436"/>
      <c r="S17" s="40"/>
      <c r="T17" s="436"/>
      <c r="U17" s="40"/>
      <c r="V17" s="436"/>
      <c r="W17" s="40"/>
      <c r="X17" s="433">
        <f>SUM(H17:W17)</f>
        <v>0</v>
      </c>
      <c r="Y17" s="434"/>
      <c r="Z17" s="435"/>
      <c r="AA17" s="430"/>
      <c r="AB17" s="431"/>
      <c r="AC17" s="431"/>
      <c r="AD17" s="431"/>
      <c r="AE17" s="431"/>
      <c r="AF17" s="431"/>
      <c r="AG17" s="431"/>
      <c r="AH17" s="431"/>
      <c r="AI17" s="431"/>
      <c r="AJ17" s="432"/>
    </row>
    <row r="18" ht="17.1" customHeight="1" spans="1:36" s="40" customFormat="1" x14ac:dyDescent="0.25">
      <c r="A18" s="424"/>
      <c r="B18" s="425"/>
      <c r="C18" s="425"/>
      <c r="D18" s="437"/>
      <c r="E18" s="40"/>
      <c r="F18" s="40"/>
      <c r="G18" s="40"/>
      <c r="H18" s="438"/>
      <c r="I18" s="40"/>
      <c r="J18" s="439"/>
      <c r="K18" s="40"/>
      <c r="L18" s="440"/>
      <c r="M18" s="40"/>
      <c r="N18" s="440"/>
      <c r="O18" s="40"/>
      <c r="P18" s="438"/>
      <c r="Q18" s="40"/>
      <c r="R18" s="439"/>
      <c r="S18" s="40"/>
      <c r="T18" s="440"/>
      <c r="U18" s="40"/>
      <c r="V18" s="440"/>
      <c r="W18" s="40"/>
      <c r="X18" s="441">
        <f t="shared" si="0"/>
        <v>0</v>
      </c>
      <c r="Y18" s="442"/>
      <c r="Z18" s="443"/>
      <c r="AA18" s="444"/>
      <c r="AB18" s="445"/>
      <c r="AC18" s="445"/>
      <c r="AD18" s="445"/>
      <c r="AE18" s="445"/>
      <c r="AF18" s="445"/>
      <c r="AG18" s="445"/>
      <c r="AH18" s="445"/>
      <c r="AI18" s="445"/>
      <c r="AJ18" s="446"/>
    </row>
    <row r="19" ht="17.1" customHeight="1" spans="1:36" s="40" customFormat="1" x14ac:dyDescent="0.25">
      <c r="A19" s="447"/>
      <c r="B19" s="448"/>
      <c r="C19" s="448"/>
      <c r="D19" s="77" t="s">
        <v>145</v>
      </c>
      <c r="E19" s="77"/>
      <c r="F19" s="77"/>
      <c r="G19" s="449"/>
      <c r="H19" s="450">
        <f>SUM(H12:I18)</f>
        <v>86</v>
      </c>
      <c r="I19" s="451"/>
      <c r="J19" s="452">
        <f>SUM(J12:K18)</f>
        <v>0</v>
      </c>
      <c r="K19" s="453"/>
      <c r="L19" s="452">
        <f>SUM(L12:M18)</f>
        <v>109</v>
      </c>
      <c r="M19" s="453"/>
      <c r="N19" s="452">
        <f>SUM(N12:O18)</f>
        <v>0</v>
      </c>
      <c r="O19" s="454"/>
      <c r="P19" s="450">
        <f>SUM(P12:Q18)</f>
        <v>0</v>
      </c>
      <c r="Q19" s="451"/>
      <c r="R19" s="451">
        <f>SUM(R12:S18)</f>
        <v>0</v>
      </c>
      <c r="S19" s="451"/>
      <c r="T19" s="451">
        <f>SUM(T12:U18)</f>
        <v>0</v>
      </c>
      <c r="U19" s="451"/>
      <c r="V19" s="451">
        <f>SUM(V12:W18)</f>
        <v>0</v>
      </c>
      <c r="W19" s="455"/>
      <c r="X19" s="456">
        <f>SUM(X12:Z18)</f>
        <v>195</v>
      </c>
      <c r="Y19" s="457"/>
      <c r="Z19" s="458"/>
      <c r="AA19" s="459"/>
      <c r="AB19" s="460"/>
      <c r="AC19" s="460"/>
      <c r="AD19" s="460"/>
      <c r="AE19" s="460"/>
      <c r="AF19" s="460"/>
      <c r="AG19" s="460"/>
      <c r="AH19" s="460"/>
      <c r="AI19" s="460"/>
      <c r="AJ19" s="461"/>
    </row>
    <row r="20" ht="17.1" customHeight="1" spans="1:36" s="40" customFormat="1" x14ac:dyDescent="0.25">
      <c r="A20" s="462" t="s">
        <v>146</v>
      </c>
      <c r="B20" s="463"/>
      <c r="C20" s="464"/>
      <c r="D20" s="188"/>
      <c r="E20" s="40"/>
      <c r="F20" s="40"/>
      <c r="G20" s="40"/>
      <c r="H20" s="418"/>
      <c r="I20" s="40"/>
      <c r="J20" s="427"/>
      <c r="K20" s="40"/>
      <c r="L20" s="427"/>
      <c r="M20" s="40"/>
      <c r="N20" s="427"/>
      <c r="O20" s="40"/>
      <c r="P20" s="418"/>
      <c r="Q20" s="40"/>
      <c r="R20" s="427"/>
      <c r="S20" s="40"/>
      <c r="T20" s="427"/>
      <c r="U20" s="40"/>
      <c r="V20" s="427"/>
      <c r="W20" s="40"/>
      <c r="X20" s="465">
        <f t="shared" ref="X20:X26" si="1">SUM(H20:W20)</f>
        <v>77</v>
      </c>
      <c r="Y20" s="466"/>
      <c r="Z20" s="467"/>
      <c r="AA20" s="468"/>
      <c r="AB20" s="469"/>
      <c r="AC20" s="469"/>
      <c r="AD20" s="469"/>
      <c r="AE20" s="469"/>
      <c r="AF20" s="469"/>
      <c r="AG20" s="469"/>
      <c r="AH20" s="469"/>
      <c r="AI20" s="469"/>
      <c r="AJ20" s="470"/>
    </row>
    <row r="21" ht="17.1" customHeight="1" spans="1:36" s="40" customFormat="1" x14ac:dyDescent="0.25">
      <c r="A21" s="424"/>
      <c r="B21" s="425"/>
      <c r="C21" s="471"/>
      <c r="D21" s="232"/>
      <c r="E21" s="40"/>
      <c r="F21" s="40"/>
      <c r="G21" s="40"/>
      <c r="H21" s="418"/>
      <c r="I21" s="40"/>
      <c r="J21" s="426"/>
      <c r="K21" s="40"/>
      <c r="L21" s="426"/>
      <c r="M21" s="40"/>
      <c r="N21" s="426"/>
      <c r="O21" s="40"/>
      <c r="P21" s="418"/>
      <c r="Q21" s="40"/>
      <c r="R21" s="427"/>
      <c r="S21" s="40"/>
      <c r="T21" s="427"/>
      <c r="U21" s="40"/>
      <c r="V21" s="427"/>
      <c r="W21" s="40"/>
      <c r="X21" s="428">
        <f t="shared" si="1"/>
        <v>196</v>
      </c>
      <c r="Y21" s="426"/>
      <c r="Z21" s="429"/>
      <c r="AA21" s="472" t="s">
        <v>147</v>
      </c>
      <c r="AB21" s="473"/>
      <c r="AC21" s="473"/>
      <c r="AD21" s="473"/>
      <c r="AE21" s="473"/>
      <c r="AF21" s="473"/>
      <c r="AG21" s="473"/>
      <c r="AH21" s="473"/>
      <c r="AI21" s="473"/>
      <c r="AJ21" s="474"/>
    </row>
    <row r="22" ht="17.1" customHeight="1" spans="1:36" s="40" customFormat="1" x14ac:dyDescent="0.25">
      <c r="A22" s="424"/>
      <c r="B22" s="425"/>
      <c r="C22" s="471"/>
      <c r="D22" s="193"/>
      <c r="E22" s="40"/>
      <c r="F22" s="40"/>
      <c r="G22" s="40"/>
      <c r="H22" s="441"/>
      <c r="I22" s="40"/>
      <c r="J22" s="442"/>
      <c r="K22" s="40"/>
      <c r="L22" s="442"/>
      <c r="M22" s="40"/>
      <c r="N22" s="442"/>
      <c r="O22" s="40"/>
      <c r="P22" s="441"/>
      <c r="Q22" s="40"/>
      <c r="R22" s="442"/>
      <c r="S22" s="40"/>
      <c r="T22" s="442"/>
      <c r="U22" s="40"/>
      <c r="V22" s="442"/>
      <c r="W22" s="40"/>
      <c r="X22" s="428">
        <f t="shared" si="1"/>
        <v>0</v>
      </c>
      <c r="Y22" s="426"/>
      <c r="Z22" s="429"/>
      <c r="AA22" s="472"/>
      <c r="AB22" s="473"/>
      <c r="AC22" s="473"/>
      <c r="AD22" s="473"/>
      <c r="AE22" s="473"/>
      <c r="AF22" s="473"/>
      <c r="AG22" s="473"/>
      <c r="AH22" s="473"/>
      <c r="AI22" s="473"/>
      <c r="AJ22" s="474"/>
    </row>
    <row r="23" ht="17.1" customHeight="1" spans="1:36" s="40" customFormat="1" x14ac:dyDescent="0.25">
      <c r="A23" s="424"/>
      <c r="B23" s="425"/>
      <c r="C23" s="471"/>
      <c r="D23" s="193"/>
      <c r="E23" s="40"/>
      <c r="F23" s="40"/>
      <c r="G23" s="40"/>
      <c r="H23" s="441"/>
      <c r="I23" s="40"/>
      <c r="J23" s="442"/>
      <c r="K23" s="40"/>
      <c r="L23" s="442"/>
      <c r="M23" s="40"/>
      <c r="N23" s="442"/>
      <c r="O23" s="40"/>
      <c r="P23" s="441"/>
      <c r="Q23" s="40"/>
      <c r="R23" s="442"/>
      <c r="S23" s="40"/>
      <c r="T23" s="442"/>
      <c r="U23" s="40"/>
      <c r="V23" s="442"/>
      <c r="W23" s="40"/>
      <c r="X23" s="428">
        <f t="shared" si="1"/>
        <v>0</v>
      </c>
      <c r="Y23" s="426"/>
      <c r="Z23" s="429"/>
      <c r="AA23" s="475"/>
      <c r="AB23" s="476"/>
      <c r="AC23" s="476"/>
      <c r="AD23" s="476"/>
      <c r="AE23" s="476"/>
      <c r="AF23" s="476"/>
      <c r="AG23" s="476"/>
      <c r="AH23" s="476"/>
      <c r="AI23" s="476"/>
      <c r="AJ23" s="477"/>
    </row>
    <row r="24" ht="17.1" customHeight="1" spans="1:36" s="40" customFormat="1" x14ac:dyDescent="0.25">
      <c r="A24" s="424"/>
      <c r="B24" s="425"/>
      <c r="C24" s="471"/>
      <c r="D24" s="193"/>
      <c r="E24" s="40"/>
      <c r="F24" s="40"/>
      <c r="G24" s="40"/>
      <c r="H24" s="441"/>
      <c r="I24" s="40"/>
      <c r="J24" s="442"/>
      <c r="K24" s="40"/>
      <c r="L24" s="442"/>
      <c r="M24" s="40"/>
      <c r="N24" s="442"/>
      <c r="O24" s="40"/>
      <c r="P24" s="441"/>
      <c r="Q24" s="40"/>
      <c r="R24" s="442"/>
      <c r="S24" s="40"/>
      <c r="T24" s="442"/>
      <c r="U24" s="40"/>
      <c r="V24" s="442"/>
      <c r="W24" s="40"/>
      <c r="X24" s="428">
        <f t="shared" si="1"/>
        <v>0</v>
      </c>
      <c r="Y24" s="426"/>
      <c r="Z24" s="429"/>
      <c r="AA24" s="475"/>
      <c r="AB24" s="476"/>
      <c r="AC24" s="476"/>
      <c r="AD24" s="476"/>
      <c r="AE24" s="476"/>
      <c r="AF24" s="476"/>
      <c r="AG24" s="476"/>
      <c r="AH24" s="476"/>
      <c r="AI24" s="476"/>
      <c r="AJ24" s="477"/>
    </row>
    <row r="25" ht="17.1" customHeight="1" spans="1:36" s="40" customFormat="1" x14ac:dyDescent="0.25">
      <c r="A25" s="424"/>
      <c r="B25" s="425"/>
      <c r="C25" s="471"/>
      <c r="D25" s="193"/>
      <c r="E25" s="40"/>
      <c r="F25" s="40"/>
      <c r="G25" s="40"/>
      <c r="H25" s="441"/>
      <c r="I25" s="40"/>
      <c r="J25" s="442"/>
      <c r="K25" s="40"/>
      <c r="L25" s="442"/>
      <c r="M25" s="40"/>
      <c r="N25" s="442"/>
      <c r="O25" s="40"/>
      <c r="P25" s="441"/>
      <c r="Q25" s="40"/>
      <c r="R25" s="442"/>
      <c r="S25" s="40"/>
      <c r="T25" s="442"/>
      <c r="U25" s="40"/>
      <c r="V25" s="442"/>
      <c r="W25" s="40"/>
      <c r="X25" s="428">
        <f t="shared" si="1"/>
        <v>0</v>
      </c>
      <c r="Y25" s="426"/>
      <c r="Z25" s="429"/>
      <c r="AA25" s="475"/>
      <c r="AB25" s="476"/>
      <c r="AC25" s="476"/>
      <c r="AD25" s="476"/>
      <c r="AE25" s="476"/>
      <c r="AF25" s="476"/>
      <c r="AG25" s="476"/>
      <c r="AH25" s="476"/>
      <c r="AI25" s="476"/>
      <c r="AJ25" s="477"/>
    </row>
    <row r="26" ht="17.1" customHeight="1" spans="1:36" s="40" customFormat="1" x14ac:dyDescent="0.25">
      <c r="A26" s="424"/>
      <c r="B26" s="425"/>
      <c r="C26" s="471"/>
      <c r="D26" s="184"/>
      <c r="E26" s="40"/>
      <c r="F26" s="40"/>
      <c r="G26" s="40"/>
      <c r="H26" s="441"/>
      <c r="I26" s="40"/>
      <c r="J26" s="442"/>
      <c r="K26" s="40"/>
      <c r="L26" s="442"/>
      <c r="M26" s="40"/>
      <c r="N26" s="442"/>
      <c r="O26" s="40"/>
      <c r="P26" s="441"/>
      <c r="Q26" s="40"/>
      <c r="R26" s="442"/>
      <c r="S26" s="40"/>
      <c r="T26" s="442"/>
      <c r="U26" s="40"/>
      <c r="V26" s="442"/>
      <c r="W26" s="40"/>
      <c r="X26" s="441">
        <f t="shared" si="1"/>
        <v>0</v>
      </c>
      <c r="Y26" s="442"/>
      <c r="Z26" s="443"/>
      <c r="AA26" s="478"/>
      <c r="AB26" s="479"/>
      <c r="AC26" s="479"/>
      <c r="AD26" s="479"/>
      <c r="AE26" s="479"/>
      <c r="AF26" s="479"/>
      <c r="AG26" s="479"/>
      <c r="AH26" s="479"/>
      <c r="AI26" s="479"/>
      <c r="AJ26" s="480"/>
    </row>
    <row r="27" ht="17.1" customHeight="1" spans="1:36" s="40" customFormat="1" x14ac:dyDescent="0.25">
      <c r="A27" s="447"/>
      <c r="B27" s="448"/>
      <c r="C27" s="481"/>
      <c r="D27" s="482" t="s">
        <v>145</v>
      </c>
      <c r="E27" s="482"/>
      <c r="F27" s="482"/>
      <c r="G27" s="483"/>
      <c r="H27" s="456">
        <f>SUM(H20:I26)</f>
        <v>82</v>
      </c>
      <c r="I27" s="457"/>
      <c r="J27" s="452">
        <f>SUM(J20:K26)</f>
        <v>0</v>
      </c>
      <c r="K27" s="453"/>
      <c r="L27" s="452">
        <f>SUM(L20:M26)</f>
        <v>29</v>
      </c>
      <c r="M27" s="453"/>
      <c r="N27" s="452">
        <f>SUM(N20:O26)</f>
        <v>0</v>
      </c>
      <c r="O27" s="454"/>
      <c r="P27" s="456">
        <f>SUM(P20:Q26)</f>
        <v>0</v>
      </c>
      <c r="Q27" s="457"/>
      <c r="R27" s="457">
        <f>SUM(R20:S26)</f>
        <v>0</v>
      </c>
      <c r="S27" s="457"/>
      <c r="T27" s="457">
        <f>SUM(T20:U26)</f>
        <v>162</v>
      </c>
      <c r="U27" s="457"/>
      <c r="V27" s="457">
        <f>SUM(V20:W26)</f>
        <v>0</v>
      </c>
      <c r="W27" s="458"/>
      <c r="X27" s="456">
        <f>SUM(X20:Z26)</f>
        <v>273</v>
      </c>
      <c r="Y27" s="457"/>
      <c r="Z27" s="458"/>
      <c r="AA27" s="484"/>
      <c r="AB27" s="485"/>
      <c r="AC27" s="485"/>
      <c r="AD27" s="485"/>
      <c r="AE27" s="485"/>
      <c r="AF27" s="485"/>
      <c r="AG27" s="485"/>
      <c r="AH27" s="485"/>
      <c r="AI27" s="485"/>
      <c r="AJ27" s="486"/>
    </row>
    <row r="28" ht="17.1" customHeight="1" spans="1:36" s="40" customFormat="1" x14ac:dyDescent="0.25">
      <c r="A28" s="50" t="s">
        <v>148</v>
      </c>
      <c r="B28" s="51"/>
      <c r="C28" s="51"/>
      <c r="D28" s="51" t="s">
        <v>149</v>
      </c>
      <c r="E28" s="51"/>
      <c r="F28" s="51"/>
      <c r="G28" s="188"/>
      <c r="H28" s="418"/>
      <c r="I28" s="427"/>
      <c r="J28" s="487"/>
      <c r="K28" s="488"/>
      <c r="L28" s="487"/>
      <c r="M28" s="488"/>
      <c r="N28" s="487"/>
      <c r="O28" s="489"/>
      <c r="P28" s="418"/>
      <c r="Q28" s="427"/>
      <c r="R28" s="427"/>
      <c r="S28" s="427"/>
      <c r="T28" s="427"/>
      <c r="U28" s="427"/>
      <c r="V28" s="427"/>
      <c r="W28" s="490"/>
      <c r="X28" s="419"/>
      <c r="Y28" s="427"/>
      <c r="Z28" s="490"/>
      <c r="AA28" s="491"/>
      <c r="AB28" s="492"/>
      <c r="AC28" s="492"/>
      <c r="AD28" s="492"/>
      <c r="AE28" s="492"/>
      <c r="AF28" s="492"/>
      <c r="AG28" s="492"/>
      <c r="AH28" s="492"/>
      <c r="AI28" s="492"/>
      <c r="AJ28" s="493"/>
    </row>
    <row r="29" ht="17.1" customHeight="1" spans="1:36" s="40" customFormat="1" x14ac:dyDescent="0.25">
      <c r="A29" s="37"/>
      <c r="B29" s="35"/>
      <c r="C29" s="35"/>
      <c r="D29" s="35" t="s">
        <v>149</v>
      </c>
      <c r="E29" s="35"/>
      <c r="F29" s="35"/>
      <c r="G29" s="437"/>
      <c r="H29" s="438"/>
      <c r="I29" s="439"/>
      <c r="J29" s="439"/>
      <c r="K29" s="439"/>
      <c r="L29" s="439"/>
      <c r="M29" s="439"/>
      <c r="N29" s="439"/>
      <c r="O29" s="494"/>
      <c r="P29" s="438"/>
      <c r="Q29" s="439"/>
      <c r="R29" s="439"/>
      <c r="S29" s="439"/>
      <c r="T29" s="439"/>
      <c r="U29" s="439"/>
      <c r="V29" s="439"/>
      <c r="W29" s="494"/>
      <c r="X29" s="440"/>
      <c r="Y29" s="439"/>
      <c r="Z29" s="494"/>
      <c r="AA29" s="495"/>
      <c r="AB29" s="496"/>
      <c r="AC29" s="496"/>
      <c r="AD29" s="496"/>
      <c r="AE29" s="496"/>
      <c r="AF29" s="496"/>
      <c r="AG29" s="496"/>
      <c r="AH29" s="496"/>
      <c r="AI29" s="496"/>
      <c r="AJ29" s="497"/>
    </row>
    <row r="30" ht="17.1" customHeight="1" spans="1:36" s="40" customFormat="1" x14ac:dyDescent="0.25">
      <c r="A30" s="76" t="s">
        <v>150</v>
      </c>
      <c r="B30" s="77"/>
      <c r="C30" s="77"/>
      <c r="D30" s="77"/>
      <c r="E30" s="77"/>
      <c r="F30" s="77"/>
      <c r="G30" s="498"/>
      <c r="H30" s="450">
        <f>SUM(H19+H27+H28+H29)</f>
        <v>168</v>
      </c>
      <c r="I30" s="451"/>
      <c r="J30" s="451">
        <f>SUM(J19+J27+J28+J29)</f>
        <v>0</v>
      </c>
      <c r="K30" s="451"/>
      <c r="L30" s="451">
        <f>SUM(L19+L27+L28+L29)</f>
        <v>138</v>
      </c>
      <c r="M30" s="451"/>
      <c r="N30" s="451">
        <f>SUM(N19+N27+N28+N29)</f>
        <v>0</v>
      </c>
      <c r="O30" s="455"/>
      <c r="P30" s="450">
        <f>SUM(P19+P27+P28+P29)</f>
        <v>0</v>
      </c>
      <c r="Q30" s="451"/>
      <c r="R30" s="451">
        <f>SUM(R19+R27+R28+R29)</f>
        <v>0</v>
      </c>
      <c r="S30" s="451"/>
      <c r="T30" s="451">
        <f>SUM(T19+T27+T28+T29)</f>
        <v>162</v>
      </c>
      <c r="U30" s="451"/>
      <c r="V30" s="451">
        <f>SUM(V19+V27+V28+V29)</f>
        <v>0</v>
      </c>
      <c r="W30" s="455"/>
      <c r="X30" s="499">
        <f>SUM(X19+X27+X28+X29)</f>
        <v>468</v>
      </c>
      <c r="Y30" s="451"/>
      <c r="Z30" s="455"/>
      <c r="AA30" s="500"/>
      <c r="AB30" s="501"/>
      <c r="AC30" s="501"/>
      <c r="AD30" s="501"/>
      <c r="AE30" s="501"/>
      <c r="AF30" s="501"/>
      <c r="AG30" s="501"/>
      <c r="AH30" s="501"/>
      <c r="AI30" s="501"/>
      <c r="AJ30" s="502"/>
    </row>
    <row r="31" ht="8.25" customHeight="1" x14ac:dyDescent="0.25"/>
    <row r="32" spans="1:1" x14ac:dyDescent="0.25">
      <c r="A32" s="503" t="s">
        <v>151</v>
      </c>
    </row>
    <row r="33" ht="3.75" customHeight="1" x14ac:dyDescent="0.25"/>
    <row r="34" ht="21" customHeight="1" spans="1:36" x14ac:dyDescent="0.25">
      <c r="A34" s="504" t="s">
        <v>152</v>
      </c>
      <c r="B34" s="505"/>
      <c r="C34" s="505"/>
      <c r="D34" s="506"/>
      <c r="E34" s="507" t="s">
        <v>153</v>
      </c>
      <c r="F34" s="508"/>
      <c r="G34" s="508"/>
      <c r="H34" s="508"/>
      <c r="I34" s="508"/>
      <c r="J34" s="508"/>
      <c r="K34" s="508" t="s">
        <v>154</v>
      </c>
      <c r="L34" s="508"/>
      <c r="M34" s="508"/>
      <c r="N34" s="508"/>
      <c r="O34" s="508"/>
      <c r="P34" s="509"/>
      <c r="Q34" s="507" t="s">
        <v>155</v>
      </c>
      <c r="R34" s="508"/>
      <c r="S34" s="508"/>
      <c r="T34" s="508"/>
      <c r="U34" s="508"/>
      <c r="V34" s="509"/>
      <c r="W34" s="507" t="s">
        <v>49</v>
      </c>
      <c r="X34" s="508"/>
      <c r="Y34" s="508"/>
      <c r="Z34" s="508"/>
      <c r="AA34" s="508"/>
      <c r="AB34" s="508"/>
      <c r="AC34" s="508"/>
      <c r="AD34" s="508"/>
      <c r="AE34" s="508"/>
      <c r="AF34" s="508"/>
      <c r="AG34" s="508"/>
      <c r="AH34" s="508"/>
      <c r="AI34" s="508"/>
      <c r="AJ34" s="509"/>
    </row>
    <row r="35" ht="15.75" customHeight="1" hidden="1" spans="1:37" s="369" customFormat="1" x14ac:dyDescent="0.25">
      <c r="A35" s="510" t="s">
        <v>156</v>
      </c>
      <c r="B35" s="511"/>
      <c r="C35" s="511"/>
      <c r="D35" s="512"/>
      <c r="E35" s="513"/>
      <c r="F35" s="514"/>
      <c r="G35" s="514"/>
      <c r="H35" s="514"/>
      <c r="I35" s="514"/>
      <c r="J35" s="515"/>
      <c r="K35" s="516"/>
      <c r="L35" s="514"/>
      <c r="M35" s="514"/>
      <c r="N35" s="514"/>
      <c r="O35" s="514"/>
      <c r="P35" s="517"/>
      <c r="Q35" s="518"/>
      <c r="R35" s="519"/>
      <c r="S35" s="519"/>
      <c r="T35" s="519"/>
      <c r="U35" s="519"/>
      <c r="V35" s="520"/>
      <c r="W35" s="521"/>
      <c r="X35" s="522"/>
      <c r="Y35" s="522"/>
      <c r="Z35" s="522"/>
      <c r="AA35" s="522"/>
      <c r="AB35" s="522"/>
      <c r="AC35" s="522"/>
      <c r="AD35" s="522"/>
      <c r="AE35" s="522"/>
      <c r="AF35" s="522"/>
      <c r="AG35" s="522"/>
      <c r="AH35" s="522"/>
      <c r="AI35" s="522"/>
      <c r="AJ35" s="523"/>
      <c r="AK35" s="524"/>
    </row>
    <row r="36" ht="15.75" customHeight="1" hidden="1" spans="1:37" s="369" customFormat="1" x14ac:dyDescent="0.25">
      <c r="A36" s="525"/>
      <c r="B36" s="526"/>
      <c r="C36" s="526"/>
      <c r="D36" s="527"/>
      <c r="E36" s="528"/>
      <c r="F36" s="529"/>
      <c r="G36" s="529"/>
      <c r="H36" s="529"/>
      <c r="I36" s="529"/>
      <c r="J36" s="530"/>
      <c r="K36" s="531"/>
      <c r="L36" s="529"/>
      <c r="M36" s="529"/>
      <c r="N36" s="529"/>
      <c r="O36" s="529"/>
      <c r="P36" s="532"/>
      <c r="Q36" s="533"/>
      <c r="R36" s="534"/>
      <c r="S36" s="534"/>
      <c r="T36" s="534"/>
      <c r="U36" s="534"/>
      <c r="V36" s="535"/>
      <c r="W36" s="536"/>
      <c r="X36" s="537"/>
      <c r="Y36" s="537"/>
      <c r="Z36" s="537"/>
      <c r="AA36" s="537"/>
      <c r="AB36" s="537"/>
      <c r="AC36" s="537"/>
      <c r="AD36" s="537"/>
      <c r="AE36" s="537"/>
      <c r="AF36" s="537"/>
      <c r="AG36" s="537"/>
      <c r="AH36" s="537"/>
      <c r="AI36" s="537"/>
      <c r="AJ36" s="538"/>
      <c r="AK36" s="524"/>
    </row>
    <row r="37" ht="15.75" customHeight="1" hidden="1" spans="1:37" s="369" customFormat="1" x14ac:dyDescent="0.25">
      <c r="A37" s="539"/>
      <c r="B37" s="540"/>
      <c r="C37" s="540"/>
      <c r="D37" s="541"/>
      <c r="E37" s="513"/>
      <c r="F37" s="514"/>
      <c r="G37" s="514"/>
      <c r="H37" s="514"/>
      <c r="I37" s="514"/>
      <c r="J37" s="515"/>
      <c r="K37" s="531"/>
      <c r="L37" s="529"/>
      <c r="M37" s="529"/>
      <c r="N37" s="529"/>
      <c r="O37" s="529"/>
      <c r="P37" s="532"/>
      <c r="Q37" s="533"/>
      <c r="R37" s="534"/>
      <c r="S37" s="534"/>
      <c r="T37" s="534"/>
      <c r="U37" s="534"/>
      <c r="V37" s="535"/>
      <c r="W37" s="536"/>
      <c r="X37" s="537"/>
      <c r="Y37" s="537"/>
      <c r="Z37" s="537"/>
      <c r="AA37" s="537"/>
      <c r="AB37" s="537"/>
      <c r="AC37" s="537"/>
      <c r="AD37" s="537"/>
      <c r="AE37" s="537"/>
      <c r="AF37" s="537"/>
      <c r="AG37" s="537"/>
      <c r="AH37" s="537"/>
      <c r="AI37" s="537"/>
      <c r="AJ37" s="538"/>
      <c r="AK37" s="524"/>
    </row>
    <row r="38" ht="15.75" customHeight="1" hidden="1" spans="1:37" s="369" customFormat="1" x14ac:dyDescent="0.25">
      <c r="A38" s="539"/>
      <c r="B38" s="540"/>
      <c r="C38" s="540"/>
      <c r="D38" s="541"/>
      <c r="E38" s="513"/>
      <c r="F38" s="514"/>
      <c r="G38" s="514"/>
      <c r="H38" s="514"/>
      <c r="I38" s="514"/>
      <c r="J38" s="515"/>
      <c r="K38" s="531"/>
      <c r="L38" s="529"/>
      <c r="M38" s="529"/>
      <c r="N38" s="529"/>
      <c r="O38" s="529"/>
      <c r="P38" s="532"/>
      <c r="Q38" s="533"/>
      <c r="R38" s="534"/>
      <c r="S38" s="534"/>
      <c r="T38" s="534"/>
      <c r="U38" s="534"/>
      <c r="V38" s="535"/>
      <c r="W38" s="536"/>
      <c r="X38" s="537"/>
      <c r="Y38" s="537"/>
      <c r="Z38" s="537"/>
      <c r="AA38" s="537"/>
      <c r="AB38" s="537"/>
      <c r="AC38" s="537"/>
      <c r="AD38" s="537"/>
      <c r="AE38" s="537"/>
      <c r="AF38" s="537"/>
      <c r="AG38" s="537"/>
      <c r="AH38" s="537"/>
      <c r="AI38" s="537"/>
      <c r="AJ38" s="538"/>
      <c r="AK38" s="524"/>
    </row>
    <row r="39" ht="15.75" customHeight="1" hidden="1" spans="1:37" s="369" customFormat="1" x14ac:dyDescent="0.25">
      <c r="A39" s="539"/>
      <c r="B39" s="540"/>
      <c r="C39" s="540"/>
      <c r="D39" s="541"/>
      <c r="E39" s="513"/>
      <c r="F39" s="514"/>
      <c r="G39" s="514"/>
      <c r="H39" s="514"/>
      <c r="I39" s="514"/>
      <c r="J39" s="515"/>
      <c r="K39" s="531"/>
      <c r="L39" s="529"/>
      <c r="M39" s="529"/>
      <c r="N39" s="529"/>
      <c r="O39" s="529"/>
      <c r="P39" s="532"/>
      <c r="Q39" s="533"/>
      <c r="R39" s="534"/>
      <c r="S39" s="534"/>
      <c r="T39" s="534"/>
      <c r="U39" s="534"/>
      <c r="V39" s="535"/>
      <c r="W39" s="536"/>
      <c r="X39" s="537"/>
      <c r="Y39" s="537"/>
      <c r="Z39" s="537"/>
      <c r="AA39" s="537"/>
      <c r="AB39" s="537"/>
      <c r="AC39" s="537"/>
      <c r="AD39" s="537"/>
      <c r="AE39" s="537"/>
      <c r="AF39" s="537"/>
      <c r="AG39" s="537"/>
      <c r="AH39" s="537"/>
      <c r="AI39" s="537"/>
      <c r="AJ39" s="538"/>
      <c r="AK39" s="524"/>
    </row>
    <row r="40" ht="15.75" customHeight="1" hidden="1" spans="1:37" s="369" customFormat="1" x14ac:dyDescent="0.25">
      <c r="A40" s="539"/>
      <c r="B40" s="540"/>
      <c r="C40" s="540"/>
      <c r="D40" s="541"/>
      <c r="E40" s="513"/>
      <c r="F40" s="514"/>
      <c r="G40" s="514"/>
      <c r="H40" s="514"/>
      <c r="I40" s="514"/>
      <c r="J40" s="515"/>
      <c r="K40" s="531"/>
      <c r="L40" s="529"/>
      <c r="M40" s="529"/>
      <c r="N40" s="529"/>
      <c r="O40" s="529"/>
      <c r="P40" s="532"/>
      <c r="Q40" s="533"/>
      <c r="R40" s="534"/>
      <c r="S40" s="534"/>
      <c r="T40" s="534"/>
      <c r="U40" s="534"/>
      <c r="V40" s="535"/>
      <c r="W40" s="536"/>
      <c r="X40" s="537"/>
      <c r="Y40" s="537"/>
      <c r="Z40" s="537"/>
      <c r="AA40" s="537"/>
      <c r="AB40" s="537"/>
      <c r="AC40" s="537"/>
      <c r="AD40" s="537"/>
      <c r="AE40" s="537"/>
      <c r="AF40" s="537"/>
      <c r="AG40" s="537"/>
      <c r="AH40" s="537"/>
      <c r="AI40" s="537"/>
      <c r="AJ40" s="538"/>
      <c r="AK40" s="524"/>
    </row>
    <row r="41" ht="15.75" customHeight="1" hidden="1" spans="1:37" s="369" customFormat="1" x14ac:dyDescent="0.25">
      <c r="A41" s="525"/>
      <c r="B41" s="526"/>
      <c r="C41" s="526"/>
      <c r="D41" s="527"/>
      <c r="E41" s="531"/>
      <c r="F41" s="529"/>
      <c r="G41" s="529"/>
      <c r="H41" s="529"/>
      <c r="I41" s="529"/>
      <c r="J41" s="529"/>
      <c r="K41" s="531"/>
      <c r="L41" s="529"/>
      <c r="M41" s="529"/>
      <c r="N41" s="529"/>
      <c r="O41" s="529"/>
      <c r="P41" s="532"/>
      <c r="Q41" s="533"/>
      <c r="R41" s="534"/>
      <c r="S41" s="534"/>
      <c r="T41" s="534"/>
      <c r="U41" s="534"/>
      <c r="V41" s="535"/>
      <c r="W41" s="536"/>
      <c r="X41" s="537"/>
      <c r="Y41" s="537"/>
      <c r="Z41" s="537"/>
      <c r="AA41" s="537"/>
      <c r="AB41" s="537"/>
      <c r="AC41" s="537"/>
      <c r="AD41" s="537"/>
      <c r="AE41" s="537"/>
      <c r="AF41" s="537"/>
      <c r="AG41" s="537"/>
      <c r="AH41" s="537"/>
      <c r="AI41" s="537"/>
      <c r="AJ41" s="538"/>
      <c r="AK41" s="524"/>
    </row>
    <row r="42" ht="15.75" customHeight="1" hidden="1" spans="1:37" s="369" customFormat="1" x14ac:dyDescent="0.25">
      <c r="A42" s="539"/>
      <c r="B42" s="540"/>
      <c r="C42" s="540"/>
      <c r="D42" s="541"/>
      <c r="E42" s="513"/>
      <c r="F42" s="514"/>
      <c r="G42" s="514"/>
      <c r="H42" s="514"/>
      <c r="I42" s="514"/>
      <c r="J42" s="515"/>
      <c r="K42" s="531"/>
      <c r="L42" s="529"/>
      <c r="M42" s="529"/>
      <c r="N42" s="529"/>
      <c r="O42" s="529"/>
      <c r="P42" s="532"/>
      <c r="Q42" s="533"/>
      <c r="R42" s="534"/>
      <c r="S42" s="534"/>
      <c r="T42" s="534"/>
      <c r="U42" s="534"/>
      <c r="V42" s="535"/>
      <c r="W42" s="521"/>
      <c r="X42" s="522"/>
      <c r="Y42" s="522"/>
      <c r="Z42" s="522"/>
      <c r="AA42" s="522"/>
      <c r="AB42" s="522"/>
      <c r="AC42" s="522"/>
      <c r="AD42" s="522"/>
      <c r="AE42" s="522"/>
      <c r="AF42" s="522"/>
      <c r="AG42" s="522"/>
      <c r="AH42" s="522"/>
      <c r="AI42" s="522"/>
      <c r="AJ42" s="523"/>
      <c r="AK42" s="524"/>
    </row>
    <row r="43" ht="15.75" customHeight="1" hidden="1" spans="1:37" s="369" customFormat="1" x14ac:dyDescent="0.25">
      <c r="A43" s="539"/>
      <c r="B43" s="540"/>
      <c r="C43" s="540"/>
      <c r="D43" s="541"/>
      <c r="E43" s="513"/>
      <c r="F43" s="514"/>
      <c r="G43" s="514"/>
      <c r="H43" s="514"/>
      <c r="I43" s="514"/>
      <c r="J43" s="515"/>
      <c r="K43" s="531"/>
      <c r="L43" s="529"/>
      <c r="M43" s="529"/>
      <c r="N43" s="529"/>
      <c r="O43" s="529"/>
      <c r="P43" s="532"/>
      <c r="Q43" s="533"/>
      <c r="R43" s="534"/>
      <c r="S43" s="534"/>
      <c r="T43" s="534"/>
      <c r="U43" s="534"/>
      <c r="V43" s="535"/>
      <c r="W43" s="521"/>
      <c r="X43" s="522"/>
      <c r="Y43" s="522"/>
      <c r="Z43" s="522"/>
      <c r="AA43" s="522"/>
      <c r="AB43" s="522"/>
      <c r="AC43" s="522"/>
      <c r="AD43" s="522"/>
      <c r="AE43" s="522"/>
      <c r="AF43" s="522"/>
      <c r="AG43" s="522"/>
      <c r="AH43" s="522"/>
      <c r="AI43" s="522"/>
      <c r="AJ43" s="523"/>
      <c r="AK43" s="524"/>
    </row>
    <row r="44" ht="15.75" customHeight="1" hidden="1" spans="1:37" s="369" customFormat="1" x14ac:dyDescent="0.25">
      <c r="A44" s="539"/>
      <c r="B44" s="540"/>
      <c r="C44" s="540"/>
      <c r="D44" s="541"/>
      <c r="E44" s="513"/>
      <c r="F44" s="514"/>
      <c r="G44" s="514"/>
      <c r="H44" s="514"/>
      <c r="I44" s="514"/>
      <c r="J44" s="515"/>
      <c r="K44" s="531"/>
      <c r="L44" s="529"/>
      <c r="M44" s="529"/>
      <c r="N44" s="529"/>
      <c r="O44" s="529"/>
      <c r="P44" s="532"/>
      <c r="Q44" s="533"/>
      <c r="R44" s="534"/>
      <c r="S44" s="534"/>
      <c r="T44" s="534"/>
      <c r="U44" s="534"/>
      <c r="V44" s="535"/>
      <c r="W44" s="536"/>
      <c r="X44" s="537"/>
      <c r="Y44" s="537"/>
      <c r="Z44" s="537"/>
      <c r="AA44" s="537"/>
      <c r="AB44" s="537"/>
      <c r="AC44" s="537"/>
      <c r="AD44" s="537"/>
      <c r="AE44" s="537"/>
      <c r="AF44" s="537"/>
      <c r="AG44" s="537"/>
      <c r="AH44" s="537"/>
      <c r="AI44" s="537"/>
      <c r="AJ44" s="538"/>
      <c r="AK44" s="524"/>
    </row>
    <row r="45" ht="15.75" customHeight="1" hidden="1" spans="1:37" s="369" customFormat="1" x14ac:dyDescent="0.25">
      <c r="A45" s="539"/>
      <c r="B45" s="540"/>
      <c r="C45" s="540"/>
      <c r="D45" s="541"/>
      <c r="E45" s="513"/>
      <c r="F45" s="514"/>
      <c r="G45" s="514"/>
      <c r="H45" s="514"/>
      <c r="I45" s="514"/>
      <c r="J45" s="515"/>
      <c r="K45" s="531"/>
      <c r="L45" s="529"/>
      <c r="M45" s="529"/>
      <c r="N45" s="529"/>
      <c r="O45" s="529"/>
      <c r="P45" s="532"/>
      <c r="Q45" s="533"/>
      <c r="R45" s="534"/>
      <c r="S45" s="534"/>
      <c r="T45" s="534"/>
      <c r="U45" s="534"/>
      <c r="V45" s="535"/>
      <c r="W45" s="521"/>
      <c r="X45" s="522"/>
      <c r="Y45" s="522"/>
      <c r="Z45" s="522"/>
      <c r="AA45" s="522"/>
      <c r="AB45" s="522"/>
      <c r="AC45" s="522"/>
      <c r="AD45" s="522"/>
      <c r="AE45" s="522"/>
      <c r="AF45" s="522"/>
      <c r="AG45" s="522"/>
      <c r="AH45" s="522"/>
      <c r="AI45" s="522"/>
      <c r="AJ45" s="523"/>
      <c r="AK45" s="524"/>
    </row>
    <row r="46" ht="15.75" customHeight="1" hidden="1" spans="1:37" s="369" customFormat="1" x14ac:dyDescent="0.25">
      <c r="A46" s="539"/>
      <c r="B46" s="540"/>
      <c r="C46" s="540"/>
      <c r="D46" s="541"/>
      <c r="E46" s="513"/>
      <c r="F46" s="514"/>
      <c r="G46" s="514"/>
      <c r="H46" s="514"/>
      <c r="I46" s="514"/>
      <c r="J46" s="515"/>
      <c r="K46" s="531"/>
      <c r="L46" s="529"/>
      <c r="M46" s="529"/>
      <c r="N46" s="529"/>
      <c r="O46" s="529"/>
      <c r="P46" s="532"/>
      <c r="Q46" s="533"/>
      <c r="R46" s="534"/>
      <c r="S46" s="534"/>
      <c r="T46" s="534"/>
      <c r="U46" s="534"/>
      <c r="V46" s="535"/>
      <c r="W46" s="536"/>
      <c r="X46" s="537"/>
      <c r="Y46" s="537"/>
      <c r="Z46" s="537"/>
      <c r="AA46" s="537"/>
      <c r="AB46" s="537"/>
      <c r="AC46" s="537"/>
      <c r="AD46" s="537"/>
      <c r="AE46" s="537"/>
      <c r="AF46" s="537"/>
      <c r="AG46" s="537"/>
      <c r="AH46" s="537"/>
      <c r="AI46" s="537"/>
      <c r="AJ46" s="538"/>
      <c r="AK46" s="524"/>
    </row>
    <row r="47" ht="15.75" customHeight="1" hidden="1" spans="1:37" s="369" customFormat="1" x14ac:dyDescent="0.25">
      <c r="A47" s="539"/>
      <c r="B47" s="540"/>
      <c r="C47" s="540"/>
      <c r="D47" s="541"/>
      <c r="E47" s="513"/>
      <c r="F47" s="514"/>
      <c r="G47" s="514"/>
      <c r="H47" s="514"/>
      <c r="I47" s="514"/>
      <c r="J47" s="515"/>
      <c r="K47" s="531"/>
      <c r="L47" s="529"/>
      <c r="M47" s="529"/>
      <c r="N47" s="529"/>
      <c r="O47" s="529"/>
      <c r="P47" s="532"/>
      <c r="Q47" s="533">
        <f t="shared" ref="Q47:Q48" si="2">IF(AND(NOT(ISBLANK(K47)),NOT(ISBLANK(E47))), IF(K47&gt;E47,K47-E47,24-E47+K47), "")</f>
      </c>
      <c r="R47" s="534"/>
      <c r="S47" s="534"/>
      <c r="T47" s="534"/>
      <c r="U47" s="534"/>
      <c r="V47" s="535"/>
      <c r="W47" s="536"/>
      <c r="X47" s="537"/>
      <c r="Y47" s="537"/>
      <c r="Z47" s="537"/>
      <c r="AA47" s="537"/>
      <c r="AB47" s="537"/>
      <c r="AC47" s="537"/>
      <c r="AD47" s="537"/>
      <c r="AE47" s="537"/>
      <c r="AF47" s="537"/>
      <c r="AG47" s="537"/>
      <c r="AH47" s="537"/>
      <c r="AI47" s="537"/>
      <c r="AJ47" s="538"/>
      <c r="AK47" s="524"/>
    </row>
    <row r="48" ht="15.75" customHeight="1" hidden="1" spans="1:37" s="369" customFormat="1" x14ac:dyDescent="0.25">
      <c r="A48" s="539"/>
      <c r="B48" s="540"/>
      <c r="C48" s="540"/>
      <c r="D48" s="541"/>
      <c r="E48" s="513"/>
      <c r="F48" s="514"/>
      <c r="G48" s="514"/>
      <c r="H48" s="514"/>
      <c r="I48" s="514"/>
      <c r="J48" s="515"/>
      <c r="K48" s="531"/>
      <c r="L48" s="529"/>
      <c r="M48" s="529"/>
      <c r="N48" s="529"/>
      <c r="O48" s="529"/>
      <c r="P48" s="532"/>
      <c r="Q48" s="533">
        <f t="shared" si="2"/>
      </c>
      <c r="R48" s="534"/>
      <c r="S48" s="534"/>
      <c r="T48" s="534"/>
      <c r="U48" s="534"/>
      <c r="V48" s="535"/>
      <c r="W48" s="536"/>
      <c r="X48" s="537"/>
      <c r="Y48" s="537"/>
      <c r="Z48" s="537"/>
      <c r="AA48" s="537"/>
      <c r="AB48" s="537"/>
      <c r="AC48" s="537"/>
      <c r="AD48" s="537"/>
      <c r="AE48" s="537"/>
      <c r="AF48" s="537"/>
      <c r="AG48" s="537"/>
      <c r="AH48" s="537"/>
      <c r="AI48" s="537"/>
      <c r="AJ48" s="538"/>
      <c r="AK48" s="524"/>
    </row>
    <row r="49" ht="15.75" customHeight="1" hidden="1" spans="1:37" s="369" customFormat="1" x14ac:dyDescent="0.25">
      <c r="A49" s="539"/>
      <c r="B49" s="540"/>
      <c r="C49" s="540"/>
      <c r="D49" s="541"/>
      <c r="E49" s="513"/>
      <c r="F49" s="514"/>
      <c r="G49" s="514"/>
      <c r="H49" s="514"/>
      <c r="I49" s="514"/>
      <c r="J49" s="515"/>
      <c r="K49" s="531"/>
      <c r="L49" s="529"/>
      <c r="M49" s="529"/>
      <c r="N49" s="529"/>
      <c r="O49" s="529"/>
      <c r="P49" s="532"/>
      <c r="Q49" s="533">
        <f t="shared" ref="Q49:Q52" si="3">IF(AND(NOT(ISBLANK(K49)),NOT(ISBLANK(E49))), IF(K49&gt;E49,K49-E49,24-E49+K49), "")</f>
      </c>
      <c r="R49" s="534"/>
      <c r="S49" s="534"/>
      <c r="T49" s="534"/>
      <c r="U49" s="534"/>
      <c r="V49" s="535"/>
      <c r="W49" s="536"/>
      <c r="X49" s="537"/>
      <c r="Y49" s="537"/>
      <c r="Z49" s="537"/>
      <c r="AA49" s="537"/>
      <c r="AB49" s="537"/>
      <c r="AC49" s="537"/>
      <c r="AD49" s="537"/>
      <c r="AE49" s="537"/>
      <c r="AF49" s="537"/>
      <c r="AG49" s="537"/>
      <c r="AH49" s="537"/>
      <c r="AI49" s="537"/>
      <c r="AJ49" s="538"/>
      <c r="AK49" s="524"/>
    </row>
    <row r="50" ht="15.75" customHeight="1" hidden="1" spans="1:37" s="369" customFormat="1" x14ac:dyDescent="0.25">
      <c r="A50" s="539"/>
      <c r="B50" s="540"/>
      <c r="C50" s="540"/>
      <c r="D50" s="541"/>
      <c r="E50" s="513"/>
      <c r="F50" s="514"/>
      <c r="G50" s="514"/>
      <c r="H50" s="514"/>
      <c r="I50" s="514"/>
      <c r="J50" s="515"/>
      <c r="K50" s="531"/>
      <c r="L50" s="529"/>
      <c r="M50" s="529"/>
      <c r="N50" s="529"/>
      <c r="O50" s="529"/>
      <c r="P50" s="532"/>
      <c r="Q50" s="533">
        <f t="shared" si="3"/>
      </c>
      <c r="R50" s="534"/>
      <c r="S50" s="534"/>
      <c r="T50" s="534"/>
      <c r="U50" s="534"/>
      <c r="V50" s="535"/>
      <c r="W50" s="521"/>
      <c r="X50" s="522"/>
      <c r="Y50" s="522"/>
      <c r="Z50" s="522"/>
      <c r="AA50" s="522"/>
      <c r="AB50" s="522"/>
      <c r="AC50" s="522"/>
      <c r="AD50" s="522"/>
      <c r="AE50" s="522"/>
      <c r="AF50" s="522"/>
      <c r="AG50" s="522"/>
      <c r="AH50" s="522"/>
      <c r="AI50" s="522"/>
      <c r="AJ50" s="523"/>
      <c r="AK50" s="524"/>
    </row>
    <row r="51" ht="15.75" customHeight="1" hidden="1" spans="1:37" s="369" customFormat="1" x14ac:dyDescent="0.25">
      <c r="A51" s="539"/>
      <c r="B51" s="540"/>
      <c r="C51" s="540"/>
      <c r="D51" s="541"/>
      <c r="E51" s="513"/>
      <c r="F51" s="514"/>
      <c r="G51" s="514"/>
      <c r="H51" s="514"/>
      <c r="I51" s="514"/>
      <c r="J51" s="515"/>
      <c r="K51" s="516"/>
      <c r="L51" s="514"/>
      <c r="M51" s="514"/>
      <c r="N51" s="514"/>
      <c r="O51" s="514"/>
      <c r="P51" s="517"/>
      <c r="Q51" s="533">
        <f t="shared" si="3"/>
      </c>
      <c r="R51" s="534"/>
      <c r="S51" s="534"/>
      <c r="T51" s="534"/>
      <c r="U51" s="534"/>
      <c r="V51" s="535"/>
      <c r="W51" s="521"/>
      <c r="X51" s="522"/>
      <c r="Y51" s="522"/>
      <c r="Z51" s="522"/>
      <c r="AA51" s="522"/>
      <c r="AB51" s="522"/>
      <c r="AC51" s="522"/>
      <c r="AD51" s="522"/>
      <c r="AE51" s="522"/>
      <c r="AF51" s="522"/>
      <c r="AG51" s="522"/>
      <c r="AH51" s="522"/>
      <c r="AI51" s="522"/>
      <c r="AJ51" s="523"/>
      <c r="AK51" s="524"/>
    </row>
    <row r="52" ht="15.75" customHeight="1" hidden="1" spans="1:37" s="369" customFormat="1" x14ac:dyDescent="0.25">
      <c r="A52" s="539"/>
      <c r="B52" s="540"/>
      <c r="C52" s="540"/>
      <c r="D52" s="541"/>
      <c r="E52" s="513"/>
      <c r="F52" s="514"/>
      <c r="G52" s="514"/>
      <c r="H52" s="514"/>
      <c r="I52" s="514"/>
      <c r="J52" s="515"/>
      <c r="K52" s="516"/>
      <c r="L52" s="514"/>
      <c r="M52" s="514"/>
      <c r="N52" s="514"/>
      <c r="O52" s="514"/>
      <c r="P52" s="517"/>
      <c r="Q52" s="533">
        <f t="shared" si="3"/>
      </c>
      <c r="R52" s="534"/>
      <c r="S52" s="534"/>
      <c r="T52" s="534"/>
      <c r="U52" s="534"/>
      <c r="V52" s="535"/>
      <c r="W52" s="536"/>
      <c r="X52" s="537"/>
      <c r="Y52" s="537"/>
      <c r="Z52" s="537"/>
      <c r="AA52" s="537"/>
      <c r="AB52" s="537"/>
      <c r="AC52" s="537"/>
      <c r="AD52" s="537"/>
      <c r="AE52" s="537"/>
      <c r="AF52" s="537"/>
      <c r="AG52" s="537"/>
      <c r="AH52" s="537"/>
      <c r="AI52" s="537"/>
      <c r="AJ52" s="538"/>
      <c r="AK52" s="524"/>
    </row>
    <row r="53" ht="15.75" customHeight="1" hidden="1" spans="1:37" s="369" customFormat="1" x14ac:dyDescent="0.25">
      <c r="A53" s="539"/>
      <c r="B53" s="540"/>
      <c r="C53" s="540"/>
      <c r="D53" s="541"/>
      <c r="E53" s="528"/>
      <c r="F53" s="529"/>
      <c r="G53" s="529"/>
      <c r="H53" s="529"/>
      <c r="I53" s="529"/>
      <c r="J53" s="530"/>
      <c r="K53" s="529"/>
      <c r="L53" s="529"/>
      <c r="M53" s="529"/>
      <c r="N53" s="529"/>
      <c r="O53" s="529"/>
      <c r="P53" s="532"/>
      <c r="Q53" s="533">
        <f t="shared" ref="Q53" si="4">IF(AND(NOT(ISBLANK(K53)),NOT(ISBLANK(E53))), IF(K53&gt;E53,K53-E53,24-E53+K53), "")</f>
      </c>
      <c r="R53" s="534"/>
      <c r="S53" s="534"/>
      <c r="T53" s="534"/>
      <c r="U53" s="534"/>
      <c r="V53" s="535"/>
      <c r="W53" s="536"/>
      <c r="X53" s="537"/>
      <c r="Y53" s="537"/>
      <c r="Z53" s="537"/>
      <c r="AA53" s="537"/>
      <c r="AB53" s="537"/>
      <c r="AC53" s="537"/>
      <c r="AD53" s="537"/>
      <c r="AE53" s="537"/>
      <c r="AF53" s="537"/>
      <c r="AG53" s="537"/>
      <c r="AH53" s="537"/>
      <c r="AI53" s="537"/>
      <c r="AJ53" s="538"/>
      <c r="AK53" s="524"/>
    </row>
    <row r="54" ht="15.75" customHeight="1" hidden="1" spans="1:37" s="40" customFormat="1" x14ac:dyDescent="0.25">
      <c r="A54" s="542"/>
      <c r="B54" s="543"/>
      <c r="C54" s="543"/>
      <c r="D54" s="543"/>
      <c r="E54" s="543"/>
      <c r="F54" s="543"/>
      <c r="G54" s="543"/>
      <c r="H54" s="543"/>
      <c r="I54" s="543"/>
      <c r="J54" s="543"/>
      <c r="K54" s="543"/>
      <c r="L54" s="543"/>
      <c r="M54" s="543"/>
      <c r="N54" s="543"/>
      <c r="O54" s="543"/>
      <c r="P54" s="544"/>
      <c r="Q54" s="545">
        <f>SUM(Q35:V53)</f>
        <v>0</v>
      </c>
      <c r="R54" s="546"/>
      <c r="S54" s="546"/>
      <c r="T54" s="546"/>
      <c r="U54" s="546"/>
      <c r="V54" s="547"/>
      <c r="W54" s="548"/>
      <c r="X54" s="549"/>
      <c r="Y54" s="549"/>
      <c r="Z54" s="549"/>
      <c r="AA54" s="549"/>
      <c r="AB54" s="549"/>
      <c r="AC54" s="549"/>
      <c r="AD54" s="549"/>
      <c r="AE54" s="549"/>
      <c r="AF54" s="549"/>
      <c r="AG54" s="549"/>
      <c r="AH54" s="549"/>
      <c r="AI54" s="549"/>
      <c r="AJ54" s="550"/>
      <c r="AK54" s="551"/>
    </row>
    <row r="55" ht="15.75" customHeight="1" hidden="1" spans="1:37" s="369" customFormat="1" x14ac:dyDescent="0.25">
      <c r="A55" s="510" t="s">
        <v>157</v>
      </c>
      <c r="B55" s="511"/>
      <c r="C55" s="511"/>
      <c r="D55" s="512"/>
      <c r="E55" s="513"/>
      <c r="F55" s="514"/>
      <c r="G55" s="514"/>
      <c r="H55" s="514"/>
      <c r="I55" s="514"/>
      <c r="J55" s="515"/>
      <c r="K55" s="516"/>
      <c r="L55" s="514"/>
      <c r="M55" s="514"/>
      <c r="N55" s="514"/>
      <c r="O55" s="514"/>
      <c r="P55" s="517"/>
      <c r="Q55" s="518"/>
      <c r="R55" s="519"/>
      <c r="S55" s="519"/>
      <c r="T55" s="519"/>
      <c r="U55" s="519"/>
      <c r="V55" s="520"/>
      <c r="W55" s="521"/>
      <c r="X55" s="522"/>
      <c r="Y55" s="522"/>
      <c r="Z55" s="522"/>
      <c r="AA55" s="522"/>
      <c r="AB55" s="522"/>
      <c r="AC55" s="522"/>
      <c r="AD55" s="522"/>
      <c r="AE55" s="522"/>
      <c r="AF55" s="522"/>
      <c r="AG55" s="522"/>
      <c r="AH55" s="522"/>
      <c r="AI55" s="522"/>
      <c r="AJ55" s="523"/>
      <c r="AK55" s="524"/>
    </row>
    <row r="56" ht="15.75" customHeight="1" hidden="1" spans="1:37" s="369" customFormat="1" x14ac:dyDescent="0.25">
      <c r="A56" s="525"/>
      <c r="B56" s="526"/>
      <c r="C56" s="526"/>
      <c r="D56" s="527"/>
      <c r="E56" s="528"/>
      <c r="F56" s="529"/>
      <c r="G56" s="529"/>
      <c r="H56" s="529"/>
      <c r="I56" s="529"/>
      <c r="J56" s="530"/>
      <c r="K56" s="531"/>
      <c r="L56" s="529"/>
      <c r="M56" s="529"/>
      <c r="N56" s="529"/>
      <c r="O56" s="529"/>
      <c r="P56" s="532"/>
      <c r="Q56" s="533"/>
      <c r="R56" s="534"/>
      <c r="S56" s="534"/>
      <c r="T56" s="534"/>
      <c r="U56" s="534"/>
      <c r="V56" s="535"/>
      <c r="W56" s="536"/>
      <c r="X56" s="537"/>
      <c r="Y56" s="537"/>
      <c r="Z56" s="537"/>
      <c r="AA56" s="537"/>
      <c r="AB56" s="537"/>
      <c r="AC56" s="537"/>
      <c r="AD56" s="537"/>
      <c r="AE56" s="537"/>
      <c r="AF56" s="537"/>
      <c r="AG56" s="537"/>
      <c r="AH56" s="537"/>
      <c r="AI56" s="537"/>
      <c r="AJ56" s="538"/>
      <c r="AK56" s="524"/>
    </row>
    <row r="57" ht="15.75" customHeight="1" hidden="1" spans="1:37" s="369" customFormat="1" x14ac:dyDescent="0.25">
      <c r="A57" s="539"/>
      <c r="B57" s="540"/>
      <c r="C57" s="540"/>
      <c r="D57" s="541"/>
      <c r="E57" s="513"/>
      <c r="F57" s="514"/>
      <c r="G57" s="514"/>
      <c r="H57" s="514"/>
      <c r="I57" s="514"/>
      <c r="J57" s="515"/>
      <c r="K57" s="531"/>
      <c r="L57" s="529"/>
      <c r="M57" s="529"/>
      <c r="N57" s="529"/>
      <c r="O57" s="529"/>
      <c r="P57" s="532"/>
      <c r="Q57" s="533"/>
      <c r="R57" s="534"/>
      <c r="S57" s="534"/>
      <c r="T57" s="534"/>
      <c r="U57" s="534"/>
      <c r="V57" s="535"/>
      <c r="W57" s="536"/>
      <c r="X57" s="537"/>
      <c r="Y57" s="537"/>
      <c r="Z57" s="537"/>
      <c r="AA57" s="537"/>
      <c r="AB57" s="537"/>
      <c r="AC57" s="537"/>
      <c r="AD57" s="537"/>
      <c r="AE57" s="537"/>
      <c r="AF57" s="537"/>
      <c r="AG57" s="537"/>
      <c r="AH57" s="537"/>
      <c r="AI57" s="537"/>
      <c r="AJ57" s="538"/>
      <c r="AK57" s="524"/>
    </row>
    <row r="58" ht="15.75" customHeight="1" hidden="1" spans="1:37" s="369" customFormat="1" x14ac:dyDescent="0.25">
      <c r="A58" s="539"/>
      <c r="B58" s="540"/>
      <c r="C58" s="540"/>
      <c r="D58" s="541"/>
      <c r="E58" s="513"/>
      <c r="F58" s="514"/>
      <c r="G58" s="514"/>
      <c r="H58" s="514"/>
      <c r="I58" s="514"/>
      <c r="J58" s="515"/>
      <c r="K58" s="531"/>
      <c r="L58" s="529"/>
      <c r="M58" s="529"/>
      <c r="N58" s="529"/>
      <c r="O58" s="529"/>
      <c r="P58" s="532"/>
      <c r="Q58" s="533"/>
      <c r="R58" s="534"/>
      <c r="S58" s="534"/>
      <c r="T58" s="534"/>
      <c r="U58" s="534"/>
      <c r="V58" s="535"/>
      <c r="W58" s="536"/>
      <c r="X58" s="537"/>
      <c r="Y58" s="537"/>
      <c r="Z58" s="537"/>
      <c r="AA58" s="537"/>
      <c r="AB58" s="537"/>
      <c r="AC58" s="537"/>
      <c r="AD58" s="537"/>
      <c r="AE58" s="537"/>
      <c r="AF58" s="537"/>
      <c r="AG58" s="537"/>
      <c r="AH58" s="537"/>
      <c r="AI58" s="537"/>
      <c r="AJ58" s="538"/>
      <c r="AK58" s="524"/>
    </row>
    <row r="59" ht="15.75" customHeight="1" hidden="1" spans="1:37" s="369" customFormat="1" x14ac:dyDescent="0.25">
      <c r="A59" s="539"/>
      <c r="B59" s="540"/>
      <c r="C59" s="540"/>
      <c r="D59" s="541"/>
      <c r="E59" s="513"/>
      <c r="F59" s="514"/>
      <c r="G59" s="514"/>
      <c r="H59" s="514"/>
      <c r="I59" s="514"/>
      <c r="J59" s="515"/>
      <c r="K59" s="531"/>
      <c r="L59" s="529"/>
      <c r="M59" s="529"/>
      <c r="N59" s="529"/>
      <c r="O59" s="529"/>
      <c r="P59" s="532"/>
      <c r="Q59" s="533"/>
      <c r="R59" s="534"/>
      <c r="S59" s="534"/>
      <c r="T59" s="534"/>
      <c r="U59" s="534"/>
      <c r="V59" s="535"/>
      <c r="W59" s="536"/>
      <c r="X59" s="537"/>
      <c r="Y59" s="537"/>
      <c r="Z59" s="537"/>
      <c r="AA59" s="537"/>
      <c r="AB59" s="537"/>
      <c r="AC59" s="537"/>
      <c r="AD59" s="537"/>
      <c r="AE59" s="537"/>
      <c r="AF59" s="537"/>
      <c r="AG59" s="537"/>
      <c r="AH59" s="537"/>
      <c r="AI59" s="537"/>
      <c r="AJ59" s="538"/>
      <c r="AK59" s="524"/>
    </row>
    <row r="60" ht="15.75" customHeight="1" hidden="1" spans="1:37" s="369" customFormat="1" x14ac:dyDescent="0.25">
      <c r="A60" s="539"/>
      <c r="B60" s="540"/>
      <c r="C60" s="540"/>
      <c r="D60" s="541"/>
      <c r="E60" s="513"/>
      <c r="F60" s="514"/>
      <c r="G60" s="514"/>
      <c r="H60" s="514"/>
      <c r="I60" s="514"/>
      <c r="J60" s="515"/>
      <c r="K60" s="531"/>
      <c r="L60" s="529"/>
      <c r="M60" s="529"/>
      <c r="N60" s="529"/>
      <c r="O60" s="529"/>
      <c r="P60" s="532"/>
      <c r="Q60" s="533"/>
      <c r="R60" s="534"/>
      <c r="S60" s="534"/>
      <c r="T60" s="534"/>
      <c r="U60" s="534"/>
      <c r="V60" s="535"/>
      <c r="W60" s="536"/>
      <c r="X60" s="537"/>
      <c r="Y60" s="537"/>
      <c r="Z60" s="537"/>
      <c r="AA60" s="537"/>
      <c r="AB60" s="537"/>
      <c r="AC60" s="537"/>
      <c r="AD60" s="537"/>
      <c r="AE60" s="537"/>
      <c r="AF60" s="537"/>
      <c r="AG60" s="537"/>
      <c r="AH60" s="537"/>
      <c r="AI60" s="537"/>
      <c r="AJ60" s="538"/>
      <c r="AK60" s="524"/>
    </row>
    <row r="61" ht="15.75" customHeight="1" hidden="1" spans="1:37" s="369" customFormat="1" x14ac:dyDescent="0.25">
      <c r="A61" s="525"/>
      <c r="B61" s="526"/>
      <c r="C61" s="526"/>
      <c r="D61" s="527"/>
      <c r="E61" s="531"/>
      <c r="F61" s="529"/>
      <c r="G61" s="529"/>
      <c r="H61" s="529"/>
      <c r="I61" s="529"/>
      <c r="J61" s="529"/>
      <c r="K61" s="531"/>
      <c r="L61" s="529"/>
      <c r="M61" s="529"/>
      <c r="N61" s="529"/>
      <c r="O61" s="529"/>
      <c r="P61" s="532"/>
      <c r="Q61" s="533"/>
      <c r="R61" s="534"/>
      <c r="S61" s="534"/>
      <c r="T61" s="534"/>
      <c r="U61" s="534"/>
      <c r="V61" s="535"/>
      <c r="W61" s="536"/>
      <c r="X61" s="537"/>
      <c r="Y61" s="537"/>
      <c r="Z61" s="537"/>
      <c r="AA61" s="537"/>
      <c r="AB61" s="537"/>
      <c r="AC61" s="537"/>
      <c r="AD61" s="537"/>
      <c r="AE61" s="537"/>
      <c r="AF61" s="537"/>
      <c r="AG61" s="537"/>
      <c r="AH61" s="537"/>
      <c r="AI61" s="537"/>
      <c r="AJ61" s="538"/>
      <c r="AK61" s="524"/>
    </row>
    <row r="62" ht="15.75" customHeight="1" hidden="1" spans="1:37" s="369" customFormat="1" x14ac:dyDescent="0.25">
      <c r="A62" s="539"/>
      <c r="B62" s="540"/>
      <c r="C62" s="540"/>
      <c r="D62" s="541"/>
      <c r="E62" s="513"/>
      <c r="F62" s="514"/>
      <c r="G62" s="514"/>
      <c r="H62" s="514"/>
      <c r="I62" s="514"/>
      <c r="J62" s="515"/>
      <c r="K62" s="531"/>
      <c r="L62" s="529"/>
      <c r="M62" s="529"/>
      <c r="N62" s="529"/>
      <c r="O62" s="529"/>
      <c r="P62" s="532"/>
      <c r="Q62" s="533"/>
      <c r="R62" s="534"/>
      <c r="S62" s="534"/>
      <c r="T62" s="534"/>
      <c r="U62" s="534"/>
      <c r="V62" s="535"/>
      <c r="W62" s="521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522"/>
      <c r="AI62" s="522"/>
      <c r="AJ62" s="523"/>
      <c r="AK62" s="524"/>
    </row>
    <row r="63" ht="15.75" customHeight="1" hidden="1" spans="1:37" s="369" customFormat="1" x14ac:dyDescent="0.25">
      <c r="A63" s="539"/>
      <c r="B63" s="540"/>
      <c r="C63" s="540"/>
      <c r="D63" s="541"/>
      <c r="E63" s="513"/>
      <c r="F63" s="514"/>
      <c r="G63" s="514"/>
      <c r="H63" s="514"/>
      <c r="I63" s="514"/>
      <c r="J63" s="515"/>
      <c r="K63" s="531"/>
      <c r="L63" s="529"/>
      <c r="M63" s="529"/>
      <c r="N63" s="529"/>
      <c r="O63" s="529"/>
      <c r="P63" s="532"/>
      <c r="Q63" s="533"/>
      <c r="R63" s="534"/>
      <c r="S63" s="534"/>
      <c r="T63" s="534"/>
      <c r="U63" s="534"/>
      <c r="V63" s="535"/>
      <c r="W63" s="521"/>
      <c r="X63" s="522"/>
      <c r="Y63" s="522"/>
      <c r="Z63" s="522"/>
      <c r="AA63" s="522"/>
      <c r="AB63" s="522"/>
      <c r="AC63" s="522"/>
      <c r="AD63" s="522"/>
      <c r="AE63" s="522"/>
      <c r="AF63" s="522"/>
      <c r="AG63" s="522"/>
      <c r="AH63" s="522"/>
      <c r="AI63" s="522"/>
      <c r="AJ63" s="523"/>
      <c r="AK63" s="524"/>
    </row>
    <row r="64" ht="15.75" customHeight="1" hidden="1" spans="1:37" s="369" customFormat="1" x14ac:dyDescent="0.25">
      <c r="A64" s="539"/>
      <c r="B64" s="540"/>
      <c r="C64" s="540"/>
      <c r="D64" s="541"/>
      <c r="E64" s="513"/>
      <c r="F64" s="514"/>
      <c r="G64" s="514"/>
      <c r="H64" s="514"/>
      <c r="I64" s="514"/>
      <c r="J64" s="515"/>
      <c r="K64" s="531"/>
      <c r="L64" s="529"/>
      <c r="M64" s="529"/>
      <c r="N64" s="529"/>
      <c r="O64" s="529"/>
      <c r="P64" s="532"/>
      <c r="Q64" s="533"/>
      <c r="R64" s="534"/>
      <c r="S64" s="534"/>
      <c r="T64" s="534"/>
      <c r="U64" s="534"/>
      <c r="V64" s="535"/>
      <c r="W64" s="536"/>
      <c r="X64" s="537"/>
      <c r="Y64" s="537"/>
      <c r="Z64" s="537"/>
      <c r="AA64" s="537"/>
      <c r="AB64" s="537"/>
      <c r="AC64" s="537"/>
      <c r="AD64" s="537"/>
      <c r="AE64" s="537"/>
      <c r="AF64" s="537"/>
      <c r="AG64" s="537"/>
      <c r="AH64" s="537"/>
      <c r="AI64" s="537"/>
      <c r="AJ64" s="538"/>
      <c r="AK64" s="524"/>
    </row>
    <row r="65" ht="15.75" customHeight="1" hidden="1" spans="1:37" s="369" customFormat="1" x14ac:dyDescent="0.25">
      <c r="A65" s="539"/>
      <c r="B65" s="540"/>
      <c r="C65" s="540"/>
      <c r="D65" s="541"/>
      <c r="E65" s="513"/>
      <c r="F65" s="514"/>
      <c r="G65" s="514"/>
      <c r="H65" s="514"/>
      <c r="I65" s="514"/>
      <c r="J65" s="515"/>
      <c r="K65" s="531"/>
      <c r="L65" s="529"/>
      <c r="M65" s="529"/>
      <c r="N65" s="529"/>
      <c r="O65" s="529"/>
      <c r="P65" s="532"/>
      <c r="Q65" s="533"/>
      <c r="R65" s="534"/>
      <c r="S65" s="534"/>
      <c r="T65" s="534"/>
      <c r="U65" s="534"/>
      <c r="V65" s="535"/>
      <c r="W65" s="521"/>
      <c r="X65" s="522"/>
      <c r="Y65" s="522"/>
      <c r="Z65" s="522"/>
      <c r="AA65" s="522"/>
      <c r="AB65" s="522"/>
      <c r="AC65" s="522"/>
      <c r="AD65" s="522"/>
      <c r="AE65" s="522"/>
      <c r="AF65" s="522"/>
      <c r="AG65" s="522"/>
      <c r="AH65" s="522"/>
      <c r="AI65" s="522"/>
      <c r="AJ65" s="523"/>
      <c r="AK65" s="524"/>
    </row>
    <row r="66" ht="15.75" customHeight="1" hidden="1" spans="1:37" s="369" customFormat="1" x14ac:dyDescent="0.25">
      <c r="A66" s="539"/>
      <c r="B66" s="540"/>
      <c r="C66" s="540"/>
      <c r="D66" s="541"/>
      <c r="E66" s="513"/>
      <c r="F66" s="514"/>
      <c r="G66" s="514"/>
      <c r="H66" s="514"/>
      <c r="I66" s="514"/>
      <c r="J66" s="515"/>
      <c r="K66" s="531"/>
      <c r="L66" s="529"/>
      <c r="M66" s="529"/>
      <c r="N66" s="529"/>
      <c r="O66" s="529"/>
      <c r="P66" s="532"/>
      <c r="Q66" s="533"/>
      <c r="R66" s="534"/>
      <c r="S66" s="534"/>
      <c r="T66" s="534"/>
      <c r="U66" s="534"/>
      <c r="V66" s="535"/>
      <c r="W66" s="536"/>
      <c r="X66" s="537"/>
      <c r="Y66" s="537"/>
      <c r="Z66" s="537"/>
      <c r="AA66" s="537"/>
      <c r="AB66" s="537"/>
      <c r="AC66" s="537"/>
      <c r="AD66" s="537"/>
      <c r="AE66" s="537"/>
      <c r="AF66" s="537"/>
      <c r="AG66" s="537"/>
      <c r="AH66" s="537"/>
      <c r="AI66" s="537"/>
      <c r="AJ66" s="538"/>
      <c r="AK66" s="524"/>
    </row>
    <row r="67" ht="15.75" customHeight="1" hidden="1" spans="1:37" s="369" customFormat="1" x14ac:dyDescent="0.25">
      <c r="A67" s="539"/>
      <c r="B67" s="540"/>
      <c r="C67" s="540"/>
      <c r="D67" s="541"/>
      <c r="E67" s="513"/>
      <c r="F67" s="514"/>
      <c r="G67" s="514"/>
      <c r="H67" s="514"/>
      <c r="I67" s="514"/>
      <c r="J67" s="515"/>
      <c r="K67" s="531"/>
      <c r="L67" s="529"/>
      <c r="M67" s="529"/>
      <c r="N67" s="529"/>
      <c r="O67" s="529"/>
      <c r="P67" s="532"/>
      <c r="Q67" s="533">
        <f t="shared" ref="Q67:Q70" si="5">IF(AND(NOT(ISBLANK(K67)),NOT(ISBLANK(E67))), IF(K67&gt;E67,K67-E67,24-E67+K67), "")</f>
      </c>
      <c r="R67" s="534"/>
      <c r="S67" s="534"/>
      <c r="T67" s="534"/>
      <c r="U67" s="534"/>
      <c r="V67" s="535"/>
      <c r="W67" s="521"/>
      <c r="X67" s="522"/>
      <c r="Y67" s="522"/>
      <c r="Z67" s="522"/>
      <c r="AA67" s="522"/>
      <c r="AB67" s="522"/>
      <c r="AC67" s="522"/>
      <c r="AD67" s="522"/>
      <c r="AE67" s="522"/>
      <c r="AF67" s="522"/>
      <c r="AG67" s="522"/>
      <c r="AH67" s="522"/>
      <c r="AI67" s="522"/>
      <c r="AJ67" s="523"/>
      <c r="AK67" s="524"/>
    </row>
    <row r="68" ht="15.75" customHeight="1" hidden="1" spans="1:37" s="369" customFormat="1" x14ac:dyDescent="0.25">
      <c r="A68" s="539"/>
      <c r="B68" s="540"/>
      <c r="C68" s="540"/>
      <c r="D68" s="541"/>
      <c r="E68" s="513"/>
      <c r="F68" s="514"/>
      <c r="G68" s="514"/>
      <c r="H68" s="514"/>
      <c r="I68" s="514"/>
      <c r="J68" s="515"/>
      <c r="K68" s="531"/>
      <c r="L68" s="529"/>
      <c r="M68" s="529"/>
      <c r="N68" s="529"/>
      <c r="O68" s="529"/>
      <c r="P68" s="532"/>
      <c r="Q68" s="533">
        <f t="shared" si="5"/>
      </c>
      <c r="R68" s="534"/>
      <c r="S68" s="534"/>
      <c r="T68" s="534"/>
      <c r="U68" s="534"/>
      <c r="V68" s="535"/>
      <c r="W68" s="536"/>
      <c r="X68" s="537"/>
      <c r="Y68" s="537"/>
      <c r="Z68" s="537"/>
      <c r="AA68" s="537"/>
      <c r="AB68" s="537"/>
      <c r="AC68" s="537"/>
      <c r="AD68" s="537"/>
      <c r="AE68" s="537"/>
      <c r="AF68" s="537"/>
      <c r="AG68" s="537"/>
      <c r="AH68" s="537"/>
      <c r="AI68" s="537"/>
      <c r="AJ68" s="538"/>
      <c r="AK68" s="524"/>
    </row>
    <row r="69" ht="15.75" customHeight="1" hidden="1" spans="1:37" s="369" customFormat="1" x14ac:dyDescent="0.25">
      <c r="A69" s="539"/>
      <c r="B69" s="540"/>
      <c r="C69" s="540"/>
      <c r="D69" s="541"/>
      <c r="E69" s="513"/>
      <c r="F69" s="514"/>
      <c r="G69" s="514"/>
      <c r="H69" s="514"/>
      <c r="I69" s="514"/>
      <c r="J69" s="515"/>
      <c r="K69" s="531"/>
      <c r="L69" s="529"/>
      <c r="M69" s="529"/>
      <c r="N69" s="529"/>
      <c r="O69" s="529"/>
      <c r="P69" s="532"/>
      <c r="Q69" s="533">
        <f t="shared" si="5"/>
      </c>
      <c r="R69" s="534"/>
      <c r="S69" s="534"/>
      <c r="T69" s="534"/>
      <c r="U69" s="534"/>
      <c r="V69" s="535"/>
      <c r="W69" s="521"/>
      <c r="X69" s="522"/>
      <c r="Y69" s="522"/>
      <c r="Z69" s="522"/>
      <c r="AA69" s="522"/>
      <c r="AB69" s="522"/>
      <c r="AC69" s="522"/>
      <c r="AD69" s="522"/>
      <c r="AE69" s="522"/>
      <c r="AF69" s="522"/>
      <c r="AG69" s="522"/>
      <c r="AH69" s="522"/>
      <c r="AI69" s="522"/>
      <c r="AJ69" s="523"/>
      <c r="AK69" s="524"/>
    </row>
    <row r="70" ht="15.75" customHeight="1" hidden="1" spans="1:37" s="369" customFormat="1" x14ac:dyDescent="0.25">
      <c r="A70" s="539"/>
      <c r="B70" s="540"/>
      <c r="C70" s="540"/>
      <c r="D70" s="541"/>
      <c r="E70" s="513"/>
      <c r="F70" s="514"/>
      <c r="G70" s="514"/>
      <c r="H70" s="514"/>
      <c r="I70" s="514"/>
      <c r="J70" s="515"/>
      <c r="K70" s="531"/>
      <c r="L70" s="529"/>
      <c r="M70" s="529"/>
      <c r="N70" s="529"/>
      <c r="O70" s="529"/>
      <c r="P70" s="532"/>
      <c r="Q70" s="533">
        <f t="shared" si="5"/>
      </c>
      <c r="R70" s="534"/>
      <c r="S70" s="534"/>
      <c r="T70" s="534"/>
      <c r="U70" s="534"/>
      <c r="V70" s="535"/>
      <c r="W70" s="536"/>
      <c r="X70" s="537"/>
      <c r="Y70" s="537"/>
      <c r="Z70" s="537"/>
      <c r="AA70" s="537"/>
      <c r="AB70" s="537"/>
      <c r="AC70" s="537"/>
      <c r="AD70" s="537"/>
      <c r="AE70" s="537"/>
      <c r="AF70" s="537"/>
      <c r="AG70" s="537"/>
      <c r="AH70" s="537"/>
      <c r="AI70" s="537"/>
      <c r="AJ70" s="538"/>
      <c r="AK70" s="524"/>
    </row>
    <row r="71" ht="15.75" customHeight="1" hidden="1" spans="1:37" s="369" customFormat="1" x14ac:dyDescent="0.25">
      <c r="A71" s="539"/>
      <c r="B71" s="540"/>
      <c r="C71" s="540"/>
      <c r="D71" s="541"/>
      <c r="E71" s="513"/>
      <c r="F71" s="514"/>
      <c r="G71" s="514"/>
      <c r="H71" s="514"/>
      <c r="I71" s="514"/>
      <c r="J71" s="515"/>
      <c r="K71" s="531"/>
      <c r="L71" s="529"/>
      <c r="M71" s="529"/>
      <c r="N71" s="529"/>
      <c r="O71" s="529"/>
      <c r="P71" s="532"/>
      <c r="Q71" s="533">
        <f t="shared" ref="Q71:Q72" si="6">IF(AND(NOT(ISBLANK(K71)),NOT(ISBLANK(E71))), IF(K71&gt;E71,K71-E71,24-E71+K71), "")</f>
      </c>
      <c r="R71" s="534"/>
      <c r="S71" s="534"/>
      <c r="T71" s="534"/>
      <c r="U71" s="534"/>
      <c r="V71" s="535"/>
      <c r="W71" s="536"/>
      <c r="X71" s="537"/>
      <c r="Y71" s="537"/>
      <c r="Z71" s="537"/>
      <c r="AA71" s="537"/>
      <c r="AB71" s="537"/>
      <c r="AC71" s="537"/>
      <c r="AD71" s="537"/>
      <c r="AE71" s="537"/>
      <c r="AF71" s="537"/>
      <c r="AG71" s="537"/>
      <c r="AH71" s="537"/>
      <c r="AI71" s="537"/>
      <c r="AJ71" s="538"/>
      <c r="AK71" s="524"/>
    </row>
    <row r="72" ht="15.75" customHeight="1" hidden="1" spans="1:37" s="369" customFormat="1" x14ac:dyDescent="0.25">
      <c r="A72" s="539"/>
      <c r="B72" s="540"/>
      <c r="C72" s="540"/>
      <c r="D72" s="541"/>
      <c r="E72" s="513"/>
      <c r="F72" s="514"/>
      <c r="G72" s="514"/>
      <c r="H72" s="514"/>
      <c r="I72" s="514"/>
      <c r="J72" s="515"/>
      <c r="K72" s="529"/>
      <c r="L72" s="529"/>
      <c r="M72" s="529"/>
      <c r="N72" s="529"/>
      <c r="O72" s="529"/>
      <c r="P72" s="532"/>
      <c r="Q72" s="533">
        <f t="shared" si="6"/>
      </c>
      <c r="R72" s="534"/>
      <c r="S72" s="534"/>
      <c r="T72" s="534"/>
      <c r="U72" s="534"/>
      <c r="V72" s="535"/>
      <c r="W72" s="521"/>
      <c r="X72" s="522"/>
      <c r="Y72" s="522"/>
      <c r="Z72" s="522"/>
      <c r="AA72" s="522"/>
      <c r="AB72" s="522"/>
      <c r="AC72" s="522"/>
      <c r="AD72" s="522"/>
      <c r="AE72" s="522"/>
      <c r="AF72" s="522"/>
      <c r="AG72" s="522"/>
      <c r="AH72" s="522"/>
      <c r="AI72" s="522"/>
      <c r="AJ72" s="523"/>
      <c r="AK72" s="524"/>
    </row>
    <row r="73" ht="15.75" customHeight="1" hidden="1" spans="1:37" s="369" customFormat="1" x14ac:dyDescent="0.25">
      <c r="A73" s="552"/>
      <c r="B73" s="553"/>
      <c r="C73" s="553"/>
      <c r="D73" s="554"/>
      <c r="E73" s="555"/>
      <c r="F73" s="556"/>
      <c r="G73" s="556"/>
      <c r="H73" s="556"/>
      <c r="I73" s="556"/>
      <c r="J73" s="557"/>
      <c r="K73" s="556"/>
      <c r="L73" s="556"/>
      <c r="M73" s="556"/>
      <c r="N73" s="556"/>
      <c r="O73" s="556"/>
      <c r="P73" s="558"/>
      <c r="Q73" s="559"/>
      <c r="R73" s="560"/>
      <c r="S73" s="560"/>
      <c r="T73" s="560"/>
      <c r="U73" s="560"/>
      <c r="V73" s="561"/>
      <c r="W73" s="562"/>
      <c r="X73" s="563"/>
      <c r="Y73" s="563"/>
      <c r="Z73" s="563"/>
      <c r="AA73" s="563"/>
      <c r="AB73" s="563"/>
      <c r="AC73" s="563"/>
      <c r="AD73" s="563"/>
      <c r="AE73" s="563"/>
      <c r="AF73" s="563"/>
      <c r="AG73" s="563"/>
      <c r="AH73" s="563"/>
      <c r="AI73" s="563"/>
      <c r="AJ73" s="564"/>
      <c r="AK73" s="524"/>
    </row>
    <row r="74" ht="15.75" customHeight="1" hidden="1" spans="1:37" s="369" customFormat="1" x14ac:dyDescent="0.25">
      <c r="A74" s="542"/>
      <c r="B74" s="543"/>
      <c r="C74" s="543"/>
      <c r="D74" s="543"/>
      <c r="E74" s="543"/>
      <c r="F74" s="543"/>
      <c r="G74" s="543"/>
      <c r="H74" s="543"/>
      <c r="I74" s="543"/>
      <c r="J74" s="543"/>
      <c r="K74" s="543"/>
      <c r="L74" s="543"/>
      <c r="M74" s="543"/>
      <c r="N74" s="543"/>
      <c r="O74" s="543"/>
      <c r="P74" s="544"/>
      <c r="Q74" s="545">
        <f>SUM(Q56:V73)</f>
        <v>0</v>
      </c>
      <c r="R74" s="546"/>
      <c r="S74" s="546"/>
      <c r="T74" s="546"/>
      <c r="U74" s="546"/>
      <c r="V74" s="547"/>
      <c r="W74" s="565"/>
      <c r="X74" s="566"/>
      <c r="Y74" s="566"/>
      <c r="Z74" s="566"/>
      <c r="AA74" s="566"/>
      <c r="AB74" s="566"/>
      <c r="AC74" s="566"/>
      <c r="AD74" s="566"/>
      <c r="AE74" s="566"/>
      <c r="AF74" s="566"/>
      <c r="AG74" s="566"/>
      <c r="AH74" s="566"/>
      <c r="AI74" s="566"/>
      <c r="AJ74" s="567"/>
      <c r="AK74" s="524"/>
    </row>
    <row r="75" ht="15.75" customHeight="1" spans="1:37" s="369" customFormat="1" x14ac:dyDescent="0.25">
      <c r="A75" s="510" t="s">
        <v>156</v>
      </c>
      <c r="B75" s="511"/>
      <c r="C75" s="511"/>
      <c r="D75" s="512"/>
      <c r="E75" s="513">
        <v>0.09027777777737356</v>
      </c>
      <c r="F75" s="514"/>
      <c r="G75" s="514"/>
      <c r="H75" s="514"/>
      <c r="I75" s="514"/>
      <c r="J75" s="515"/>
      <c r="K75" s="516"/>
      <c r="L75" s="514"/>
      <c r="M75" s="514"/>
      <c r="N75" s="514"/>
      <c r="O75" s="514"/>
      <c r="P75" s="517"/>
      <c r="Q75" s="518">
        <f t="shared" ref="Q75:Q85" si="7">IF(AND(NOT(ISBLANK(K75)),NOT(ISBLANK(E75))), IF(K75&gt;E75,K75-E75,24-E75+K75), "")</f>
      </c>
      <c r="R75" s="519"/>
      <c r="S75" s="519"/>
      <c r="T75" s="519"/>
      <c r="U75" s="519"/>
      <c r="V75" s="520"/>
      <c r="W75" s="521" t="s">
        <v>158</v>
      </c>
      <c r="X75" s="522"/>
      <c r="Y75" s="522"/>
      <c r="Z75" s="522"/>
      <c r="AA75" s="522"/>
      <c r="AB75" s="522"/>
      <c r="AC75" s="522"/>
      <c r="AD75" s="522"/>
      <c r="AE75" s="522"/>
      <c r="AF75" s="522"/>
      <c r="AG75" s="522"/>
      <c r="AH75" s="522"/>
      <c r="AI75" s="522"/>
      <c r="AJ75" s="523"/>
      <c r="AK75" s="524"/>
    </row>
    <row r="76" ht="15.75" customHeight="1" spans="1:37" s="369" customFormat="1" x14ac:dyDescent="0.25">
      <c r="A76" s="525"/>
      <c r="B76" s="526"/>
      <c r="C76" s="526"/>
      <c r="D76" s="527"/>
      <c r="E76" s="528">
        <f>E75</f>
        <v>0.09027777777737356</v>
      </c>
      <c r="F76" s="529"/>
      <c r="G76" s="529"/>
      <c r="H76" s="529"/>
      <c r="I76" s="529"/>
      <c r="J76" s="530"/>
      <c r="K76" s="531">
        <v>0.14583333333212067</v>
      </c>
      <c r="L76" s="529"/>
      <c r="M76" s="529"/>
      <c r="N76" s="529"/>
      <c r="O76" s="529"/>
      <c r="P76" s="532"/>
      <c r="Q76" s="533">
        <f t="shared" si="7"/>
        <v>0.055555555554747116</v>
      </c>
      <c r="R76" s="534"/>
      <c r="S76" s="534"/>
      <c r="T76" s="534"/>
      <c r="U76" s="534"/>
      <c r="V76" s="535"/>
      <c r="W76" s="536" t="s">
        <v>159</v>
      </c>
      <c r="X76" s="537"/>
      <c r="Y76" s="537"/>
      <c r="Z76" s="537"/>
      <c r="AA76" s="537"/>
      <c r="AB76" s="537"/>
      <c r="AC76" s="537"/>
      <c r="AD76" s="537"/>
      <c r="AE76" s="537"/>
      <c r="AF76" s="537"/>
      <c r="AG76" s="537"/>
      <c r="AH76" s="537"/>
      <c r="AI76" s="537"/>
      <c r="AJ76" s="538"/>
      <c r="AK76" s="524"/>
    </row>
    <row r="77" ht="15.75" customHeight="1" spans="1:37" s="369" customFormat="1" x14ac:dyDescent="0.25">
      <c r="A77" s="539"/>
      <c r="B77" s="540"/>
      <c r="C77" s="540"/>
      <c r="D77" s="541"/>
      <c r="E77" s="513">
        <f>K76</f>
        <v>0.14583333333212067</v>
      </c>
      <c r="F77" s="514"/>
      <c r="G77" s="514"/>
      <c r="H77" s="514"/>
      <c r="I77" s="514"/>
      <c r="J77" s="515"/>
      <c r="K77" s="531">
        <v>0.16666666666787933</v>
      </c>
      <c r="L77" s="529"/>
      <c r="M77" s="529"/>
      <c r="N77" s="529"/>
      <c r="O77" s="529"/>
      <c r="P77" s="532"/>
      <c r="Q77" s="533">
        <f t="shared" si="7"/>
        <v>0.020833333332120674</v>
      </c>
      <c r="R77" s="534"/>
      <c r="S77" s="534"/>
      <c r="T77" s="534"/>
      <c r="U77" s="534"/>
      <c r="V77" s="535"/>
      <c r="W77" s="536" t="s">
        <v>160</v>
      </c>
      <c r="X77" s="537"/>
      <c r="Y77" s="537"/>
      <c r="Z77" s="537"/>
      <c r="AA77" s="537"/>
      <c r="AB77" s="537"/>
      <c r="AC77" s="537"/>
      <c r="AD77" s="537"/>
      <c r="AE77" s="537"/>
      <c r="AF77" s="537"/>
      <c r="AG77" s="537"/>
      <c r="AH77" s="537"/>
      <c r="AI77" s="537"/>
      <c r="AJ77" s="538"/>
      <c r="AK77" s="524"/>
    </row>
    <row r="78" ht="15.75" customHeight="1" spans="1:37" s="369" customFormat="1" x14ac:dyDescent="0.25">
      <c r="A78" s="539"/>
      <c r="B78" s="540"/>
      <c r="C78" s="540"/>
      <c r="D78" s="541"/>
      <c r="E78" s="513">
        <f>K77</f>
        <v>0.16666666666787933</v>
      </c>
      <c r="F78" s="514"/>
      <c r="G78" s="514"/>
      <c r="H78" s="514"/>
      <c r="I78" s="514"/>
      <c r="J78" s="515"/>
      <c r="K78" s="531">
        <v>0.2708333333321207</v>
      </c>
      <c r="L78" s="529"/>
      <c r="M78" s="529"/>
      <c r="N78" s="529"/>
      <c r="O78" s="529"/>
      <c r="P78" s="532"/>
      <c r="Q78" s="533">
        <f t="shared" si="7"/>
        <v>0.10416666666787933</v>
      </c>
      <c r="R78" s="534"/>
      <c r="S78" s="534"/>
      <c r="T78" s="534"/>
      <c r="U78" s="534"/>
      <c r="V78" s="535"/>
      <c r="W78" s="536" t="s">
        <v>159</v>
      </c>
      <c r="X78" s="537"/>
      <c r="Y78" s="537"/>
      <c r="Z78" s="537"/>
      <c r="AA78" s="537"/>
      <c r="AB78" s="537"/>
      <c r="AC78" s="537"/>
      <c r="AD78" s="537"/>
      <c r="AE78" s="537"/>
      <c r="AF78" s="537"/>
      <c r="AG78" s="537"/>
      <c r="AH78" s="537"/>
      <c r="AI78" s="537"/>
      <c r="AJ78" s="538"/>
      <c r="AK78" s="524"/>
    </row>
    <row r="79" ht="15.75" customHeight="1" spans="1:37" s="369" customFormat="1" x14ac:dyDescent="0.25">
      <c r="A79" s="539"/>
      <c r="B79" s="540"/>
      <c r="C79" s="540"/>
      <c r="D79" s="541"/>
      <c r="E79" s="513">
        <f>K78</f>
        <v>0.2708333333321207</v>
      </c>
      <c r="F79" s="514"/>
      <c r="G79" s="514"/>
      <c r="H79" s="514"/>
      <c r="I79" s="514"/>
      <c r="J79" s="515"/>
      <c r="K79" s="531">
        <v>0.3333333333321207</v>
      </c>
      <c r="L79" s="529"/>
      <c r="M79" s="529"/>
      <c r="N79" s="529"/>
      <c r="O79" s="529"/>
      <c r="P79" s="532"/>
      <c r="Q79" s="533">
        <f t="shared" si="7"/>
        <v>0.0625</v>
      </c>
      <c r="R79" s="534"/>
      <c r="S79" s="534"/>
      <c r="T79" s="534"/>
      <c r="U79" s="534"/>
      <c r="V79" s="535"/>
      <c r="W79" s="536" t="s">
        <v>161</v>
      </c>
      <c r="X79" s="537"/>
      <c r="Y79" s="537"/>
      <c r="Z79" s="537"/>
      <c r="AA79" s="537"/>
      <c r="AB79" s="537"/>
      <c r="AC79" s="537"/>
      <c r="AD79" s="537"/>
      <c r="AE79" s="537"/>
      <c r="AF79" s="537"/>
      <c r="AG79" s="537"/>
      <c r="AH79" s="537"/>
      <c r="AI79" s="537"/>
      <c r="AJ79" s="538"/>
      <c r="AK79" s="524"/>
    </row>
    <row r="80" ht="15.75" customHeight="1" spans="1:37" s="369" customFormat="1" x14ac:dyDescent="0.25">
      <c r="A80" s="539"/>
      <c r="B80" s="540"/>
      <c r="C80" s="540"/>
      <c r="D80" s="541"/>
      <c r="E80" s="513">
        <v>0.3333333333321207</v>
      </c>
      <c r="F80" s="514"/>
      <c r="G80" s="514"/>
      <c r="H80" s="514"/>
      <c r="I80" s="514"/>
      <c r="J80" s="515"/>
      <c r="K80" s="531">
        <v>0.34027777777737356</v>
      </c>
      <c r="L80" s="529"/>
      <c r="M80" s="529"/>
      <c r="N80" s="529"/>
      <c r="O80" s="529"/>
      <c r="P80" s="532"/>
      <c r="Q80" s="533">
        <f t="shared" si="7"/>
        <v>0.006944444445252884</v>
      </c>
      <c r="R80" s="534"/>
      <c r="S80" s="534"/>
      <c r="T80" s="534"/>
      <c r="U80" s="534"/>
      <c r="V80" s="535"/>
      <c r="W80" s="536" t="s">
        <v>159</v>
      </c>
      <c r="X80" s="537"/>
      <c r="Y80" s="537"/>
      <c r="Z80" s="537"/>
      <c r="AA80" s="537"/>
      <c r="AB80" s="537"/>
      <c r="AC80" s="537"/>
      <c r="AD80" s="537"/>
      <c r="AE80" s="537"/>
      <c r="AF80" s="537"/>
      <c r="AG80" s="537"/>
      <c r="AH80" s="537"/>
      <c r="AI80" s="537"/>
      <c r="AJ80" s="538"/>
      <c r="AK80" s="524"/>
    </row>
    <row r="81" ht="15.75" customHeight="1" spans="1:37" s="369" customFormat="1" x14ac:dyDescent="0.25">
      <c r="A81" s="525"/>
      <c r="B81" s="526"/>
      <c r="C81" s="526"/>
      <c r="D81" s="527"/>
      <c r="E81" s="531"/>
      <c r="F81" s="529"/>
      <c r="G81" s="529"/>
      <c r="H81" s="529"/>
      <c r="I81" s="529"/>
      <c r="J81" s="529"/>
      <c r="K81" s="531">
        <v>0.34027777777737356</v>
      </c>
      <c r="L81" s="529"/>
      <c r="M81" s="529"/>
      <c r="N81" s="529"/>
      <c r="O81" s="529"/>
      <c r="P81" s="532"/>
      <c r="Q81" s="533">
        <f t="shared" si="7"/>
      </c>
      <c r="R81" s="534"/>
      <c r="S81" s="534"/>
      <c r="T81" s="534"/>
      <c r="U81" s="534"/>
      <c r="V81" s="535"/>
      <c r="W81" s="536" t="s">
        <v>162</v>
      </c>
      <c r="X81" s="537"/>
      <c r="Y81" s="537"/>
      <c r="Z81" s="537"/>
      <c r="AA81" s="537"/>
      <c r="AB81" s="537"/>
      <c r="AC81" s="537"/>
      <c r="AD81" s="537"/>
      <c r="AE81" s="537"/>
      <c r="AF81" s="537"/>
      <c r="AG81" s="537"/>
      <c r="AH81" s="537"/>
      <c r="AI81" s="537"/>
      <c r="AJ81" s="538"/>
      <c r="AK81" s="524"/>
    </row>
    <row r="82" ht="15.75" customHeight="1" spans="1:37" s="369" customFormat="1" x14ac:dyDescent="0.25">
      <c r="A82" s="539"/>
      <c r="B82" s="540"/>
      <c r="C82" s="540"/>
      <c r="D82" s="541"/>
      <c r="E82" s="513">
        <v>0.34027777777737356</v>
      </c>
      <c r="F82" s="514"/>
      <c r="G82" s="514"/>
      <c r="H82" s="514"/>
      <c r="I82" s="514"/>
      <c r="J82" s="515"/>
      <c r="K82" s="531"/>
      <c r="L82" s="529"/>
      <c r="M82" s="529"/>
      <c r="N82" s="529"/>
      <c r="O82" s="529"/>
      <c r="P82" s="532"/>
      <c r="Q82" s="533">
        <f t="shared" si="7"/>
      </c>
      <c r="R82" s="534"/>
      <c r="S82" s="534"/>
      <c r="T82" s="534"/>
      <c r="U82" s="534"/>
      <c r="V82" s="535"/>
      <c r="W82" s="521" t="s">
        <v>163</v>
      </c>
      <c r="X82" s="522"/>
      <c r="Y82" s="522"/>
      <c r="Z82" s="522"/>
      <c r="AA82" s="522"/>
      <c r="AB82" s="522"/>
      <c r="AC82" s="522"/>
      <c r="AD82" s="522"/>
      <c r="AE82" s="522"/>
      <c r="AF82" s="522"/>
      <c r="AG82" s="522"/>
      <c r="AH82" s="522"/>
      <c r="AI82" s="522"/>
      <c r="AJ82" s="523"/>
      <c r="AK82" s="524"/>
    </row>
    <row r="83" ht="15.75" customHeight="1" spans="1:37" s="369" customFormat="1" x14ac:dyDescent="0.25">
      <c r="A83" s="539"/>
      <c r="B83" s="540"/>
      <c r="C83" s="540"/>
      <c r="D83" s="541"/>
      <c r="E83" s="513">
        <v>0.34027777777737356</v>
      </c>
      <c r="F83" s="514"/>
      <c r="G83" s="514"/>
      <c r="H83" s="514"/>
      <c r="I83" s="514"/>
      <c r="J83" s="515"/>
      <c r="K83" s="531">
        <v>0.4930555555547471</v>
      </c>
      <c r="L83" s="529"/>
      <c r="M83" s="529"/>
      <c r="N83" s="529"/>
      <c r="O83" s="529"/>
      <c r="P83" s="532"/>
      <c r="Q83" s="533">
        <f t="shared" si="7"/>
        <v>0.15277777777737356</v>
      </c>
      <c r="R83" s="534"/>
      <c r="S83" s="534"/>
      <c r="T83" s="534"/>
      <c r="U83" s="534"/>
      <c r="V83" s="535"/>
      <c r="W83" s="521" t="s">
        <v>164</v>
      </c>
      <c r="X83" s="522"/>
      <c r="Y83" s="522"/>
      <c r="Z83" s="522"/>
      <c r="AA83" s="522"/>
      <c r="AB83" s="522"/>
      <c r="AC83" s="522"/>
      <c r="AD83" s="522"/>
      <c r="AE83" s="522"/>
      <c r="AF83" s="522"/>
      <c r="AG83" s="522"/>
      <c r="AH83" s="522"/>
      <c r="AI83" s="522"/>
      <c r="AJ83" s="523"/>
      <c r="AK83" s="524"/>
    </row>
    <row r="84" ht="15.75" customHeight="1" spans="1:37" s="369" customFormat="1" x14ac:dyDescent="0.25">
      <c r="A84" s="539"/>
      <c r="B84" s="540"/>
      <c r="C84" s="540"/>
      <c r="D84" s="541"/>
      <c r="E84" s="513"/>
      <c r="F84" s="514"/>
      <c r="G84" s="514"/>
      <c r="H84" s="514"/>
      <c r="I84" s="514"/>
      <c r="J84" s="515"/>
      <c r="K84" s="531">
        <v>0.4930555555547471</v>
      </c>
      <c r="L84" s="529"/>
      <c r="M84" s="529"/>
      <c r="N84" s="529"/>
      <c r="O84" s="529"/>
      <c r="P84" s="532"/>
      <c r="Q84" s="533">
        <f t="shared" si="7"/>
      </c>
      <c r="R84" s="534"/>
      <c r="S84" s="534"/>
      <c r="T84" s="534"/>
      <c r="U84" s="534"/>
      <c r="V84" s="535"/>
      <c r="W84" s="536" t="s">
        <v>165</v>
      </c>
      <c r="X84" s="537"/>
      <c r="Y84" s="537"/>
      <c r="Z84" s="537"/>
      <c r="AA84" s="537"/>
      <c r="AB84" s="537"/>
      <c r="AC84" s="537"/>
      <c r="AD84" s="537"/>
      <c r="AE84" s="537"/>
      <c r="AF84" s="537"/>
      <c r="AG84" s="537"/>
      <c r="AH84" s="537"/>
      <c r="AI84" s="537"/>
      <c r="AJ84" s="538"/>
      <c r="AK84" s="524"/>
    </row>
    <row r="85" ht="15.75" customHeight="1" spans="1:37" s="369" customFormat="1" x14ac:dyDescent="0.25">
      <c r="A85" s="539"/>
      <c r="B85" s="540"/>
      <c r="C85" s="540"/>
      <c r="D85" s="541"/>
      <c r="E85" s="513"/>
      <c r="F85" s="514"/>
      <c r="G85" s="514"/>
      <c r="H85" s="514"/>
      <c r="I85" s="514"/>
      <c r="J85" s="515"/>
      <c r="K85" s="531"/>
      <c r="L85" s="529"/>
      <c r="M85" s="529"/>
      <c r="N85" s="529"/>
      <c r="O85" s="529"/>
      <c r="P85" s="532"/>
      <c r="Q85" s="533">
        <f t="shared" si="7"/>
      </c>
      <c r="R85" s="534"/>
      <c r="S85" s="534"/>
      <c r="T85" s="534"/>
      <c r="U85" s="534"/>
      <c r="V85" s="535"/>
      <c r="W85" s="536"/>
      <c r="X85" s="537"/>
      <c r="Y85" s="537"/>
      <c r="Z85" s="537"/>
      <c r="AA85" s="537"/>
      <c r="AB85" s="537"/>
      <c r="AC85" s="537"/>
      <c r="AD85" s="537"/>
      <c r="AE85" s="537"/>
      <c r="AF85" s="537"/>
      <c r="AG85" s="537"/>
      <c r="AH85" s="537"/>
      <c r="AI85" s="537"/>
      <c r="AJ85" s="538"/>
      <c r="AK85" s="524"/>
    </row>
    <row r="86" ht="15.75" customHeight="1" spans="1:37" s="369" customFormat="1" x14ac:dyDescent="0.25">
      <c r="A86" s="539"/>
      <c r="B86" s="540"/>
      <c r="C86" s="540"/>
      <c r="D86" s="541"/>
      <c r="E86" s="513"/>
      <c r="F86" s="514"/>
      <c r="G86" s="514"/>
      <c r="H86" s="514"/>
      <c r="I86" s="514"/>
      <c r="J86" s="515"/>
      <c r="K86" s="531"/>
      <c r="L86" s="529"/>
      <c r="M86" s="529"/>
      <c r="N86" s="529"/>
      <c r="O86" s="529"/>
      <c r="P86" s="532"/>
      <c r="Q86" s="533">
        <f t="shared" ref="Q86:Q88" si="8">IF(AND(NOT(ISBLANK(K86)),NOT(ISBLANK(E86))), IF(K86&gt;E86,K86-E86,24-E86+K86), "")</f>
      </c>
      <c r="R86" s="534"/>
      <c r="S86" s="534"/>
      <c r="T86" s="534"/>
      <c r="U86" s="534"/>
      <c r="V86" s="535"/>
      <c r="W86" s="521"/>
      <c r="X86" s="522"/>
      <c r="Y86" s="522"/>
      <c r="Z86" s="522"/>
      <c r="AA86" s="522"/>
      <c r="AB86" s="522"/>
      <c r="AC86" s="522"/>
      <c r="AD86" s="522"/>
      <c r="AE86" s="522"/>
      <c r="AF86" s="522"/>
      <c r="AG86" s="522"/>
      <c r="AH86" s="522"/>
      <c r="AI86" s="522"/>
      <c r="AJ86" s="523"/>
      <c r="AK86" s="524"/>
    </row>
    <row r="87" ht="15.6" customHeight="1" spans="1:37" s="369" customFormat="1" x14ac:dyDescent="0.25">
      <c r="A87" s="539"/>
      <c r="B87" s="540"/>
      <c r="C87" s="540"/>
      <c r="D87" s="541"/>
      <c r="E87" s="513"/>
      <c r="F87" s="514"/>
      <c r="G87" s="514"/>
      <c r="H87" s="514"/>
      <c r="I87" s="514"/>
      <c r="J87" s="515"/>
      <c r="K87" s="531"/>
      <c r="L87" s="529"/>
      <c r="M87" s="529"/>
      <c r="N87" s="529"/>
      <c r="O87" s="529"/>
      <c r="P87" s="532"/>
      <c r="Q87" s="533">
        <f t="shared" si="8"/>
      </c>
      <c r="R87" s="534"/>
      <c r="S87" s="534"/>
      <c r="T87" s="534"/>
      <c r="U87" s="534"/>
      <c r="V87" s="535"/>
      <c r="W87" s="521"/>
      <c r="X87" s="522"/>
      <c r="Y87" s="522"/>
      <c r="Z87" s="522"/>
      <c r="AA87" s="522"/>
      <c r="AB87" s="522"/>
      <c r="AC87" s="522"/>
      <c r="AD87" s="522"/>
      <c r="AE87" s="522"/>
      <c r="AF87" s="522"/>
      <c r="AG87" s="522"/>
      <c r="AH87" s="522"/>
      <c r="AI87" s="522"/>
      <c r="AJ87" s="523"/>
      <c r="AK87" s="524"/>
    </row>
    <row r="88" ht="15.75" customHeight="1" spans="1:37" s="369" customFormat="1" x14ac:dyDescent="0.25">
      <c r="A88" s="539"/>
      <c r="B88" s="540"/>
      <c r="C88" s="540"/>
      <c r="D88" s="541"/>
      <c r="E88" s="513"/>
      <c r="F88" s="514"/>
      <c r="G88" s="514"/>
      <c r="H88" s="514"/>
      <c r="I88" s="514"/>
      <c r="J88" s="515"/>
      <c r="K88" s="531"/>
      <c r="L88" s="529"/>
      <c r="M88" s="529"/>
      <c r="N88" s="529"/>
      <c r="O88" s="529"/>
      <c r="P88" s="532"/>
      <c r="Q88" s="533">
        <f t="shared" si="8"/>
      </c>
      <c r="R88" s="534"/>
      <c r="S88" s="534"/>
      <c r="T88" s="534"/>
      <c r="U88" s="534"/>
      <c r="V88" s="535"/>
      <c r="W88" s="536"/>
      <c r="X88" s="537"/>
      <c r="Y88" s="537"/>
      <c r="Z88" s="537"/>
      <c r="AA88" s="537"/>
      <c r="AB88" s="537"/>
      <c r="AC88" s="537"/>
      <c r="AD88" s="537"/>
      <c r="AE88" s="537"/>
      <c r="AF88" s="537"/>
      <c r="AG88" s="537"/>
      <c r="AH88" s="537"/>
      <c r="AI88" s="537"/>
      <c r="AJ88" s="538"/>
      <c r="AK88" s="524"/>
    </row>
    <row r="89" ht="15.75" customHeight="1" spans="1:37" s="369" customFormat="1" x14ac:dyDescent="0.25">
      <c r="A89" s="539"/>
      <c r="B89" s="540"/>
      <c r="C89" s="540"/>
      <c r="D89" s="541"/>
      <c r="E89" s="513"/>
      <c r="F89" s="514"/>
      <c r="G89" s="514"/>
      <c r="H89" s="514"/>
      <c r="I89" s="514"/>
      <c r="J89" s="515"/>
      <c r="K89" s="531"/>
      <c r="L89" s="529"/>
      <c r="M89" s="529"/>
      <c r="N89" s="529"/>
      <c r="O89" s="529"/>
      <c r="P89" s="532"/>
      <c r="Q89" s="533">
        <f t="shared" ref="Q89:Q91" si="9">IF(AND(NOT(ISBLANK(K89)),NOT(ISBLANK(E89))), IF(K89&gt;E89,K89-E89,24-E89+K89), "")</f>
      </c>
      <c r="R89" s="534"/>
      <c r="S89" s="534"/>
      <c r="T89" s="534"/>
      <c r="U89" s="534"/>
      <c r="V89" s="535"/>
      <c r="W89" s="536"/>
      <c r="X89" s="537"/>
      <c r="Y89" s="537"/>
      <c r="Z89" s="537"/>
      <c r="AA89" s="537"/>
      <c r="AB89" s="537"/>
      <c r="AC89" s="537"/>
      <c r="AD89" s="537"/>
      <c r="AE89" s="537"/>
      <c r="AF89" s="537"/>
      <c r="AG89" s="537"/>
      <c r="AH89" s="537"/>
      <c r="AI89" s="537"/>
      <c r="AJ89" s="538"/>
      <c r="AK89" s="524"/>
    </row>
    <row r="90" ht="15.75" customHeight="1" hidden="1" spans="1:37" s="369" customFormat="1" x14ac:dyDescent="0.25">
      <c r="A90" s="539"/>
      <c r="B90" s="540"/>
      <c r="C90" s="540"/>
      <c r="D90" s="541"/>
      <c r="E90" s="513"/>
      <c r="F90" s="514"/>
      <c r="G90" s="514"/>
      <c r="H90" s="514"/>
      <c r="I90" s="514"/>
      <c r="J90" s="515"/>
      <c r="K90" s="531"/>
      <c r="L90" s="529"/>
      <c r="M90" s="529"/>
      <c r="N90" s="529"/>
      <c r="O90" s="529"/>
      <c r="P90" s="532"/>
      <c r="Q90" s="533">
        <f t="shared" si="9"/>
      </c>
      <c r="R90" s="534"/>
      <c r="S90" s="534"/>
      <c r="T90" s="534"/>
      <c r="U90" s="534"/>
      <c r="V90" s="535"/>
      <c r="W90" s="536"/>
      <c r="X90" s="537"/>
      <c r="Y90" s="537"/>
      <c r="Z90" s="537"/>
      <c r="AA90" s="537"/>
      <c r="AB90" s="537"/>
      <c r="AC90" s="537"/>
      <c r="AD90" s="537"/>
      <c r="AE90" s="537"/>
      <c r="AF90" s="537"/>
      <c r="AG90" s="537"/>
      <c r="AH90" s="537"/>
      <c r="AI90" s="537"/>
      <c r="AJ90" s="538"/>
      <c r="AK90" s="524"/>
    </row>
    <row r="91" ht="15.75" customHeight="1" hidden="1" spans="1:37" s="369" customFormat="1" x14ac:dyDescent="0.25">
      <c r="A91" s="539"/>
      <c r="B91" s="540"/>
      <c r="C91" s="540"/>
      <c r="D91" s="541"/>
      <c r="E91" s="513"/>
      <c r="F91" s="514"/>
      <c r="G91" s="514"/>
      <c r="H91" s="514"/>
      <c r="I91" s="514"/>
      <c r="J91" s="515"/>
      <c r="K91" s="516"/>
      <c r="L91" s="514"/>
      <c r="M91" s="514"/>
      <c r="N91" s="514"/>
      <c r="O91" s="514"/>
      <c r="P91" s="517"/>
      <c r="Q91" s="533">
        <f t="shared" si="9"/>
      </c>
      <c r="R91" s="534"/>
      <c r="S91" s="534"/>
      <c r="T91" s="534"/>
      <c r="U91" s="534"/>
      <c r="V91" s="535"/>
      <c r="W91" s="521"/>
      <c r="X91" s="522"/>
      <c r="Y91" s="522"/>
      <c r="Z91" s="522"/>
      <c r="AA91" s="522"/>
      <c r="AB91" s="522"/>
      <c r="AC91" s="522"/>
      <c r="AD91" s="522"/>
      <c r="AE91" s="522"/>
      <c r="AF91" s="522"/>
      <c r="AG91" s="522"/>
      <c r="AH91" s="522"/>
      <c r="AI91" s="522"/>
      <c r="AJ91" s="523"/>
      <c r="AK91" s="524"/>
    </row>
    <row r="92" ht="15.75" customHeight="1" hidden="1" spans="1:37" s="369" customFormat="1" x14ac:dyDescent="0.25">
      <c r="A92" s="539"/>
      <c r="B92" s="540"/>
      <c r="C92" s="540"/>
      <c r="D92" s="541"/>
      <c r="E92" s="513"/>
      <c r="F92" s="514"/>
      <c r="G92" s="514"/>
      <c r="H92" s="514"/>
      <c r="I92" s="514"/>
      <c r="J92" s="515"/>
      <c r="K92" s="516"/>
      <c r="L92" s="514"/>
      <c r="M92" s="514"/>
      <c r="N92" s="514"/>
      <c r="O92" s="514"/>
      <c r="P92" s="517"/>
      <c r="Q92" s="518"/>
      <c r="R92" s="519"/>
      <c r="S92" s="519"/>
      <c r="T92" s="519"/>
      <c r="U92" s="519"/>
      <c r="V92" s="520"/>
      <c r="W92" s="536"/>
      <c r="X92" s="537"/>
      <c r="Y92" s="537"/>
      <c r="Z92" s="537"/>
      <c r="AA92" s="537"/>
      <c r="AB92" s="537"/>
      <c r="AC92" s="537"/>
      <c r="AD92" s="537"/>
      <c r="AE92" s="537"/>
      <c r="AF92" s="537"/>
      <c r="AG92" s="537"/>
      <c r="AH92" s="537"/>
      <c r="AI92" s="537"/>
      <c r="AJ92" s="538"/>
      <c r="AK92" s="524"/>
    </row>
    <row r="93" ht="15.75" customHeight="1" spans="1:37" s="369" customFormat="1" x14ac:dyDescent="0.25">
      <c r="A93" s="552"/>
      <c r="B93" s="553"/>
      <c r="C93" s="553"/>
      <c r="D93" s="554"/>
      <c r="E93" s="555"/>
      <c r="F93" s="556"/>
      <c r="G93" s="556"/>
      <c r="H93" s="556"/>
      <c r="I93" s="556"/>
      <c r="J93" s="557"/>
      <c r="K93" s="556"/>
      <c r="L93" s="556"/>
      <c r="M93" s="556"/>
      <c r="N93" s="556"/>
      <c r="O93" s="556"/>
      <c r="P93" s="558"/>
      <c r="Q93" s="559"/>
      <c r="R93" s="560"/>
      <c r="S93" s="560"/>
      <c r="T93" s="560"/>
      <c r="U93" s="560"/>
      <c r="V93" s="561"/>
      <c r="W93" s="562"/>
      <c r="X93" s="563"/>
      <c r="Y93" s="563"/>
      <c r="Z93" s="563"/>
      <c r="AA93" s="563"/>
      <c r="AB93" s="563"/>
      <c r="AC93" s="563"/>
      <c r="AD93" s="563"/>
      <c r="AE93" s="563"/>
      <c r="AF93" s="563"/>
      <c r="AG93" s="563"/>
      <c r="AH93" s="563"/>
      <c r="AI93" s="563"/>
      <c r="AJ93" s="564"/>
      <c r="AK93" s="524"/>
    </row>
    <row r="94" ht="15.75" customHeight="1" spans="1:37" s="369" customFormat="1" x14ac:dyDescent="0.25">
      <c r="A94" s="542"/>
      <c r="B94" s="543"/>
      <c r="C94" s="543"/>
      <c r="D94" s="543"/>
      <c r="E94" s="543"/>
      <c r="F94" s="543"/>
      <c r="G94" s="543"/>
      <c r="H94" s="543"/>
      <c r="I94" s="543"/>
      <c r="J94" s="543"/>
      <c r="K94" s="543"/>
      <c r="L94" s="543"/>
      <c r="M94" s="543"/>
      <c r="N94" s="543"/>
      <c r="O94" s="543"/>
      <c r="P94" s="544"/>
      <c r="Q94" s="545">
        <f>SUM(Q75:V92)</f>
        <v>0.40277777777737356</v>
      </c>
      <c r="R94" s="546"/>
      <c r="S94" s="546"/>
      <c r="T94" s="546"/>
      <c r="U94" s="546"/>
      <c r="V94" s="547"/>
      <c r="W94" s="565"/>
      <c r="X94" s="566"/>
      <c r="Y94" s="566"/>
      <c r="Z94" s="566"/>
      <c r="AA94" s="566"/>
      <c r="AB94" s="566"/>
      <c r="AC94" s="566"/>
      <c r="AD94" s="566"/>
      <c r="AE94" s="566"/>
      <c r="AF94" s="566"/>
      <c r="AG94" s="566"/>
      <c r="AH94" s="566"/>
      <c r="AI94" s="566"/>
      <c r="AJ94" s="567"/>
      <c r="AK94" s="524"/>
    </row>
    <row r="95" ht="15.75" customHeight="1" spans="1:37" s="369" customFormat="1" x14ac:dyDescent="0.25">
      <c r="A95" s="510" t="s">
        <v>157</v>
      </c>
      <c r="B95" s="511"/>
      <c r="C95" s="511"/>
      <c r="D95" s="512"/>
      <c r="E95" s="513">
        <v>0.09027777777737356</v>
      </c>
      <c r="F95" s="514"/>
      <c r="G95" s="514"/>
      <c r="H95" s="514"/>
      <c r="I95" s="514"/>
      <c r="J95" s="515"/>
      <c r="K95" s="516"/>
      <c r="L95" s="514"/>
      <c r="M95" s="514"/>
      <c r="N95" s="514"/>
      <c r="O95" s="514"/>
      <c r="P95" s="517"/>
      <c r="Q95" s="518">
        <f t="shared" ref="Q95:Q98" si="10">IF(AND(NOT(ISBLANK(K95)),NOT(ISBLANK(E95))), IF(K95&gt;E95,K95-E95,24-E95+K95), "")</f>
      </c>
      <c r="R95" s="519"/>
      <c r="S95" s="519"/>
      <c r="T95" s="519"/>
      <c r="U95" s="519"/>
      <c r="V95" s="520"/>
      <c r="W95" s="521" t="s">
        <v>158</v>
      </c>
      <c r="X95" s="522"/>
      <c r="Y95" s="522"/>
      <c r="Z95" s="522"/>
      <c r="AA95" s="522"/>
      <c r="AB95" s="522"/>
      <c r="AC95" s="522"/>
      <c r="AD95" s="522"/>
      <c r="AE95" s="522"/>
      <c r="AF95" s="522"/>
      <c r="AG95" s="522"/>
      <c r="AH95" s="522"/>
      <c r="AI95" s="522"/>
      <c r="AJ95" s="523"/>
      <c r="AK95" s="524"/>
    </row>
    <row r="96" ht="15.75" customHeight="1" spans="1:37" s="369" customFormat="1" x14ac:dyDescent="0.25">
      <c r="A96" s="525"/>
      <c r="B96" s="526"/>
      <c r="C96" s="526"/>
      <c r="D96" s="527"/>
      <c r="E96" s="528">
        <f>E95</f>
        <v>0.09027777777737356</v>
      </c>
      <c r="F96" s="529"/>
      <c r="G96" s="529"/>
      <c r="H96" s="529"/>
      <c r="I96" s="529"/>
      <c r="J96" s="530"/>
      <c r="K96" s="531">
        <v>0.14583333333212067</v>
      </c>
      <c r="L96" s="529"/>
      <c r="M96" s="529"/>
      <c r="N96" s="529"/>
      <c r="O96" s="529"/>
      <c r="P96" s="532"/>
      <c r="Q96" s="533">
        <f t="shared" si="10"/>
        <v>0.055555555554747116</v>
      </c>
      <c r="R96" s="534"/>
      <c r="S96" s="534"/>
      <c r="T96" s="534"/>
      <c r="U96" s="534"/>
      <c r="V96" s="535"/>
      <c r="W96" s="536" t="s">
        <v>159</v>
      </c>
      <c r="X96" s="537"/>
      <c r="Y96" s="537"/>
      <c r="Z96" s="537"/>
      <c r="AA96" s="537"/>
      <c r="AB96" s="537"/>
      <c r="AC96" s="537"/>
      <c r="AD96" s="537"/>
      <c r="AE96" s="537"/>
      <c r="AF96" s="537"/>
      <c r="AG96" s="537"/>
      <c r="AH96" s="537"/>
      <c r="AI96" s="537"/>
      <c r="AJ96" s="538"/>
      <c r="AK96" s="524"/>
    </row>
    <row r="97" ht="15.75" customHeight="1" spans="1:37" s="369" customFormat="1" x14ac:dyDescent="0.25">
      <c r="A97" s="539"/>
      <c r="B97" s="540"/>
      <c r="C97" s="540"/>
      <c r="D97" s="541"/>
      <c r="E97" s="513">
        <f>K96</f>
        <v>0.14583333333212067</v>
      </c>
      <c r="F97" s="514"/>
      <c r="G97" s="514"/>
      <c r="H97" s="514"/>
      <c r="I97" s="514"/>
      <c r="J97" s="515"/>
      <c r="K97" s="531">
        <v>0.16666666666787933</v>
      </c>
      <c r="L97" s="529"/>
      <c r="M97" s="529"/>
      <c r="N97" s="529"/>
      <c r="O97" s="529"/>
      <c r="P97" s="532"/>
      <c r="Q97" s="533">
        <f t="shared" si="10"/>
        <v>0.020833333332120674</v>
      </c>
      <c r="R97" s="534"/>
      <c r="S97" s="534"/>
      <c r="T97" s="534"/>
      <c r="U97" s="534"/>
      <c r="V97" s="535"/>
      <c r="W97" s="536" t="s">
        <v>160</v>
      </c>
      <c r="X97" s="537"/>
      <c r="Y97" s="537"/>
      <c r="Z97" s="537"/>
      <c r="AA97" s="537"/>
      <c r="AB97" s="537"/>
      <c r="AC97" s="537"/>
      <c r="AD97" s="537"/>
      <c r="AE97" s="537"/>
      <c r="AF97" s="537"/>
      <c r="AG97" s="537"/>
      <c r="AH97" s="537"/>
      <c r="AI97" s="537"/>
      <c r="AJ97" s="538"/>
      <c r="AK97" s="524"/>
    </row>
    <row r="98" ht="15.75" customHeight="1" spans="1:37" s="369" customFormat="1" x14ac:dyDescent="0.25">
      <c r="A98" s="539"/>
      <c r="B98" s="540"/>
      <c r="C98" s="540"/>
      <c r="D98" s="541"/>
      <c r="E98" s="513">
        <f>K97</f>
        <v>0.16666666666787933</v>
      </c>
      <c r="F98" s="514"/>
      <c r="G98" s="514"/>
      <c r="H98" s="514"/>
      <c r="I98" s="514"/>
      <c r="J98" s="515"/>
      <c r="K98" s="531">
        <v>0.2604166666678793</v>
      </c>
      <c r="L98" s="529"/>
      <c r="M98" s="529"/>
      <c r="N98" s="529"/>
      <c r="O98" s="529"/>
      <c r="P98" s="532"/>
      <c r="Q98" s="533">
        <f t="shared" si="10"/>
        <v>0.09375</v>
      </c>
      <c r="R98" s="534"/>
      <c r="S98" s="534"/>
      <c r="T98" s="534"/>
      <c r="U98" s="534"/>
      <c r="V98" s="535"/>
      <c r="W98" s="536" t="s">
        <v>159</v>
      </c>
      <c r="X98" s="537"/>
      <c r="Y98" s="537"/>
      <c r="Z98" s="537"/>
      <c r="AA98" s="537"/>
      <c r="AB98" s="537"/>
      <c r="AC98" s="537"/>
      <c r="AD98" s="537"/>
      <c r="AE98" s="537"/>
      <c r="AF98" s="537"/>
      <c r="AG98" s="537"/>
      <c r="AH98" s="537"/>
      <c r="AI98" s="537"/>
      <c r="AJ98" s="538"/>
      <c r="AK98" s="524"/>
    </row>
    <row r="99" ht="15.75" customHeight="1" spans="1:37" s="369" customFormat="1" x14ac:dyDescent="0.25">
      <c r="A99" s="539"/>
      <c r="B99" s="540"/>
      <c r="C99" s="540"/>
      <c r="D99" s="541"/>
      <c r="E99" s="513"/>
      <c r="F99" s="514"/>
      <c r="G99" s="514"/>
      <c r="H99" s="514"/>
      <c r="I99" s="514"/>
      <c r="J99" s="515"/>
      <c r="K99" s="531">
        <f>K98</f>
        <v>0.2604166666678793</v>
      </c>
      <c r="L99" s="529"/>
      <c r="M99" s="529"/>
      <c r="N99" s="529"/>
      <c r="O99" s="529"/>
      <c r="P99" s="532"/>
      <c r="Q99" s="533">
        <f t="shared" ref="Q99:Q110" si="11">IF(AND(NOT(ISBLANK(K99)),NOT(ISBLANK(E99))), IF(K99&gt;E99,K99-E99,24-E99+K99), "")</f>
      </c>
      <c r="R99" s="534"/>
      <c r="S99" s="534"/>
      <c r="T99" s="534"/>
      <c r="U99" s="534"/>
      <c r="V99" s="535"/>
      <c r="W99" s="536" t="s">
        <v>162</v>
      </c>
      <c r="X99" s="537"/>
      <c r="Y99" s="537"/>
      <c r="Z99" s="537"/>
      <c r="AA99" s="537"/>
      <c r="AB99" s="537"/>
      <c r="AC99" s="537"/>
      <c r="AD99" s="537"/>
      <c r="AE99" s="537"/>
      <c r="AF99" s="537"/>
      <c r="AG99" s="537"/>
      <c r="AH99" s="537"/>
      <c r="AI99" s="537"/>
      <c r="AJ99" s="538"/>
      <c r="AK99" s="524"/>
    </row>
    <row r="100" ht="15.75" customHeight="1" spans="1:37" s="369" customFormat="1" x14ac:dyDescent="0.25">
      <c r="A100" s="539"/>
      <c r="B100" s="540"/>
      <c r="C100" s="540"/>
      <c r="D100" s="541"/>
      <c r="E100" s="513">
        <v>0.26388888889050577</v>
      </c>
      <c r="F100" s="514"/>
      <c r="G100" s="514"/>
      <c r="H100" s="514"/>
      <c r="I100" s="514"/>
      <c r="J100" s="515"/>
      <c r="K100" s="531"/>
      <c r="L100" s="529"/>
      <c r="M100" s="529"/>
      <c r="N100" s="529"/>
      <c r="O100" s="529"/>
      <c r="P100" s="532"/>
      <c r="Q100" s="533">
        <f t="shared" si="11"/>
      </c>
      <c r="R100" s="534"/>
      <c r="S100" s="534"/>
      <c r="T100" s="534"/>
      <c r="U100" s="534"/>
      <c r="V100" s="535"/>
      <c r="W100" s="521" t="s">
        <v>163</v>
      </c>
      <c r="X100" s="522"/>
      <c r="Y100" s="522"/>
      <c r="Z100" s="522"/>
      <c r="AA100" s="522"/>
      <c r="AB100" s="522"/>
      <c r="AC100" s="522"/>
      <c r="AD100" s="522"/>
      <c r="AE100" s="522"/>
      <c r="AF100" s="522"/>
      <c r="AG100" s="522"/>
      <c r="AH100" s="522"/>
      <c r="AI100" s="522"/>
      <c r="AJ100" s="523"/>
      <c r="AK100" s="524"/>
    </row>
    <row r="101" ht="15.75" customHeight="1" spans="1:37" s="369" customFormat="1" x14ac:dyDescent="0.25">
      <c r="A101" s="539"/>
      <c r="B101" s="540"/>
      <c r="C101" s="540"/>
      <c r="D101" s="541"/>
      <c r="E101" s="531">
        <f>E100</f>
        <v>0.26388888889050577</v>
      </c>
      <c r="F101" s="529"/>
      <c r="G101" s="529"/>
      <c r="H101" s="529"/>
      <c r="I101" s="529"/>
      <c r="J101" s="529"/>
      <c r="K101" s="531">
        <v>0.2708333333321207</v>
      </c>
      <c r="L101" s="529"/>
      <c r="M101" s="529"/>
      <c r="N101" s="529"/>
      <c r="O101" s="529"/>
      <c r="P101" s="532"/>
      <c r="Q101" s="533">
        <f t="shared" si="11"/>
        <v>0.006944444445252884</v>
      </c>
      <c r="R101" s="534"/>
      <c r="S101" s="534"/>
      <c r="T101" s="534"/>
      <c r="U101" s="534"/>
      <c r="V101" s="535"/>
      <c r="W101" s="521" t="s">
        <v>164</v>
      </c>
      <c r="X101" s="522"/>
      <c r="Y101" s="522"/>
      <c r="Z101" s="522"/>
      <c r="AA101" s="522"/>
      <c r="AB101" s="522"/>
      <c r="AC101" s="522"/>
      <c r="AD101" s="522"/>
      <c r="AE101" s="522"/>
      <c r="AF101" s="522"/>
      <c r="AG101" s="522"/>
      <c r="AH101" s="522"/>
      <c r="AI101" s="522"/>
      <c r="AJ101" s="523"/>
      <c r="AK101" s="524"/>
    </row>
    <row r="102" ht="15.75" customHeight="1" spans="1:37" s="369" customFormat="1" x14ac:dyDescent="0.25">
      <c r="A102" s="539"/>
      <c r="B102" s="540"/>
      <c r="C102" s="540"/>
      <c r="D102" s="541"/>
      <c r="E102" s="513">
        <f>K101</f>
        <v>0.2708333333321207</v>
      </c>
      <c r="F102" s="514"/>
      <c r="G102" s="514"/>
      <c r="H102" s="514"/>
      <c r="I102" s="514"/>
      <c r="J102" s="515"/>
      <c r="K102" s="531">
        <v>0.3333333333321207</v>
      </c>
      <c r="L102" s="529"/>
      <c r="M102" s="529"/>
      <c r="N102" s="529"/>
      <c r="O102" s="529"/>
      <c r="P102" s="532"/>
      <c r="Q102" s="533">
        <f t="shared" si="11"/>
        <v>0.0625</v>
      </c>
      <c r="R102" s="534"/>
      <c r="S102" s="534"/>
      <c r="T102" s="534"/>
      <c r="U102" s="534"/>
      <c r="V102" s="535"/>
      <c r="W102" s="536" t="s">
        <v>161</v>
      </c>
      <c r="X102" s="537"/>
      <c r="Y102" s="537"/>
      <c r="Z102" s="537"/>
      <c r="AA102" s="537"/>
      <c r="AB102" s="537"/>
      <c r="AC102" s="537"/>
      <c r="AD102" s="537"/>
      <c r="AE102" s="537"/>
      <c r="AF102" s="537"/>
      <c r="AG102" s="537"/>
      <c r="AH102" s="537"/>
      <c r="AI102" s="537"/>
      <c r="AJ102" s="538"/>
      <c r="AK102" s="524"/>
    </row>
    <row r="103" ht="15.75" customHeight="1" spans="1:37" s="369" customFormat="1" x14ac:dyDescent="0.25">
      <c r="A103" s="539"/>
      <c r="B103" s="540"/>
      <c r="C103" s="540"/>
      <c r="D103" s="541"/>
      <c r="E103" s="513">
        <f>K102</f>
        <v>0.3333333333321207</v>
      </c>
      <c r="F103" s="514"/>
      <c r="G103" s="514"/>
      <c r="H103" s="514"/>
      <c r="I103" s="514"/>
      <c r="J103" s="515"/>
      <c r="K103" s="531">
        <v>0.5</v>
      </c>
      <c r="L103" s="529"/>
      <c r="M103" s="529"/>
      <c r="N103" s="529"/>
      <c r="O103" s="529"/>
      <c r="P103" s="532"/>
      <c r="Q103" s="533">
        <f t="shared" si="11"/>
        <v>0.16666666666787933</v>
      </c>
      <c r="R103" s="534"/>
      <c r="S103" s="534"/>
      <c r="T103" s="534"/>
      <c r="U103" s="534"/>
      <c r="V103" s="535"/>
      <c r="W103" s="521" t="s">
        <v>164</v>
      </c>
      <c r="X103" s="522"/>
      <c r="Y103" s="522"/>
      <c r="Z103" s="522"/>
      <c r="AA103" s="522"/>
      <c r="AB103" s="522"/>
      <c r="AC103" s="522"/>
      <c r="AD103" s="522"/>
      <c r="AE103" s="522"/>
      <c r="AF103" s="522"/>
      <c r="AG103" s="522"/>
      <c r="AH103" s="522"/>
      <c r="AI103" s="522"/>
      <c r="AJ103" s="523"/>
      <c r="AK103" s="524"/>
    </row>
    <row r="104" ht="15.75" customHeight="1" spans="1:37" s="369" customFormat="1" x14ac:dyDescent="0.25">
      <c r="A104" s="539"/>
      <c r="B104" s="540"/>
      <c r="C104" s="540"/>
      <c r="D104" s="541"/>
      <c r="E104" s="513">
        <v>0.5</v>
      </c>
      <c r="F104" s="514"/>
      <c r="G104" s="514"/>
      <c r="H104" s="514"/>
      <c r="I104" s="514"/>
      <c r="J104" s="515"/>
      <c r="K104" s="531">
        <v>0.5416666666678793</v>
      </c>
      <c r="L104" s="529"/>
      <c r="M104" s="529"/>
      <c r="N104" s="529"/>
      <c r="O104" s="529"/>
      <c r="P104" s="532"/>
      <c r="Q104" s="533">
        <f t="shared" si="11"/>
        <v>0.041666666667879326</v>
      </c>
      <c r="R104" s="534"/>
      <c r="S104" s="534"/>
      <c r="T104" s="534"/>
      <c r="U104" s="534"/>
      <c r="V104" s="535"/>
      <c r="W104" s="536" t="s">
        <v>161</v>
      </c>
      <c r="X104" s="537"/>
      <c r="Y104" s="537"/>
      <c r="Z104" s="537"/>
      <c r="AA104" s="537"/>
      <c r="AB104" s="537"/>
      <c r="AC104" s="537"/>
      <c r="AD104" s="537"/>
      <c r="AE104" s="537"/>
      <c r="AF104" s="537"/>
      <c r="AG104" s="537"/>
      <c r="AH104" s="537"/>
      <c r="AI104" s="537"/>
      <c r="AJ104" s="538"/>
      <c r="AK104" s="524"/>
    </row>
    <row r="105" ht="15.75" customHeight="1" spans="1:37" s="369" customFormat="1" x14ac:dyDescent="0.25">
      <c r="A105" s="539"/>
      <c r="B105" s="540"/>
      <c r="C105" s="540"/>
      <c r="D105" s="541"/>
      <c r="E105" s="513">
        <v>0.5416666666678793</v>
      </c>
      <c r="F105" s="514"/>
      <c r="G105" s="514"/>
      <c r="H105" s="514"/>
      <c r="I105" s="514"/>
      <c r="J105" s="515"/>
      <c r="K105" s="531">
        <v>0.5694444444452529</v>
      </c>
      <c r="L105" s="529"/>
      <c r="M105" s="529"/>
      <c r="N105" s="529"/>
      <c r="O105" s="529"/>
      <c r="P105" s="532"/>
      <c r="Q105" s="533">
        <f t="shared" si="11"/>
        <v>0.027777777777373558</v>
      </c>
      <c r="R105" s="534"/>
      <c r="S105" s="534"/>
      <c r="T105" s="534"/>
      <c r="U105" s="534"/>
      <c r="V105" s="535"/>
      <c r="W105" s="521" t="s">
        <v>164</v>
      </c>
      <c r="X105" s="522"/>
      <c r="Y105" s="522"/>
      <c r="Z105" s="522"/>
      <c r="AA105" s="522"/>
      <c r="AB105" s="522"/>
      <c r="AC105" s="522"/>
      <c r="AD105" s="522"/>
      <c r="AE105" s="522"/>
      <c r="AF105" s="522"/>
      <c r="AG105" s="522"/>
      <c r="AH105" s="522"/>
      <c r="AI105" s="522"/>
      <c r="AJ105" s="523"/>
      <c r="AK105" s="524"/>
    </row>
    <row r="106" ht="15.75" customHeight="1" spans="1:37" s="369" customFormat="1" x14ac:dyDescent="0.25">
      <c r="A106" s="539"/>
      <c r="B106" s="540"/>
      <c r="C106" s="540"/>
      <c r="D106" s="541"/>
      <c r="E106" s="513"/>
      <c r="F106" s="514"/>
      <c r="G106" s="514"/>
      <c r="H106" s="514"/>
      <c r="I106" s="514"/>
      <c r="J106" s="515"/>
      <c r="K106" s="531">
        <v>0.5694444444452529</v>
      </c>
      <c r="L106" s="529"/>
      <c r="M106" s="529"/>
      <c r="N106" s="529"/>
      <c r="O106" s="529"/>
      <c r="P106" s="532"/>
      <c r="Q106" s="533">
        <f t="shared" si="11"/>
      </c>
      <c r="R106" s="534"/>
      <c r="S106" s="534"/>
      <c r="T106" s="534"/>
      <c r="U106" s="534"/>
      <c r="V106" s="535"/>
      <c r="W106" s="536" t="s">
        <v>165</v>
      </c>
      <c r="X106" s="537"/>
      <c r="Y106" s="537"/>
      <c r="Z106" s="537"/>
      <c r="AA106" s="537"/>
      <c r="AB106" s="537"/>
      <c r="AC106" s="537"/>
      <c r="AD106" s="537"/>
      <c r="AE106" s="537"/>
      <c r="AF106" s="537"/>
      <c r="AG106" s="537"/>
      <c r="AH106" s="537"/>
      <c r="AI106" s="537"/>
      <c r="AJ106" s="538"/>
      <c r="AK106" s="524"/>
    </row>
    <row r="107" ht="15.75" customHeight="1" spans="1:37" s="369" customFormat="1" x14ac:dyDescent="0.25">
      <c r="A107" s="539"/>
      <c r="B107" s="540"/>
      <c r="C107" s="540"/>
      <c r="D107" s="541"/>
      <c r="E107" s="513"/>
      <c r="F107" s="514"/>
      <c r="G107" s="514"/>
      <c r="H107" s="514"/>
      <c r="I107" s="514"/>
      <c r="J107" s="515"/>
      <c r="K107" s="531"/>
      <c r="L107" s="529"/>
      <c r="M107" s="529"/>
      <c r="N107" s="529"/>
      <c r="O107" s="529"/>
      <c r="P107" s="532"/>
      <c r="Q107" s="533">
        <f t="shared" si="11"/>
      </c>
      <c r="R107" s="534"/>
      <c r="S107" s="534"/>
      <c r="T107" s="534"/>
      <c r="U107" s="534"/>
      <c r="V107" s="535"/>
      <c r="W107" s="521"/>
      <c r="X107" s="522"/>
      <c r="Y107" s="522"/>
      <c r="Z107" s="522"/>
      <c r="AA107" s="522"/>
      <c r="AB107" s="522"/>
      <c r="AC107" s="522"/>
      <c r="AD107" s="522"/>
      <c r="AE107" s="522"/>
      <c r="AF107" s="522"/>
      <c r="AG107" s="522"/>
      <c r="AH107" s="522"/>
      <c r="AI107" s="522"/>
      <c r="AJ107" s="523"/>
      <c r="AK107" s="524"/>
    </row>
    <row r="108" ht="15.75" customHeight="1" spans="1:37" s="369" customFormat="1" x14ac:dyDescent="0.25">
      <c r="A108" s="539"/>
      <c r="B108" s="540"/>
      <c r="C108" s="540"/>
      <c r="D108" s="541"/>
      <c r="E108" s="513"/>
      <c r="F108" s="514"/>
      <c r="G108" s="514"/>
      <c r="H108" s="514"/>
      <c r="I108" s="514"/>
      <c r="J108" s="515"/>
      <c r="K108" s="531"/>
      <c r="L108" s="529"/>
      <c r="M108" s="529"/>
      <c r="N108" s="529"/>
      <c r="O108" s="529"/>
      <c r="P108" s="532"/>
      <c r="Q108" s="533">
        <f t="shared" si="11"/>
      </c>
      <c r="R108" s="534"/>
      <c r="S108" s="534"/>
      <c r="T108" s="534"/>
      <c r="U108" s="534"/>
      <c r="V108" s="535"/>
      <c r="W108" s="536"/>
      <c r="X108" s="537"/>
      <c r="Y108" s="537"/>
      <c r="Z108" s="537"/>
      <c r="AA108" s="537"/>
      <c r="AB108" s="537"/>
      <c r="AC108" s="537"/>
      <c r="AD108" s="537"/>
      <c r="AE108" s="537"/>
      <c r="AF108" s="537"/>
      <c r="AG108" s="537"/>
      <c r="AH108" s="537"/>
      <c r="AI108" s="537"/>
      <c r="AJ108" s="538"/>
      <c r="AK108" s="524"/>
    </row>
    <row r="109" ht="15.75" customHeight="1" spans="1:37" s="369" customFormat="1" x14ac:dyDescent="0.25">
      <c r="A109" s="539"/>
      <c r="B109" s="540"/>
      <c r="C109" s="540"/>
      <c r="D109" s="541"/>
      <c r="E109" s="513"/>
      <c r="F109" s="514"/>
      <c r="G109" s="514"/>
      <c r="H109" s="514"/>
      <c r="I109" s="514"/>
      <c r="J109" s="515"/>
      <c r="K109" s="531"/>
      <c r="L109" s="529"/>
      <c r="M109" s="529"/>
      <c r="N109" s="529"/>
      <c r="O109" s="529"/>
      <c r="P109" s="532"/>
      <c r="Q109" s="533">
        <f t="shared" si="11"/>
      </c>
      <c r="R109" s="534"/>
      <c r="S109" s="534"/>
      <c r="T109" s="534"/>
      <c r="U109" s="534"/>
      <c r="V109" s="535"/>
      <c r="W109" s="521"/>
      <c r="X109" s="522"/>
      <c r="Y109" s="522"/>
      <c r="Z109" s="522"/>
      <c r="AA109" s="522"/>
      <c r="AB109" s="522"/>
      <c r="AC109" s="522"/>
      <c r="AD109" s="522"/>
      <c r="AE109" s="522"/>
      <c r="AF109" s="522"/>
      <c r="AG109" s="522"/>
      <c r="AH109" s="522"/>
      <c r="AI109" s="522"/>
      <c r="AJ109" s="523"/>
      <c r="AK109" s="524"/>
    </row>
    <row r="110" ht="15.75" customHeight="1" spans="1:37" s="369" customFormat="1" x14ac:dyDescent="0.25">
      <c r="A110" s="539"/>
      <c r="B110" s="540"/>
      <c r="C110" s="540"/>
      <c r="D110" s="541"/>
      <c r="E110" s="513"/>
      <c r="F110" s="514"/>
      <c r="G110" s="514"/>
      <c r="H110" s="514"/>
      <c r="I110" s="514"/>
      <c r="J110" s="515"/>
      <c r="K110" s="531"/>
      <c r="L110" s="529"/>
      <c r="M110" s="529"/>
      <c r="N110" s="529"/>
      <c r="O110" s="529"/>
      <c r="P110" s="532"/>
      <c r="Q110" s="533">
        <f t="shared" si="11"/>
      </c>
      <c r="R110" s="534"/>
      <c r="S110" s="534"/>
      <c r="T110" s="534"/>
      <c r="U110" s="534"/>
      <c r="V110" s="535"/>
      <c r="W110" s="536"/>
      <c r="X110" s="537"/>
      <c r="Y110" s="537"/>
      <c r="Z110" s="537"/>
      <c r="AA110" s="537"/>
      <c r="AB110" s="537"/>
      <c r="AC110" s="537"/>
      <c r="AD110" s="537"/>
      <c r="AE110" s="537"/>
      <c r="AF110" s="537"/>
      <c r="AG110" s="537"/>
      <c r="AH110" s="537"/>
      <c r="AI110" s="537"/>
      <c r="AJ110" s="538"/>
      <c r="AK110" s="524"/>
    </row>
    <row r="111" ht="15.75" customHeight="1" spans="1:36" s="369" customFormat="1" x14ac:dyDescent="0.25">
      <c r="A111" s="539"/>
      <c r="B111" s="540"/>
      <c r="C111" s="540"/>
      <c r="D111" s="541"/>
      <c r="E111" s="513"/>
      <c r="F111" s="514"/>
      <c r="G111" s="514"/>
      <c r="H111" s="514"/>
      <c r="I111" s="514"/>
      <c r="J111" s="515"/>
      <c r="K111" s="531"/>
      <c r="L111" s="529"/>
      <c r="M111" s="529"/>
      <c r="N111" s="529"/>
      <c r="O111" s="529"/>
      <c r="P111" s="532"/>
      <c r="Q111" s="533"/>
      <c r="R111" s="534"/>
      <c r="S111" s="534"/>
      <c r="T111" s="534"/>
      <c r="U111" s="534"/>
      <c r="V111" s="535"/>
      <c r="W111" s="536"/>
      <c r="X111" s="537"/>
      <c r="Y111" s="537"/>
      <c r="Z111" s="537"/>
      <c r="AA111" s="537"/>
      <c r="AB111" s="537"/>
      <c r="AC111" s="537"/>
      <c r="AD111" s="537"/>
      <c r="AE111" s="537"/>
      <c r="AF111" s="537"/>
      <c r="AG111" s="537"/>
      <c r="AH111" s="537"/>
      <c r="AI111" s="537"/>
      <c r="AJ111" s="538"/>
    </row>
    <row r="112" ht="15.75" customHeight="1" spans="1:37" s="369" customFormat="1" x14ac:dyDescent="0.25">
      <c r="A112" s="539"/>
      <c r="B112" s="540"/>
      <c r="C112" s="540"/>
      <c r="D112" s="541"/>
      <c r="E112" s="513"/>
      <c r="F112" s="514"/>
      <c r="G112" s="514"/>
      <c r="H112" s="514"/>
      <c r="I112" s="514"/>
      <c r="J112" s="515"/>
      <c r="K112" s="529"/>
      <c r="L112" s="529"/>
      <c r="M112" s="529"/>
      <c r="N112" s="529"/>
      <c r="O112" s="529"/>
      <c r="P112" s="532"/>
      <c r="Q112" s="533"/>
      <c r="R112" s="534"/>
      <c r="S112" s="534"/>
      <c r="T112" s="534"/>
      <c r="U112" s="534"/>
      <c r="V112" s="535"/>
      <c r="W112" s="521"/>
      <c r="X112" s="522"/>
      <c r="Y112" s="522"/>
      <c r="Z112" s="522"/>
      <c r="AA112" s="522"/>
      <c r="AB112" s="522"/>
      <c r="AC112" s="522"/>
      <c r="AD112" s="522"/>
      <c r="AE112" s="522"/>
      <c r="AF112" s="522"/>
      <c r="AG112" s="522"/>
      <c r="AH112" s="522"/>
      <c r="AI112" s="522"/>
      <c r="AJ112" s="523"/>
      <c r="AK112" s="524"/>
    </row>
    <row r="113" ht="15.75" customHeight="1" spans="1:37" s="40" customFormat="1" x14ac:dyDescent="0.25">
      <c r="A113" s="542"/>
      <c r="B113" s="543"/>
      <c r="C113" s="543"/>
      <c r="D113" s="543"/>
      <c r="E113" s="543"/>
      <c r="F113" s="543"/>
      <c r="G113" s="543"/>
      <c r="H113" s="543"/>
      <c r="I113" s="543"/>
      <c r="J113" s="543"/>
      <c r="K113" s="543"/>
      <c r="L113" s="543"/>
      <c r="M113" s="543"/>
      <c r="N113" s="543"/>
      <c r="O113" s="543"/>
      <c r="P113" s="544"/>
      <c r="Q113" s="545">
        <f>SUM(Q95:V111)</f>
        <v>0.4756944444452529</v>
      </c>
      <c r="R113" s="546"/>
      <c r="S113" s="546"/>
      <c r="T113" s="546"/>
      <c r="U113" s="546"/>
      <c r="V113" s="547"/>
      <c r="W113" s="548"/>
      <c r="X113" s="549"/>
      <c r="Y113" s="549"/>
      <c r="Z113" s="549"/>
      <c r="AA113" s="549"/>
      <c r="AB113" s="549"/>
      <c r="AC113" s="549"/>
      <c r="AD113" s="549"/>
      <c r="AE113" s="549"/>
      <c r="AF113" s="549"/>
      <c r="AG113" s="549"/>
      <c r="AH113" s="549"/>
      <c r="AI113" s="549"/>
      <c r="AJ113" s="550"/>
      <c r="AK113" s="551"/>
    </row>
  </sheetData>
  <mergeCells count="508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D112"/>
    <mergeCell ref="E112:J112"/>
    <mergeCell ref="K112:P112"/>
    <mergeCell ref="Q112:V112"/>
    <mergeCell ref="W112:AJ112"/>
    <mergeCell ref="A113:P113"/>
    <mergeCell ref="Q113:V113"/>
    <mergeCell ref="W113:AJ113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O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13" x14ac:dyDescent="0.25">
      <c r="A1" s="203" t="s">
        <v>24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</row>
    <row r="2" ht="12" customHeight="1" spans="1:13" x14ac:dyDescent="0.25">
      <c r="A2" s="187" t="s">
        <v>25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3" ht="9.75" customHeight="1" x14ac:dyDescent="0.25"/>
    <row r="4" ht="20.25" customHeight="1" spans="1:13" s="3" customFormat="1" x14ac:dyDescent="0.25">
      <c r="A4" s="204" t="s">
        <v>34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</row>
    <row r="5" ht="10.5" customHeight="1" x14ac:dyDescent="0.25"/>
    <row r="6" spans="1:15" x14ac:dyDescent="0.25">
      <c r="A6" s="3" t="s">
        <v>35</v>
      </c>
      <c r="B6" s="205" t="str">
        <f>'Final Work'!모선이름</f>
        <v>SAWASDEE ATLANTIC</v>
      </c>
      <c r="G6" s="3" t="s">
        <v>36</v>
      </c>
      <c r="H6" s="187"/>
      <c r="I6" s="187"/>
      <c r="K6" s="3" t="s">
        <v>37</v>
      </c>
      <c r="L6" s="13"/>
      <c r="M6" s="14"/>
      <c r="N6" s="9"/>
      <c r="O6" s="9"/>
    </row>
    <row r="7" ht="5.25" customHeight="1" spans="8:9" x14ac:dyDescent="0.25">
      <c r="H7" s="166"/>
      <c r="I7" s="166"/>
    </row>
    <row r="8" spans="1:13" x14ac:dyDescent="0.25">
      <c r="A8" s="205" t="s">
        <v>38</v>
      </c>
      <c r="B8" s="3" t="s">
        <v>25</v>
      </c>
      <c r="G8" s="3" t="s">
        <v>39</v>
      </c>
      <c r="H8" s="187"/>
      <c r="I8" s="187"/>
      <c r="K8" s="205" t="s">
        <v>40</v>
      </c>
      <c r="L8" s="187"/>
      <c r="M8" s="187"/>
    </row>
    <row r="9" ht="8.25" customHeight="1" x14ac:dyDescent="0.25"/>
    <row r="10" ht="14.45" customHeight="1" spans="1:13" x14ac:dyDescent="0.25">
      <c r="A10" s="206" t="s">
        <v>41</v>
      </c>
      <c r="B10" s="207" t="s">
        <v>42</v>
      </c>
      <c r="C10" s="208"/>
      <c r="D10" s="206" t="s">
        <v>43</v>
      </c>
      <c r="E10" s="206"/>
      <c r="F10" s="206"/>
      <c r="G10" s="209" t="s">
        <v>44</v>
      </c>
      <c r="H10" s="206" t="s">
        <v>45</v>
      </c>
      <c r="I10" s="206"/>
      <c r="J10" s="209" t="s">
        <v>46</v>
      </c>
      <c r="K10" s="206" t="s">
        <v>47</v>
      </c>
      <c r="L10" s="206" t="s">
        <v>48</v>
      </c>
      <c r="M10" s="206" t="s">
        <v>49</v>
      </c>
    </row>
    <row r="11" ht="14.45" customHeight="1" spans="1:13" x14ac:dyDescent="0.25">
      <c r="A11" s="210"/>
      <c r="B11" s="211"/>
      <c r="C11" s="212"/>
      <c r="D11" s="210"/>
      <c r="E11" s="210"/>
      <c r="F11" s="210"/>
      <c r="G11" s="213" t="s">
        <v>50</v>
      </c>
      <c r="H11" s="210"/>
      <c r="I11" s="210"/>
      <c r="J11" s="213"/>
      <c r="K11" s="210"/>
      <c r="L11" s="210"/>
      <c r="M11" s="210"/>
    </row>
    <row r="12" ht="19.15" customHeight="1" hidden="1" spans="1:13" x14ac:dyDescent="0.25">
      <c r="A12" s="214"/>
      <c r="B12" s="215"/>
      <c r="C12" s="3"/>
      <c r="D12" s="216"/>
      <c r="E12" s="217"/>
      <c r="F12" s="218"/>
      <c r="G12" s="214"/>
      <c r="H12" s="219"/>
      <c r="I12" s="3"/>
      <c r="J12" s="220"/>
      <c r="K12" s="214"/>
      <c r="L12" s="214"/>
      <c r="M12" s="221"/>
    </row>
    <row r="13" ht="19.15" customHeight="1" hidden="1" spans="1:13" x14ac:dyDescent="0.25">
      <c r="A13" s="222"/>
      <c r="B13" s="223"/>
      <c r="C13" s="3"/>
      <c r="D13" s="224"/>
      <c r="E13" s="225"/>
      <c r="F13" s="226"/>
      <c r="G13" s="227"/>
      <c r="H13" s="228"/>
      <c r="I13" s="3"/>
      <c r="J13" s="229"/>
      <c r="K13" s="227"/>
      <c r="L13" s="227"/>
      <c r="M13" s="230"/>
    </row>
    <row r="14" ht="19.15" customHeight="1" hidden="1" spans="1:13" x14ac:dyDescent="0.25">
      <c r="A14" s="231"/>
      <c r="B14" s="232"/>
      <c r="C14" s="3"/>
      <c r="D14" s="224"/>
      <c r="E14" s="225"/>
      <c r="F14" s="226"/>
      <c r="G14" s="227"/>
      <c r="H14" s="228"/>
      <c r="I14" s="3"/>
      <c r="J14" s="229"/>
      <c r="K14" s="227"/>
      <c r="L14" s="227"/>
      <c r="M14" s="233"/>
    </row>
    <row r="15" ht="19.15" customHeight="1" hidden="1" spans="1:13" x14ac:dyDescent="0.25">
      <c r="A15" s="231"/>
      <c r="B15" s="232"/>
      <c r="C15" s="3"/>
      <c r="D15" s="224"/>
      <c r="E15" s="225"/>
      <c r="F15" s="226"/>
      <c r="G15" s="227"/>
      <c r="H15" s="228"/>
      <c r="I15" s="3"/>
      <c r="J15" s="229"/>
      <c r="K15" s="227"/>
      <c r="L15" s="227"/>
      <c r="M15" s="233"/>
    </row>
    <row r="16" ht="19.15" customHeight="1" hidden="1" spans="1:13" x14ac:dyDescent="0.25">
      <c r="A16" s="231"/>
      <c r="B16" s="232"/>
      <c r="C16" s="3"/>
      <c r="D16" s="224"/>
      <c r="E16" s="225"/>
      <c r="F16" s="226"/>
      <c r="G16" s="227"/>
      <c r="H16" s="228"/>
      <c r="I16" s="3"/>
      <c r="J16" s="229"/>
      <c r="K16" s="227"/>
      <c r="L16" s="227"/>
      <c r="M16" s="233"/>
    </row>
    <row r="17" ht="19.15" customHeight="1" spans="1:13" x14ac:dyDescent="0.25">
      <c r="A17" s="231"/>
      <c r="B17" s="232"/>
      <c r="C17" s="3"/>
      <c r="D17" s="224"/>
      <c r="E17" s="225"/>
      <c r="F17" s="226"/>
      <c r="G17" s="227"/>
      <c r="H17" s="228"/>
      <c r="I17" s="3"/>
      <c r="J17" s="229"/>
      <c r="K17" s="227"/>
      <c r="L17" s="227"/>
      <c r="M17" s="233"/>
    </row>
    <row r="18" ht="19.15" customHeight="1" spans="1:13" x14ac:dyDescent="0.25">
      <c r="A18" s="231"/>
      <c r="B18" s="232"/>
      <c r="C18" s="3"/>
      <c r="D18" s="224"/>
      <c r="E18" s="225"/>
      <c r="F18" s="226"/>
      <c r="G18" s="227"/>
      <c r="H18" s="228"/>
      <c r="I18" s="3"/>
      <c r="J18" s="229"/>
      <c r="K18" s="227"/>
      <c r="L18" s="227"/>
      <c r="M18" s="233"/>
    </row>
    <row r="19" ht="19.15" customHeight="1" spans="1:13" x14ac:dyDescent="0.25">
      <c r="A19" s="231"/>
      <c r="B19" s="232"/>
      <c r="C19" s="3"/>
      <c r="D19" s="224"/>
      <c r="E19" s="225"/>
      <c r="F19" s="226"/>
      <c r="G19" s="227"/>
      <c r="H19" s="228"/>
      <c r="I19" s="3"/>
      <c r="J19" s="229"/>
      <c r="K19" s="227"/>
      <c r="L19" s="227"/>
      <c r="M19" s="233"/>
    </row>
    <row r="20" ht="19.15" customHeight="1" spans="1:13" x14ac:dyDescent="0.25">
      <c r="A20" s="231"/>
      <c r="B20" s="227"/>
      <c r="C20" s="3"/>
      <c r="D20" s="224"/>
      <c r="E20" s="225"/>
      <c r="F20" s="226"/>
      <c r="G20" s="227"/>
      <c r="H20" s="228"/>
      <c r="I20" s="3"/>
      <c r="J20" s="229"/>
      <c r="K20" s="227"/>
      <c r="L20" s="227"/>
      <c r="M20" s="233"/>
    </row>
    <row r="21" ht="19.15" customHeight="1" spans="1:13" x14ac:dyDescent="0.25">
      <c r="A21" s="231"/>
      <c r="B21" s="227"/>
      <c r="C21" s="3"/>
      <c r="D21" s="224"/>
      <c r="E21" s="225"/>
      <c r="F21" s="226"/>
      <c r="G21" s="227"/>
      <c r="H21" s="234"/>
      <c r="I21" s="3"/>
      <c r="J21" s="229"/>
      <c r="K21" s="227"/>
      <c r="L21" s="227"/>
      <c r="M21" s="233"/>
    </row>
    <row r="22" ht="19.15" customHeight="1" spans="1:13" x14ac:dyDescent="0.25">
      <c r="A22" s="222"/>
      <c r="B22" s="223"/>
      <c r="C22" s="3"/>
      <c r="D22" s="224"/>
      <c r="E22" s="225"/>
      <c r="F22" s="226"/>
      <c r="G22" s="227"/>
      <c r="H22" s="234"/>
      <c r="I22" s="3"/>
      <c r="J22" s="229"/>
      <c r="K22" s="227"/>
      <c r="L22" s="227"/>
      <c r="M22" s="230"/>
    </row>
    <row r="23" ht="19.15" customHeight="1" spans="1:13" x14ac:dyDescent="0.25">
      <c r="A23" s="235"/>
      <c r="B23" s="236"/>
      <c r="C23" s="237"/>
      <c r="D23" s="238" t="s">
        <v>51</v>
      </c>
      <c r="E23" s="239"/>
      <c r="F23" s="240"/>
      <c r="G23" s="241" t="s">
        <v>52</v>
      </c>
      <c r="H23" s="242">
        <f>SUM(H12:I22)</f>
        <v>195</v>
      </c>
      <c r="I23" s="243"/>
      <c r="J23" s="244">
        <f>SUM(J12:J22)</f>
        <v>195</v>
      </c>
      <c r="K23" s="241" t="s">
        <v>53</v>
      </c>
      <c r="L23" s="241" t="s">
        <v>53</v>
      </c>
      <c r="M23" s="245"/>
    </row>
    <row r="24" ht="19.15" customHeight="1" spans="1:13" x14ac:dyDescent="0.25">
      <c r="A24" s="246"/>
      <c r="B24" s="247"/>
      <c r="C24" s="248"/>
      <c r="D24" s="247"/>
      <c r="E24" s="249"/>
      <c r="F24" s="248"/>
      <c r="G24" s="250"/>
      <c r="H24" s="251"/>
      <c r="I24" s="252"/>
      <c r="J24" s="253"/>
      <c r="K24" s="250"/>
      <c r="L24" s="250"/>
      <c r="M24" s="254"/>
    </row>
    <row r="25" ht="19.15" customHeight="1" spans="1:13" x14ac:dyDescent="0.25">
      <c r="A25" s="246"/>
      <c r="B25" s="247"/>
      <c r="C25" s="248"/>
      <c r="D25" s="247"/>
      <c r="E25" s="249"/>
      <c r="F25" s="248"/>
      <c r="G25" s="250"/>
      <c r="H25" s="251"/>
      <c r="I25" s="252"/>
      <c r="J25" s="253"/>
      <c r="K25" s="250"/>
      <c r="L25" s="250"/>
      <c r="M25" s="254"/>
    </row>
    <row r="26" ht="19.15" customHeight="1" spans="1:13" x14ac:dyDescent="0.25">
      <c r="A26" s="246"/>
      <c r="B26" s="247"/>
      <c r="C26" s="248"/>
      <c r="D26" s="247"/>
      <c r="E26" s="249"/>
      <c r="F26" s="248"/>
      <c r="G26" s="250"/>
      <c r="H26" s="251"/>
      <c r="I26" s="252"/>
      <c r="J26" s="253"/>
      <c r="K26" s="250"/>
      <c r="L26" s="250"/>
      <c r="M26" s="254"/>
    </row>
    <row r="27" ht="19.15" customHeight="1" spans="1:13" x14ac:dyDescent="0.25">
      <c r="A27" s="246"/>
      <c r="B27" s="247"/>
      <c r="C27" s="248"/>
      <c r="D27" s="247"/>
      <c r="E27" s="249"/>
      <c r="F27" s="248"/>
      <c r="G27" s="250"/>
      <c r="H27" s="251"/>
      <c r="I27" s="252"/>
      <c r="J27" s="253"/>
      <c r="K27" s="250"/>
      <c r="L27" s="250"/>
      <c r="M27" s="254"/>
    </row>
    <row r="28" ht="22.9" customHeight="1" spans="1:13" x14ac:dyDescent="0.25">
      <c r="A28" s="40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</row>
    <row r="29" ht="22.9" customHeight="1" spans="1:13" x14ac:dyDescent="0.25">
      <c r="A29" s="40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</row>
    <row r="30" ht="22.9" customHeight="1" spans="1:13" x14ac:dyDescent="0.25">
      <c r="A30" s="40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</row>
    <row r="31" ht="22.9" customHeight="1" spans="1:13" x14ac:dyDescent="0.25">
      <c r="A31" s="40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</row>
    <row r="32" ht="22.9" customHeight="1" spans="1:13" x14ac:dyDescent="0.25">
      <c r="A32" s="200"/>
      <c r="B32" s="200"/>
      <c r="C32" s="200"/>
      <c r="G32" s="200"/>
      <c r="H32" s="200"/>
      <c r="I32" s="200"/>
      <c r="L32" s="200"/>
      <c r="M32" s="200"/>
    </row>
    <row r="33" spans="1:13" x14ac:dyDescent="0.25">
      <c r="A33" s="201" t="s">
        <v>22</v>
      </c>
      <c r="B33" s="201"/>
      <c r="C33" s="201"/>
      <c r="G33" s="201" t="s">
        <v>54</v>
      </c>
      <c r="H33" s="201"/>
      <c r="I33" s="201"/>
      <c r="L33" s="201" t="s">
        <v>23</v>
      </c>
      <c r="M33" s="201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3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A33:C33"/>
    <mergeCell ref="G33:I33"/>
    <mergeCell ref="L33:M33"/>
  </mergeCells>
  <printOptions horizontalCentered="1" verticalCentered="1"/>
  <pageMargins left="0.3937007874015748" right="0.3937007874015748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R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style="3" hidden="1" customWidth="1"/>
    <col min="16148" max="16384" width="9" style="3" customWidth="1"/>
  </cols>
  <sheetData>
    <row r="1" ht="27" customHeight="1" spans="1:18" x14ac:dyDescent="0.25">
      <c r="A1" s="203" t="s">
        <v>24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</row>
    <row r="2" ht="12" customHeight="1" spans="1:18" x14ac:dyDescent="0.25">
      <c r="A2" s="187" t="s">
        <v>25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</row>
    <row r="3" ht="5.25" customHeight="1" x14ac:dyDescent="0.25"/>
    <row r="4" ht="20.25" customHeight="1" spans="1:18" s="3" customFormat="1" x14ac:dyDescent="0.25">
      <c r="A4" s="204" t="s">
        <v>55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</row>
    <row r="5" ht="4.5" customHeight="1" x14ac:dyDescent="0.25"/>
    <row r="6" ht="17.45" customHeight="1" spans="1:18" x14ac:dyDescent="0.25">
      <c r="A6" s="205" t="s">
        <v>56</v>
      </c>
      <c r="B6" s="205" t="str">
        <f>'Final Work'!모선이름</f>
        <v>SAWASDEE ATLANTIC</v>
      </c>
      <c r="H6" s="187" t="s">
        <v>57</v>
      </c>
      <c r="I6" s="187"/>
      <c r="J6" s="187" t="str">
        <f>'OS-IN'!H6</f>
        <v>2606N</v>
      </c>
      <c r="K6" s="187"/>
      <c r="O6" s="205" t="s">
        <v>58</v>
      </c>
      <c r="P6" s="256">
        <f>'OS-IN'!L6</f>
        <v>46225</v>
      </c>
      <c r="Q6" s="256"/>
      <c r="R6" s="256"/>
    </row>
    <row r="7" ht="11.25" customHeight="1" x14ac:dyDescent="0.25"/>
    <row r="8" ht="17.45" customHeight="1" spans="1:18" x14ac:dyDescent="0.25">
      <c r="A8" s="205" t="s">
        <v>59</v>
      </c>
      <c r="B8" s="205" t="s">
        <v>25</v>
      </c>
      <c r="C8" s="205"/>
      <c r="D8" s="205"/>
      <c r="E8" s="205"/>
      <c r="H8" s="187" t="s">
        <v>60</v>
      </c>
      <c r="I8" s="187"/>
      <c r="J8" s="187" t="s">
        <v>61</v>
      </c>
      <c r="K8" s="187"/>
      <c r="O8" s="205" t="s">
        <v>62</v>
      </c>
      <c r="P8" s="187">
        <f>'Final Work'!작업선석</f>
        <v>6</v>
      </c>
      <c r="Q8" s="187"/>
      <c r="R8" s="187"/>
    </row>
    <row r="9" ht="6.75" customHeight="1" x14ac:dyDescent="0.25"/>
    <row r="10" ht="12" customHeight="1" spans="1:18" x14ac:dyDescent="0.25">
      <c r="A10" s="206" t="s">
        <v>11</v>
      </c>
      <c r="B10" s="206" t="s">
        <v>41</v>
      </c>
      <c r="C10" s="257" t="s">
        <v>63</v>
      </c>
      <c r="D10" s="201"/>
      <c r="E10" s="258"/>
      <c r="F10" s="206" t="s">
        <v>64</v>
      </c>
      <c r="G10" s="206"/>
      <c r="H10" s="206"/>
      <c r="I10" s="206"/>
      <c r="J10" s="209" t="s">
        <v>65</v>
      </c>
      <c r="K10" s="206" t="s">
        <v>66</v>
      </c>
      <c r="L10" s="206" t="s">
        <v>67</v>
      </c>
      <c r="M10" s="206"/>
      <c r="N10" s="206"/>
      <c r="O10" s="206"/>
      <c r="P10" s="206"/>
      <c r="Q10" s="206"/>
      <c r="R10" s="206"/>
    </row>
    <row r="11" ht="12" customHeight="1" spans="1:18" x14ac:dyDescent="0.25">
      <c r="A11" s="210"/>
      <c r="B11" s="210"/>
      <c r="C11" s="259"/>
      <c r="D11" s="260"/>
      <c r="E11" s="261"/>
      <c r="F11" s="210"/>
      <c r="G11" s="210"/>
      <c r="H11" s="210"/>
      <c r="I11" s="210"/>
      <c r="J11" s="213" t="s">
        <v>50</v>
      </c>
      <c r="K11" s="210"/>
      <c r="L11" s="210"/>
      <c r="M11" s="210"/>
      <c r="N11" s="210"/>
      <c r="O11" s="210"/>
      <c r="P11" s="210"/>
      <c r="Q11" s="210"/>
      <c r="R11" s="210"/>
    </row>
    <row r="12" ht="19.15" customHeight="1" spans="1:18" s="3" customFormat="1" x14ac:dyDescent="0.25">
      <c r="A12" s="51" t="s">
        <v>68</v>
      </c>
      <c r="B12" s="51" t="s">
        <v>69</v>
      </c>
      <c r="C12" s="215" t="s">
        <v>70</v>
      </c>
      <c r="D12" s="262"/>
      <c r="E12" s="263"/>
      <c r="F12" s="215" t="s">
        <v>71</v>
      </c>
      <c r="G12" s="262"/>
      <c r="H12" s="262"/>
      <c r="I12" s="263"/>
      <c r="J12" s="51">
        <v>1</v>
      </c>
      <c r="K12" s="51" t="s">
        <v>52</v>
      </c>
      <c r="L12" s="264" t="s">
        <v>72</v>
      </c>
      <c r="M12" s="265"/>
      <c r="N12" s="265"/>
      <c r="O12" s="265"/>
      <c r="P12" s="265"/>
      <c r="Q12" s="265"/>
      <c r="R12" s="266"/>
    </row>
    <row r="13" ht="19.15" customHeight="1" spans="1:18" s="3" customFormat="1" x14ac:dyDescent="0.25">
      <c r="A13" s="267" t="s">
        <v>73</v>
      </c>
      <c r="B13" s="267" t="s">
        <v>69</v>
      </c>
      <c r="C13" s="167" t="s">
        <v>74</v>
      </c>
      <c r="D13" s="268"/>
      <c r="E13" s="199"/>
      <c r="F13" s="167" t="s">
        <v>75</v>
      </c>
      <c r="G13" s="268"/>
      <c r="H13" s="268"/>
      <c r="I13" s="199"/>
      <c r="J13" s="267">
        <v>1</v>
      </c>
      <c r="K13" s="267" t="s">
        <v>52</v>
      </c>
      <c r="L13" s="180" t="s">
        <v>76</v>
      </c>
      <c r="M13" s="181"/>
      <c r="N13" s="181"/>
      <c r="O13" s="181"/>
      <c r="P13" s="181"/>
      <c r="Q13" s="181"/>
      <c r="R13" s="182"/>
    </row>
    <row r="14" ht="19.15" customHeight="1" spans="1:18" s="3" customFormat="1" x14ac:dyDescent="0.25">
      <c r="A14" s="267"/>
      <c r="B14" s="267"/>
      <c r="C14" s="167"/>
      <c r="D14" s="268"/>
      <c r="E14" s="199"/>
      <c r="F14" s="167"/>
      <c r="G14" s="268"/>
      <c r="H14" s="268"/>
      <c r="I14" s="199"/>
      <c r="J14" s="267"/>
      <c r="K14" s="267"/>
      <c r="L14" s="269"/>
      <c r="M14" s="269"/>
      <c r="N14" s="269"/>
      <c r="O14" s="269"/>
      <c r="P14" s="269"/>
      <c r="Q14" s="269"/>
      <c r="R14" s="269"/>
    </row>
    <row r="15" ht="19.15" customHeight="1" spans="1:18" s="3" customFormat="1" x14ac:dyDescent="0.25">
      <c r="A15" s="267"/>
      <c r="B15" s="267"/>
      <c r="C15" s="167"/>
      <c r="D15" s="268"/>
      <c r="E15" s="199"/>
      <c r="F15" s="167"/>
      <c r="G15" s="268"/>
      <c r="H15" s="268"/>
      <c r="I15" s="199"/>
      <c r="J15" s="267"/>
      <c r="K15" s="267"/>
      <c r="L15" s="269"/>
      <c r="M15" s="269"/>
      <c r="N15" s="269"/>
      <c r="O15" s="269"/>
      <c r="P15" s="269"/>
      <c r="Q15" s="269"/>
      <c r="R15" s="269"/>
    </row>
    <row r="16" ht="19.15" customHeight="1" spans="1:18" s="3" customFormat="1" x14ac:dyDescent="0.25">
      <c r="A16" s="267"/>
      <c r="B16" s="267"/>
      <c r="C16" s="167"/>
      <c r="D16" s="268"/>
      <c r="E16" s="199"/>
      <c r="F16" s="167"/>
      <c r="G16" s="268"/>
      <c r="H16" s="268"/>
      <c r="I16" s="199"/>
      <c r="J16" s="267"/>
      <c r="K16" s="267"/>
      <c r="L16" s="269"/>
      <c r="M16" s="269"/>
      <c r="N16" s="269"/>
      <c r="O16" s="269"/>
      <c r="P16" s="269"/>
      <c r="Q16" s="269"/>
      <c r="R16" s="269"/>
    </row>
    <row r="17" ht="19.15" customHeight="1" spans="1:18" s="3" customFormat="1" x14ac:dyDescent="0.25">
      <c r="A17" s="267"/>
      <c r="B17" s="267"/>
      <c r="C17" s="167"/>
      <c r="D17" s="268"/>
      <c r="E17" s="199"/>
      <c r="F17" s="167"/>
      <c r="G17" s="268"/>
      <c r="H17" s="268"/>
      <c r="I17" s="199"/>
      <c r="J17" s="267"/>
      <c r="K17" s="267"/>
      <c r="L17" s="269"/>
      <c r="M17" s="269"/>
      <c r="N17" s="269"/>
      <c r="O17" s="269"/>
      <c r="P17" s="269"/>
      <c r="Q17" s="269"/>
      <c r="R17" s="269"/>
    </row>
    <row r="18" ht="19.15" customHeight="1" spans="1:18" s="3" customFormat="1" x14ac:dyDescent="0.25">
      <c r="A18" s="267"/>
      <c r="B18" s="267"/>
      <c r="C18" s="167"/>
      <c r="D18" s="268"/>
      <c r="E18" s="199"/>
      <c r="F18" s="167"/>
      <c r="G18" s="268"/>
      <c r="H18" s="268"/>
      <c r="I18" s="199"/>
      <c r="J18" s="267"/>
      <c r="K18" s="267"/>
      <c r="L18" s="269"/>
      <c r="M18" s="269"/>
      <c r="N18" s="269"/>
      <c r="O18" s="269"/>
      <c r="P18" s="269"/>
      <c r="Q18" s="269"/>
      <c r="R18" s="269"/>
    </row>
    <row r="19" ht="19.15" customHeight="1" spans="1:18" s="3" customFormat="1" x14ac:dyDescent="0.25">
      <c r="A19" s="267"/>
      <c r="B19" s="267"/>
      <c r="C19" s="167"/>
      <c r="D19" s="268"/>
      <c r="E19" s="199"/>
      <c r="F19" s="167"/>
      <c r="G19" s="268"/>
      <c r="H19" s="268"/>
      <c r="I19" s="199"/>
      <c r="J19" s="267"/>
      <c r="K19" s="267"/>
      <c r="L19" s="269"/>
      <c r="M19" s="269"/>
      <c r="N19" s="269"/>
      <c r="O19" s="269"/>
      <c r="P19" s="269"/>
      <c r="Q19" s="269"/>
      <c r="R19" s="269"/>
    </row>
    <row r="20" ht="19.15" customHeight="1" spans="1:18" s="3" customFormat="1" x14ac:dyDescent="0.25">
      <c r="A20" s="267"/>
      <c r="B20" s="267"/>
      <c r="C20" s="167"/>
      <c r="D20" s="268"/>
      <c r="E20" s="199"/>
      <c r="F20" s="167"/>
      <c r="G20" s="268"/>
      <c r="H20" s="268"/>
      <c r="I20" s="199"/>
      <c r="J20" s="267"/>
      <c r="K20" s="267"/>
      <c r="L20" s="269"/>
      <c r="M20" s="269"/>
      <c r="N20" s="269"/>
      <c r="O20" s="269"/>
      <c r="P20" s="269"/>
      <c r="Q20" s="269"/>
      <c r="R20" s="269"/>
    </row>
    <row r="21" ht="19.15" customHeight="1" spans="1:18" s="3" customFormat="1" x14ac:dyDescent="0.25">
      <c r="A21" s="267"/>
      <c r="B21" s="267"/>
      <c r="C21" s="167"/>
      <c r="D21" s="268"/>
      <c r="E21" s="199"/>
      <c r="F21" s="167"/>
      <c r="G21" s="268"/>
      <c r="H21" s="268"/>
      <c r="I21" s="199"/>
      <c r="J21" s="267"/>
      <c r="K21" s="267"/>
      <c r="L21" s="269"/>
      <c r="M21" s="269"/>
      <c r="N21" s="269"/>
      <c r="O21" s="269"/>
      <c r="P21" s="269"/>
      <c r="Q21" s="269"/>
      <c r="R21" s="269"/>
    </row>
    <row r="22" ht="19.15" customHeight="1" spans="1:18" s="3" customFormat="1" x14ac:dyDescent="0.25">
      <c r="A22" s="267"/>
      <c r="B22" s="267"/>
      <c r="C22" s="167"/>
      <c r="D22" s="268"/>
      <c r="E22" s="199"/>
      <c r="F22" s="167"/>
      <c r="G22" s="268"/>
      <c r="H22" s="268"/>
      <c r="I22" s="199"/>
      <c r="J22" s="267"/>
      <c r="K22" s="267"/>
      <c r="L22" s="269"/>
      <c r="M22" s="269"/>
      <c r="N22" s="269"/>
      <c r="O22" s="269"/>
      <c r="P22" s="269"/>
      <c r="Q22" s="269"/>
      <c r="R22" s="269"/>
    </row>
    <row r="23" ht="19.15" customHeight="1" spans="1:18" s="3" customFormat="1" x14ac:dyDescent="0.25">
      <c r="A23" s="267"/>
      <c r="B23" s="267"/>
      <c r="C23" s="167"/>
      <c r="D23" s="268"/>
      <c r="E23" s="199"/>
      <c r="F23" s="167"/>
      <c r="G23" s="268"/>
      <c r="H23" s="268"/>
      <c r="I23" s="199"/>
      <c r="J23" s="267"/>
      <c r="K23" s="267"/>
      <c r="L23" s="269"/>
      <c r="M23" s="269"/>
      <c r="N23" s="269"/>
      <c r="O23" s="269"/>
      <c r="P23" s="269"/>
      <c r="Q23" s="269"/>
      <c r="R23" s="269"/>
    </row>
    <row r="24" ht="19.15" customHeight="1" spans="1:18" s="3" customFormat="1" x14ac:dyDescent="0.25">
      <c r="A24" s="267"/>
      <c r="B24" s="267"/>
      <c r="C24" s="167"/>
      <c r="D24" s="268"/>
      <c r="E24" s="199"/>
      <c r="F24" s="167"/>
      <c r="G24" s="268"/>
      <c r="H24" s="268"/>
      <c r="I24" s="199"/>
      <c r="J24" s="267"/>
      <c r="K24" s="267"/>
      <c r="L24" s="269"/>
      <c r="M24" s="269"/>
      <c r="N24" s="269"/>
      <c r="O24" s="269"/>
      <c r="P24" s="269"/>
      <c r="Q24" s="269"/>
      <c r="R24" s="269"/>
    </row>
    <row r="25" ht="19.15" customHeight="1" spans="1:18" s="3" customFormat="1" x14ac:dyDescent="0.25">
      <c r="A25" s="267"/>
      <c r="B25" s="267"/>
      <c r="C25" s="167"/>
      <c r="D25" s="268"/>
      <c r="E25" s="199"/>
      <c r="F25" s="167"/>
      <c r="G25" s="268"/>
      <c r="H25" s="268"/>
      <c r="I25" s="199"/>
      <c r="J25" s="267"/>
      <c r="K25" s="267"/>
      <c r="L25" s="269"/>
      <c r="M25" s="269"/>
      <c r="N25" s="269"/>
      <c r="O25" s="269"/>
      <c r="P25" s="269"/>
      <c r="Q25" s="269"/>
      <c r="R25" s="269"/>
    </row>
    <row r="26" ht="19.15" customHeight="1" spans="1:18" s="3" customFormat="1" x14ac:dyDescent="0.25">
      <c r="A26" s="267"/>
      <c r="B26" s="267"/>
      <c r="C26" s="167"/>
      <c r="D26" s="268"/>
      <c r="E26" s="199"/>
      <c r="F26" s="167"/>
      <c r="G26" s="268"/>
      <c r="H26" s="268"/>
      <c r="I26" s="199"/>
      <c r="J26" s="267"/>
      <c r="K26" s="267"/>
      <c r="L26" s="269"/>
      <c r="M26" s="269"/>
      <c r="N26" s="269"/>
      <c r="O26" s="269"/>
      <c r="P26" s="269"/>
      <c r="Q26" s="269"/>
      <c r="R26" s="269"/>
    </row>
    <row r="27" ht="19.15" customHeight="1" spans="1:18" s="3" customFormat="1" x14ac:dyDescent="0.25">
      <c r="A27" s="267"/>
      <c r="B27" s="267"/>
      <c r="C27" s="167"/>
      <c r="D27" s="268"/>
      <c r="E27" s="199"/>
      <c r="F27" s="167"/>
      <c r="G27" s="268"/>
      <c r="H27" s="268"/>
      <c r="I27" s="199"/>
      <c r="J27" s="267"/>
      <c r="K27" s="267"/>
      <c r="L27" s="269"/>
      <c r="M27" s="269"/>
      <c r="N27" s="269"/>
      <c r="O27" s="269"/>
      <c r="P27" s="269"/>
      <c r="Q27" s="269"/>
      <c r="R27" s="269"/>
    </row>
    <row r="28" ht="19.15" customHeight="1" spans="1:18" s="3" customFormat="1" x14ac:dyDescent="0.25">
      <c r="A28" s="267"/>
      <c r="B28" s="267"/>
      <c r="C28" s="167"/>
      <c r="D28" s="268"/>
      <c r="E28" s="199"/>
      <c r="F28" s="167"/>
      <c r="G28" s="268"/>
      <c r="H28" s="268"/>
      <c r="I28" s="199"/>
      <c r="J28" s="267"/>
      <c r="K28" s="267"/>
      <c r="L28" s="269"/>
      <c r="M28" s="269"/>
      <c r="N28" s="269"/>
      <c r="O28" s="269"/>
      <c r="P28" s="269"/>
      <c r="Q28" s="269"/>
      <c r="R28" s="269"/>
    </row>
    <row r="31" ht="15" customHeight="1" spans="1:18" s="3" customFormat="1" x14ac:dyDescent="0.25">
      <c r="A31" s="200"/>
      <c r="B31" s="200"/>
      <c r="C31" s="200"/>
      <c r="D31" s="200"/>
      <c r="F31" s="3"/>
      <c r="G31" s="3"/>
      <c r="H31" s="3"/>
      <c r="I31" s="200"/>
      <c r="J31" s="200"/>
      <c r="K31" s="200"/>
      <c r="O31" s="200"/>
      <c r="P31" s="200"/>
      <c r="Q31" s="200"/>
      <c r="R31" s="200"/>
    </row>
    <row r="32" spans="1:18" s="3" customFormat="1" x14ac:dyDescent="0.25">
      <c r="A32" s="201" t="s">
        <v>22</v>
      </c>
      <c r="B32" s="201"/>
      <c r="C32" s="201"/>
      <c r="D32" s="201"/>
      <c r="F32" s="3"/>
      <c r="G32" s="3"/>
      <c r="I32" s="201" t="s">
        <v>54</v>
      </c>
      <c r="J32" s="201"/>
      <c r="K32" s="201"/>
      <c r="O32" s="201" t="s">
        <v>23</v>
      </c>
      <c r="P32" s="201"/>
      <c r="Q32" s="201"/>
      <c r="R32" s="201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4330708661417323" right="0.35433070866141736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2026-07-22T04:33:16Z</cp:lastPrinted>
  <dcterms:created xsi:type="dcterms:W3CDTF">2016-08-02T06:12:57Z</dcterms:created>
  <dcterms:modified xsi:type="dcterms:W3CDTF">2026-07-22T04:35:32Z</dcterms:modified>
</cp:coreProperties>
</file>