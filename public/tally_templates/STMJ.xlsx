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17" name="OS-OUT" state="visible" r:id="rId8"/>
    <sheet sheetId="11" name="DM-OUT" state="visible" r:id="rId9"/>
    <sheet sheetId="16" name="DAMAGE-EACH" state="visible" r:id="rId10"/>
    <sheet sheetId="9" name="Act. Cntr-Seal No List" state="visible" r:id="rId11"/>
    <sheet sheetId="10" name="RF Condition Report" state="visible" r:id="rId12"/>
    <sheet sheetId="19" name="SHIFTING" state="hidden" r:id="rId13"/>
  </sheets>
  <definedNames>
    <definedName name="A">$H$6:$BD$38</definedName>
    <definedName name="AAA">$H$6:$BD$38</definedName>
    <definedName name="AAAA">$H$6:$BD$38</definedName>
    <definedName name="B">$H$6:$BD$38</definedName>
    <definedName name="bbb">$H$6:$BD$38</definedName>
    <definedName name="bbbcc">$H$6:$BD$38</definedName>
    <definedName name="BOOK">$H$6:$BD$38</definedName>
    <definedName name="BOOK1">$H$6:$BD$38</definedName>
    <definedName name="DD">$H$6:$BD$38</definedName>
    <definedName name="DFT">$H$6:$BD$38</definedName>
    <definedName name="f">$H$6:$BD$38</definedName>
    <definedName name="FFF">$H$6:$BD$38</definedName>
    <definedName name="HTML_Control">$H$6:$BD$38</definedName>
    <definedName name="QW">$H$6:$BD$38</definedName>
    <definedName name="S">$H$6:$BD$38</definedName>
    <definedName name="SSS">$H$6:$BD$38</definedName>
    <definedName name="XC">$H$6:$BD$38</definedName>
    <definedName name="냉동">$H$6:$BD$38</definedName>
    <definedName name="냉동2">$H$6:$BD$38</definedName>
    <definedName name="모선이름">'Time Sheet'!$B$6</definedName>
    <definedName name="선적종료일">'Time Sheet'!$H$6</definedName>
    <definedName name="양하종료일">'RF Condition Report'!$H$7</definedName>
    <definedName name="양하항차">'RF Condition Report'!$E$7</definedName>
    <definedName name="작업선석">'Time Sheet'!$D$8</definedName>
    <definedName name="작업항차">'Time Sheet'!$D$6</definedName>
    <definedName name="_xlnm.Print_Area" localSheetId="1">'Time Sheet'!$ANaN:$HNaN</definedName>
  </definedNames>
  <calcPr calcId="171027"/>
</workbook>
</file>

<file path=xl/sharedStrings.xml><?xml version="1.0" encoding="utf-8"?>
<sst xmlns="http://schemas.openxmlformats.org/spreadsheetml/2006/main" count="693" uniqueCount="220">
  <si>
    <t xml:space="preserve">GREEN  MARINE  CO.,  LTD.  </t>
  </si>
  <si>
    <t>FINAL  WORKING  REPORT (VOUCHER)</t>
  </si>
  <si>
    <t>M / V :</t>
  </si>
  <si>
    <t>SITC MOJI</t>
  </si>
  <si>
    <t>VOY # :</t>
  </si>
  <si>
    <t>DATE :</t>
  </si>
  <si>
    <t>PIER 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</si>
  <si>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</si>
  <si>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</si>
  <si>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</si>
  <si>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</si>
  <si>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</si>
  <si>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</si>
  <si>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</si>
  <si>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</si>
  <si>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</si>
  <si>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</si>
  <si>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</si>
  <si>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</si>
  <si>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</si>
  <si>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</si>
  <si>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</si>
  <si>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</si>
  <si>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</si>
  <si>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</si>
  <si>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</si>
  <si>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</si>
  <si>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</si>
  <si>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</si>
  <si>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</si>
  <si>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</si>
  <si>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</si>
  <si>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</si>
  <si>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</si>
  <si>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21st</t>
  </si>
  <si>
    <t>22nd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</si>
  <si>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</si>
  <si>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</si>
  <si>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</si>
  <si>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</si>
  <si>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</si>
  <si>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</si>
  <si>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</si>
  <si>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</si>
  <si>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</si>
  <si>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</si>
  <si>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</si>
  <si>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</si>
  <si>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</si>
  <si>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</si>
  <si>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</si>
  <si>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</si>
  <si>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</si>
  <si>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</si>
  <si>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</si>
  <si>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</si>
  <si>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</si>
  <si>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</si>
  <si>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</si>
  <si>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</si>
  <si>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2639E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</si>
  <si>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</si>
  <si>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</si>
  <si>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</si>
  <si>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</si>
  <si>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</si>
  <si>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</si>
  <si>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</si>
  <si>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</si>
  <si>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</si>
  <si>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</si>
  <si>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TAO</t>
  </si>
  <si>
    <t>SIT</t>
  </si>
  <si>
    <t>FBIU5201557</t>
  </si>
  <si>
    <t>40' FULL CONT'R</t>
  </si>
  <si>
    <t>R/SIDE TOP RAIL 1 POINT PUSHED IN ( 60 x 30 x 10 )</t>
  </si>
  <si>
    <t>SKR</t>
  </si>
  <si>
    <t>SKHU6432073</t>
  </si>
  <si>
    <t>L/SIDE PANEL 1 POINT DENTED ( 80 x 120 x 20 )</t>
  </si>
  <si>
    <t>HLHU8207222</t>
  </si>
  <si>
    <t>L/SIDE PANEL 1 POINT PUSHED IN ( 90 x 100 x 20 )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</si>
  <si>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</si>
  <si>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</si>
  <si>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</si>
  <si>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2640W</t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</si>
  <si>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</si>
  <si>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</si>
  <si>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</si>
  <si>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</si>
  <si>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</si>
  <si>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t>VOY. NO. :</t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</si>
  <si>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</si>
  <si>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</si>
  <si>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</si>
  <si>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t>FULL</t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</si>
  <si>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</si>
  <si>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OPERATOR      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</si>
  <si>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</si>
  <si>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</si>
  <si>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>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</si>
  <si>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</si>
  <si>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</si>
  <si>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</si>
  <si>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</si>
  <si>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</si>
  <si>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</si>
  <si>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</si>
  <si>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</si>
  <si>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</si>
  <si>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</si>
  <si>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</si>
  <si>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</si>
  <si>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</si>
  <si>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</si>
  <si>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</si>
  <si>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</si>
  <si>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</si>
  <si>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</si>
  <si>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</si>
  <si>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</si>
  <si>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</si>
  <si>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</si>
  <si>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</si>
  <si>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</si>
  <si>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</si>
  <si>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</si>
  <si>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</si>
  <si>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( Prior To Load )</t>
  </si>
  <si>
    <t>-NIL-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</si>
  <si>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</si>
  <si>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</si>
  <si>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</si>
  <si>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</si>
  <si>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</si>
  <si>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</si>
  <si>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</si>
  <si>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</si>
  <si>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</si>
  <si>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</si>
  <si>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</si>
  <si>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</si>
  <si>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</si>
  <si>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</si>
  <si>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</si>
  <si>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40FT</t>
  </si>
  <si>
    <t>TOTAL</t>
  </si>
  <si>
    <t>LOAD.</t>
  </si>
  <si>
    <t>REEFER  CONTAINER  CONDITION  REPORT</t>
  </si>
  <si>
    <t>Disharging  /  Loading</t>
  </si>
  <si>
    <t>( 1/2 )</t>
  </si>
  <si>
    <t>M / V : SITC MOJI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</si>
  <si>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</si>
  <si>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</si>
  <si>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</si>
  <si>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</si>
  <si>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</si>
  <si>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</si>
  <si>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</si>
  <si>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</si>
  <si>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</si>
  <si>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</si>
  <si>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CHEKER</t>
  </si>
  <si>
    <t>( 2/2 )</t>
  </si>
  <si>
    <t>FSCU5909362</t>
  </si>
  <si>
    <t>40'RH</t>
  </si>
  <si>
    <t>SEKU9238734</t>
  </si>
  <si>
    <t>"</t>
  </si>
  <si>
    <t>SEKU9240855</t>
  </si>
  <si>
    <t>SITU4914640</t>
  </si>
  <si>
    <t>SITU4914819</t>
  </si>
  <si>
    <t>SITU4921891</t>
  </si>
  <si>
    <t>SKRU6504018</t>
  </si>
  <si>
    <t>SKRU6506793</t>
  </si>
  <si>
    <t>SKRU9100180</t>
  </si>
  <si>
    <t>SKRU9100935</t>
  </si>
  <si>
    <t>SKRU9101530</t>
  </si>
  <si>
    <t>SKRU9300888</t>
  </si>
  <si>
    <t>SKRU9400803</t>
  </si>
  <si>
    <t>SKRU9501408</t>
  </si>
  <si>
    <t>SKRU9501877</t>
  </si>
  <si>
    <t>SKRU9901045</t>
  </si>
  <si>
    <t>SKRU9903449</t>
  </si>
  <si>
    <t>SKRU9906561</t>
  </si>
  <si>
    <t>SKRU9907589</t>
  </si>
  <si>
    <t>SKRU9909030</t>
  </si>
  <si>
    <t>SZLU5014714</t>
  </si>
  <si>
    <t>SZLU5017061</t>
  </si>
  <si>
    <t>SZLU9456334</t>
  </si>
  <si>
    <t>TLLU7054643</t>
  </si>
  <si>
    <t>TLLU7062470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</si>
  <si>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</si>
  <si>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</si>
  <si>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</si>
  <si>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</si>
  <si>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</si>
  <si>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</si>
  <si>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</si>
  <si>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SEKU9004757</t>
  </si>
  <si>
    <t>20'RF</t>
  </si>
  <si>
    <t>05 : 00 HRS</t>
  </si>
  <si>
    <t>TAO - SKR</t>
  </si>
  <si>
    <t>SHIFTING REPORT</t>
  </si>
  <si>
    <t>M.V. :  SITC SENDAI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</si>
  <si>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2571E/2572W</t>
    </r>
  </si>
  <si>
    <t>DATE : 2025-12-31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</si>
  <si>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</si>
  <si>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</si>
  <si>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</si>
  <si>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</si>
  <si>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</si>
  <si>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</si>
  <si>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</si>
  <si>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</si>
  <si>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</si>
  <si>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</si>
  <si>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</si>
  <si>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</si>
  <si>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SHIFT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</si>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</sst>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:mm&quot; HRS&quot;"/>
    <numFmt numFmtId="169" formatCode="0.0"/>
    <numFmt numFmtId="170" formatCode="000000"/>
    <numFmt numFmtId="171" formatCode="#,##0_ "/>
  </numFmts>
  <fonts count="4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indexed="8"/>
      <family val="3"/>
      <scheme val="minor"/>
      <sz val="10"/>
      <name val="맑은 고딕"/>
    </font>
    <font>
      <family val="2"/>
      <sz val="10"/>
      <name val="Arial"/>
    </font>
    <font>
      <color indexed="8"/>
      <family val="2"/>
      <sz val="10"/>
      <name val="Arial"/>
    </font>
    <font>
      <charset val="129"/>
      <color theme="1"/>
      <family val="3"/>
      <scheme val="minor"/>
      <sz val="10"/>
      <name val="맑은 고딕"/>
    </font>
    <font>
      <color rgb="FF000000"/>
      <family val="2"/>
      <sz val="10"/>
      <name val="Arial"/>
    </font>
    <font>
      <charset val="129"/>
      <color indexed="8"/>
      <family val="3"/>
      <scheme val="minor"/>
      <sz val="9"/>
      <name val="맑은 고딕"/>
    </font>
    <font>
      <color theme="1"/>
      <family val="2"/>
      <sz val="10"/>
      <name val="Arial"/>
    </font>
    <font>
      <color theme="1"/>
      <family val="2"/>
      <sz val="9"/>
      <name val="Arial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63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164" fontId="7" fillId="0" borderId="59" xfId="0" applyNumberFormat="1" applyFont="1" applyBorder="1" applyAlignment="1">
      <alignment horizontal="center" vertical="center" shrinkToFit="1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164" fontId="7" fillId="0" borderId="65" xfId="0" applyNumberFormat="1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wrapText="1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 shrinkToFit="1"/>
    </xf>
    <xf numFmtId="164" fontId="7" fillId="0" borderId="76" xfId="0" applyNumberFormat="1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164" fontId="7" fillId="0" borderId="93" xfId="0" applyNumberFormat="1" applyFont="1" applyBorder="1" applyAlignment="1">
      <alignment horizontal="left" vertical="center" wrapText="1" shrinkToFit="1"/>
    </xf>
    <xf numFmtId="164" fontId="7" fillId="0" borderId="94" xfId="0" applyNumberFormat="1" applyFont="1" applyBorder="1" applyAlignment="1">
      <alignment horizontal="left" vertical="center" wrapText="1" shrinkToFit="1"/>
    </xf>
    <xf numFmtId="164" fontId="7" fillId="0" borderId="95" xfId="0" applyNumberFormat="1" applyFont="1" applyBorder="1" applyAlignment="1">
      <alignment horizontal="left" vertical="center" wrapText="1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6" xfId="0" applyNumberFormat="1" applyFont="1" applyBorder="1" applyAlignment="1">
      <alignment horizontal="left" vertical="center" shrinkToFit="1" indent="2"/>
    </xf>
    <xf numFmtId="164" fontId="7" fillId="0" borderId="0" xfId="0" applyNumberFormat="1" applyFont="1" applyAlignment="1">
      <alignment horizontal="left" vertical="center" shrinkToFit="1" indent="2"/>
    </xf>
    <xf numFmtId="164" fontId="7" fillId="0" borderId="67" xfId="0" applyNumberFormat="1" applyFont="1" applyBorder="1" applyAlignment="1">
      <alignment horizontal="left" vertical="center" shrinkToFit="1" indent="2"/>
    </xf>
    <xf numFmtId="164" fontId="7" fillId="0" borderId="97" xfId="0" applyNumberFormat="1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164" fontId="7" fillId="0" borderId="56" xfId="0" applyNumberFormat="1" applyFont="1" applyBorder="1" applyAlignment="1">
      <alignment horizontal="center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0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3" xfId="0" applyFont="1" applyBorder="1" applyAlignment="1">
      <alignment horizontal="left" vertical="center" indent="1"/>
    </xf>
    <xf numFmtId="166" fontId="7" fillId="0" borderId="89" xfId="0" applyNumberFormat="1" applyFont="1" applyBorder="1" applyAlignment="1">
      <alignment horizontal="center" vertical="center"/>
    </xf>
    <xf numFmtId="20" fontId="7" fillId="0" borderId="92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166" fontId="7" fillId="0" borderId="45" xfId="0" applyNumberFormat="1" applyFont="1" applyBorder="1" applyAlignment="1">
      <alignment horizontal="center" vertical="center"/>
    </xf>
    <xf numFmtId="20" fontId="7" fillId="0" borderId="35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indent="1"/>
    </xf>
    <xf numFmtId="166" fontId="7" fillId="0" borderId="1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horizontal="center" vertical="center"/>
    </xf>
    <xf numFmtId="166" fontId="7" fillId="0" borderId="104" xfId="0" applyNumberFormat="1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88" xfId="0" applyFont="1" applyBorder="1" applyAlignment="1">
      <alignment horizontal="left" vertical="center" indent="1"/>
    </xf>
    <xf numFmtId="0" fontId="7" fillId="0" borderId="45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5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164" fontId="5" fillId="0" borderId="83" xfId="0" applyNumberFormat="1" applyFont="1" applyBorder="1" applyAlignment="1">
      <alignment horizontal="center" vertical="center" wrapText="1" shrinkToFit="1"/>
    </xf>
    <xf numFmtId="164" fontId="5" fillId="0" borderId="82" xfId="0" applyNumberFormat="1" applyFont="1" applyBorder="1" applyAlignment="1">
      <alignment horizontal="center" vertical="center" wrapText="1" shrinkToFit="1"/>
    </xf>
    <xf numFmtId="0" fontId="10" fillId="0" borderId="82" xfId="0" applyFont="1" applyBorder="1" applyAlignment="1">
      <alignment vertical="center" shrinkToFit="1"/>
    </xf>
    <xf numFmtId="0" fontId="5" fillId="0" borderId="10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103" xfId="0" applyNumberFormat="1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 wrapText="1" shrinkToFit="1"/>
    </xf>
    <xf numFmtId="164" fontId="12" fillId="0" borderId="10" xfId="0" applyNumberFormat="1" applyFont="1" applyBorder="1" applyAlignment="1">
      <alignment horizontal="center" vertical="center" wrapText="1" shrinkToFit="1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03" xfId="0" applyFont="1" applyBorder="1" applyAlignment="1">
      <alignment horizontal="left" vertical="center" shrinkToFit="1" indent="1"/>
    </xf>
    <xf numFmtId="0" fontId="5" fillId="0" borderId="33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164" fontId="5" fillId="0" borderId="45" xfId="0" applyNumberFormat="1" applyFont="1" applyBorder="1" applyAlignment="1">
      <alignment horizontal="center" vertical="center" wrapText="1" shrinkToFit="1"/>
    </xf>
    <xf numFmtId="164" fontId="5" fillId="0" borderId="35" xfId="0" applyNumberFormat="1" applyFont="1" applyBorder="1" applyAlignment="1">
      <alignment horizontal="center" vertical="center" wrapText="1" shrinkToFit="1"/>
    </xf>
    <xf numFmtId="164" fontId="5" fillId="0" borderId="32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left" vertical="center"/>
    </xf>
    <xf numFmtId="0" fontId="13" fillId="0" borderId="98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7" fillId="0" borderId="6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5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1" fillId="0" borderId="102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0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7" fillId="0" borderId="8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7" fillId="0" borderId="32" xfId="0" applyFont="1" applyBorder="1" applyAlignment="1">
      <alignment horizontal="left" vertical="center" shrinkToFit="1"/>
    </xf>
    <xf numFmtId="164" fontId="5" fillId="0" borderId="43" xfId="0" applyNumberFormat="1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/>
    </xf>
    <xf numFmtId="0" fontId="5" fillId="0" borderId="103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horizontal="left" vertical="center" shrinkToFit="1"/>
    </xf>
    <xf numFmtId="0" fontId="5" fillId="0" borderId="32" xfId="0" applyFont="1" applyBorder="1" applyAlignment="1">
      <alignment vertical="center"/>
    </xf>
    <xf numFmtId="0" fontId="12" fillId="0" borderId="45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64" fontId="12" fillId="0" borderId="32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02" xfId="0" applyFont="1" applyBorder="1"/>
    <xf numFmtId="0" fontId="7" fillId="0" borderId="98" xfId="0" applyFont="1" applyBorder="1"/>
    <xf numFmtId="0" fontId="7" fillId="0" borderId="105" xfId="0" applyFont="1" applyBorder="1"/>
    <xf numFmtId="0" fontId="7" fillId="0" borderId="65" xfId="0" applyFont="1" applyBorder="1"/>
    <xf numFmtId="0" fontId="7" fillId="0" borderId="68" xfId="0" applyFont="1" applyBorder="1"/>
    <xf numFmtId="0" fontId="7" fillId="0" borderId="45" xfId="0" applyFont="1" applyBorder="1"/>
    <xf numFmtId="0" fontId="7" fillId="0" borderId="33" xfId="0" applyFont="1" applyBorder="1"/>
    <xf numFmtId="0" fontId="7" fillId="0" borderId="35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06" xfId="0" applyFont="1" applyBorder="1" applyAlignment="1">
      <alignment vertical="center"/>
    </xf>
    <xf numFmtId="0" fontId="5" fillId="0" borderId="106" xfId="0" applyFont="1" applyBorder="1" applyAlignment="1">
      <alignment vertical="center"/>
    </xf>
    <xf numFmtId="0" fontId="7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horizontal="left" vertical="center" indent="5"/>
    </xf>
    <xf numFmtId="0" fontId="13" fillId="0" borderId="33" xfId="0" applyFont="1" applyBorder="1" applyAlignment="1">
      <alignment vertical="top"/>
    </xf>
    <xf numFmtId="0" fontId="10" fillId="0" borderId="10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98" xfId="0" applyFont="1" applyBorder="1" applyAlignment="1">
      <alignment horizontal="center"/>
    </xf>
    <xf numFmtId="0" fontId="14" fillId="0" borderId="43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164" fontId="1" fillId="0" borderId="7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49" fontId="5" fillId="0" borderId="88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49" fontId="5" fillId="0" borderId="103" xfId="0" applyNumberFormat="1" applyFont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shrinkToFit="1"/>
    </xf>
    <xf numFmtId="0" fontId="16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3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7" fillId="0" borderId="32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49" fontId="5" fillId="0" borderId="103" xfId="0" applyNumberFormat="1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49" fontId="16" fillId="0" borderId="43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 wrapText="1"/>
    </xf>
    <xf numFmtId="49" fontId="16" fillId="0" borderId="103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5" fillId="0" borderId="88" xfId="0" applyNumberFormat="1" applyFont="1" applyBorder="1" applyAlignment="1">
      <alignment horizontal="center" vertical="center"/>
    </xf>
    <xf numFmtId="49" fontId="16" fillId="2" borderId="32" xfId="0" applyNumberFormat="1" applyFont="1" applyFill="1" applyBorder="1" applyAlignment="1">
      <alignment horizontal="center" vertical="center" wrapText="1"/>
    </xf>
    <xf numFmtId="49" fontId="16" fillId="2" borderId="103" xfId="0" applyNumberFormat="1" applyFont="1" applyFill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/>
    </xf>
    <xf numFmtId="49" fontId="10" fillId="0" borderId="103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0" borderId="88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6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 wrapText="1"/>
    </xf>
    <xf numFmtId="167" fontId="21" fillId="0" borderId="32" xfId="0" applyNumberFormat="1" applyFont="1" applyBorder="1" applyAlignment="1">
      <alignment horizontal="center" vertical="center"/>
    </xf>
    <xf numFmtId="168" fontId="20" fillId="0" borderId="32" xfId="0" applyNumberFormat="1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 wrapText="1"/>
    </xf>
    <xf numFmtId="0" fontId="20" fillId="0" borderId="103" xfId="0" applyFont="1" applyBorder="1" applyAlignment="1">
      <alignment horizontal="center" vertical="center"/>
    </xf>
    <xf numFmtId="0" fontId="20" fillId="3" borderId="103" xfId="0" applyFont="1" applyFill="1" applyBorder="1" applyAlignment="1">
      <alignment horizontal="center" vertical="center" wrapText="1"/>
    </xf>
    <xf numFmtId="167" fontId="21" fillId="0" borderId="103" xfId="0" applyNumberFormat="1" applyFont="1" applyBorder="1" applyAlignment="1">
      <alignment horizontal="center" vertical="center"/>
    </xf>
    <xf numFmtId="168" fontId="20" fillId="0" borderId="103" xfId="0" applyNumberFormat="1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167" fontId="23" fillId="0" borderId="10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center" vertical="center" wrapText="1"/>
    </xf>
    <xf numFmtId="167" fontId="21" fillId="0" borderId="88" xfId="0" applyNumberFormat="1" applyFont="1" applyBorder="1" applyAlignment="1">
      <alignment horizontal="center" vertical="center"/>
    </xf>
    <xf numFmtId="168" fontId="20" fillId="0" borderId="88" xfId="0" applyNumberFormat="1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 wrapText="1"/>
    </xf>
    <xf numFmtId="167" fontId="23" fillId="0" borderId="88" xfId="0" applyNumberFormat="1" applyFont="1" applyBorder="1" applyAlignment="1">
      <alignment horizontal="center" vertical="center"/>
    </xf>
    <xf numFmtId="167" fontId="23" fillId="0" borderId="32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0" fontId="26" fillId="0" borderId="10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 wrapText="1"/>
    </xf>
    <xf numFmtId="167" fontId="21" fillId="0" borderId="54" xfId="0" applyNumberFormat="1" applyFont="1" applyBorder="1" applyAlignment="1">
      <alignment horizontal="center" vertical="center"/>
    </xf>
    <xf numFmtId="168" fontId="20" fillId="0" borderId="54" xfId="0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6" fillId="0" borderId="88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69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9" fillId="3" borderId="107" xfId="0" applyFont="1" applyFill="1" applyBorder="1" applyAlignment="1" applyProtection="1">
      <alignment horizontal="center" vertical="center"/>
      <protection hidden="1"/>
    </xf>
    <xf numFmtId="0" fontId="29" fillId="3" borderId="0" xfId="0" applyFont="1" applyFill="1" applyAlignment="1" applyProtection="1">
      <alignment horizontal="center" vertical="center"/>
      <protection hidden="1"/>
    </xf>
    <xf numFmtId="170" fontId="30" fillId="3" borderId="0" xfId="0" applyNumberFormat="1" applyFont="1" applyFill="1" applyAlignment="1" applyProtection="1">
      <alignment horizontal="center"/>
      <protection hidden="1"/>
    </xf>
    <xf numFmtId="0" fontId="31" fillId="3" borderId="0" xfId="0" applyFont="1" applyFill="1" applyProtection="1">
      <protection hidden="1"/>
    </xf>
    <xf numFmtId="0" fontId="27" fillId="3" borderId="0" xfId="0" applyFont="1" applyFill="1" applyAlignment="1">
      <alignment vertical="center"/>
    </xf>
    <xf numFmtId="0" fontId="27" fillId="0" borderId="0" xfId="0" applyFont="1"/>
    <xf numFmtId="0" fontId="32" fillId="3" borderId="0" xfId="0" applyFont="1" applyFill="1" applyProtection="1">
      <protection locked="0"/>
    </xf>
    <xf numFmtId="0" fontId="33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169" fontId="34" fillId="3" borderId="0" xfId="0" applyNumberFormat="1" applyFont="1" applyFill="1" applyProtection="1">
      <protection locked="0"/>
    </xf>
    <xf numFmtId="49" fontId="32" fillId="3" borderId="0" xfId="0" applyNumberFormat="1" applyFont="1" applyFill="1" applyProtection="1">
      <protection locked="0"/>
    </xf>
    <xf numFmtId="49" fontId="35" fillId="3" borderId="0" xfId="0" applyNumberFormat="1" applyFont="1" applyFill="1"/>
    <xf numFmtId="0" fontId="36" fillId="3" borderId="0" xfId="0" applyFont="1" applyFill="1" applyProtection="1">
      <protection locked="0"/>
    </xf>
    <xf numFmtId="0" fontId="37" fillId="3" borderId="0" xfId="0" applyFont="1" applyFill="1" applyProtection="1">
      <protection locked="0"/>
    </xf>
    <xf numFmtId="0" fontId="36" fillId="3" borderId="0" xfId="0" applyFont="1" applyFill="1"/>
    <xf numFmtId="0" fontId="38" fillId="3" borderId="0" xfId="0" applyFont="1" applyFill="1" applyAlignment="1">
      <alignment horizontal="right"/>
    </xf>
    <xf numFmtId="0" fontId="27" fillId="0" borderId="0" xfId="0" applyFont="1" applyAlignment="1">
      <alignment horizontal="center"/>
    </xf>
    <xf numFmtId="49" fontId="27" fillId="0" borderId="0" xfId="0" applyNumberFormat="1" applyFont="1"/>
    <xf numFmtId="0" fontId="39" fillId="3" borderId="0" xfId="0" applyFont="1" applyFill="1" applyProtection="1">
      <protection hidden="1"/>
    </xf>
    <xf numFmtId="0" fontId="36" fillId="3" borderId="0" xfId="0" applyFont="1" applyFill="1" applyProtection="1">
      <protection hidden="1"/>
    </xf>
    <xf numFmtId="169" fontId="36" fillId="3" borderId="0" xfId="0" applyNumberFormat="1" applyFont="1" applyFill="1" applyProtection="1">
      <protection hidden="1"/>
    </xf>
    <xf numFmtId="49" fontId="36" fillId="3" borderId="0" xfId="0" applyNumberFormat="1" applyFont="1" applyFill="1" applyProtection="1">
      <protection hidden="1"/>
    </xf>
    <xf numFmtId="0" fontId="36" fillId="3" borderId="0" xfId="0" applyFont="1" applyFill="1" applyAlignment="1" applyProtection="1">
      <alignment horizontal="left" vertical="center"/>
      <protection hidden="1"/>
    </xf>
    <xf numFmtId="0" fontId="40" fillId="4" borderId="103" xfId="0" applyFont="1" applyFill="1" applyBorder="1" applyAlignment="1" applyProtection="1">
      <alignment horizontal="center" vertical="center" wrapText="1"/>
      <protection hidden="1"/>
    </xf>
    <xf numFmtId="16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4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0" fontId="41" fillId="4" borderId="36" xfId="0" applyFont="1" applyFill="1" applyBorder="1" applyProtection="1">
      <protection hidden="1"/>
    </xf>
    <xf numFmtId="0" fontId="40" fillId="4" borderId="36" xfId="0" applyFont="1" applyFill="1" applyBorder="1" applyAlignment="1" applyProtection="1">
      <alignment horizontal="center" vertical="center" wrapText="1"/>
      <protection hidden="1"/>
    </xf>
    <xf numFmtId="169" fontId="41" fillId="4" borderId="36" xfId="0" applyNumberFormat="1" applyFont="1" applyFill="1" applyBorder="1" applyProtection="1">
      <protection hidden="1"/>
    </xf>
    <xf numFmtId="49" fontId="40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03" xfId="0" applyFont="1" applyBorder="1" applyAlignment="1" applyProtection="1">
      <alignment horizontal="center" vertical="center"/>
      <protection locked="0"/>
    </xf>
    <xf numFmtId="0" fontId="42" fillId="0" borderId="103" xfId="0" applyFont="1" applyBorder="1" applyAlignment="1">
      <alignment horizontal="center"/>
    </xf>
    <xf numFmtId="0" fontId="20" fillId="0" borderId="103" xfId="0" applyFont="1" applyBorder="1" applyAlignment="1">
      <alignment horizontal="center"/>
    </xf>
    <xf numFmtId="171" fontId="42" fillId="0" borderId="103" xfId="0" applyNumberFormat="1" applyFont="1" applyBorder="1" applyAlignment="1">
      <alignment horizontal="center"/>
    </xf>
    <xf numFmtId="0" fontId="25" fillId="0" borderId="103" xfId="0" applyFont="1" applyBorder="1" applyAlignment="1">
      <alignment vertical="center"/>
    </xf>
    <xf numFmtId="0" fontId="42" fillId="0" borderId="103" xfId="0" applyFont="1" applyBorder="1" applyAlignment="1">
      <alignment horizontal="center" vertical="center"/>
    </xf>
    <xf numFmtId="171" fontId="42" fillId="0" borderId="10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7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53339</xdr:rowOff>
    </xdr:from>
    <xdr:to>
      <xdr:col>12</xdr:col>
      <xdr:colOff>441960</xdr:colOff>
      <xdr:row>30</xdr:row>
      <xdr:rowOff>8466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166</xdr:row>
      <xdr:rowOff>53339</xdr:rowOff>
    </xdr:from>
    <xdr:ext cx="6821593" cy="31724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62</xdr:row>
      <xdr:rowOff>53339</xdr:rowOff>
    </xdr:from>
    <xdr:ext cx="6821593" cy="317246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114</xdr:row>
      <xdr:rowOff>53339</xdr:rowOff>
    </xdr:from>
    <xdr:ext cx="6821593" cy="317246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8.5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44" width="9" style="3" customWidth="1"/>
    <col min="245" max="245" width="6.5" style="3" customWidth="1"/>
    <col min="246" max="246" width="19.09765625" style="3" customWidth="1"/>
    <col min="247" max="249" width="10.69921875" style="3" customWidth="1"/>
    <col min="250" max="250" width="5.8984375" style="3" customWidth="1"/>
    <col min="251" max="251" width="8.5" style="3" customWidth="1"/>
    <col min="252" max="252" width="14" style="3" customWidth="1"/>
    <col min="253" max="253" width="2" style="3" customWidth="1"/>
    <col min="254" max="500" width="9" style="3" customWidth="1"/>
    <col min="501" max="501" width="6.5" style="3" customWidth="1"/>
    <col min="502" max="502" width="19.09765625" style="3" customWidth="1"/>
    <col min="503" max="505" width="10.69921875" style="3" customWidth="1"/>
    <col min="506" max="506" width="5.8984375" style="3" customWidth="1"/>
    <col min="507" max="507" width="8.5" style="3" customWidth="1"/>
    <col min="508" max="508" width="14" style="3" customWidth="1"/>
    <col min="509" max="509" width="2" style="3" customWidth="1"/>
    <col min="510" max="756" width="9" style="3" customWidth="1"/>
    <col min="757" max="757" width="6.5" style="3" customWidth="1"/>
    <col min="758" max="758" width="19.09765625" style="3" customWidth="1"/>
    <col min="759" max="761" width="10.69921875" style="3" customWidth="1"/>
    <col min="762" max="762" width="5.8984375" style="3" customWidth="1"/>
    <col min="763" max="763" width="8.5" style="3" customWidth="1"/>
    <col min="764" max="764" width="14" style="3" customWidth="1"/>
    <col min="765" max="765" width="2" style="3" customWidth="1"/>
    <col min="766" max="1012" width="9" style="3" customWidth="1"/>
    <col min="1013" max="1013" width="6.5" style="3" customWidth="1"/>
    <col min="1014" max="1014" width="19.09765625" style="3" customWidth="1"/>
    <col min="1015" max="1017" width="10.69921875" style="3" customWidth="1"/>
    <col min="1018" max="1018" width="5.8984375" style="3" customWidth="1"/>
    <col min="1019" max="1019" width="8.5" style="3" customWidth="1"/>
    <col min="1020" max="1020" width="14" style="3" customWidth="1"/>
    <col min="1021" max="1021" width="2" style="3" customWidth="1"/>
    <col min="1022" max="1268" width="9" style="3" customWidth="1"/>
    <col min="1269" max="1269" width="6.5" style="3" customWidth="1"/>
    <col min="1270" max="1270" width="19.09765625" style="3" customWidth="1"/>
    <col min="1271" max="1273" width="10.69921875" style="3" customWidth="1"/>
    <col min="1274" max="1274" width="5.8984375" style="3" customWidth="1"/>
    <col min="1275" max="1275" width="8.5" style="3" customWidth="1"/>
    <col min="1276" max="1276" width="14" style="3" customWidth="1"/>
    <col min="1277" max="1277" width="2" style="3" customWidth="1"/>
    <col min="1278" max="1524" width="9" style="3" customWidth="1"/>
    <col min="1525" max="1525" width="6.5" style="3" customWidth="1"/>
    <col min="1526" max="1526" width="19.09765625" style="3" customWidth="1"/>
    <col min="1527" max="1529" width="10.69921875" style="3" customWidth="1"/>
    <col min="1530" max="1530" width="5.8984375" style="3" customWidth="1"/>
    <col min="1531" max="1531" width="8.5" style="3" customWidth="1"/>
    <col min="1532" max="1532" width="14" style="3" customWidth="1"/>
    <col min="1533" max="1533" width="2" style="3" customWidth="1"/>
    <col min="1534" max="1780" width="9" style="3" customWidth="1"/>
    <col min="1781" max="1781" width="6.5" style="3" customWidth="1"/>
    <col min="1782" max="1782" width="19.09765625" style="3" customWidth="1"/>
    <col min="1783" max="1785" width="10.69921875" style="3" customWidth="1"/>
    <col min="1786" max="1786" width="5.8984375" style="3" customWidth="1"/>
    <col min="1787" max="1787" width="8.5" style="3" customWidth="1"/>
    <col min="1788" max="1788" width="14" style="3" customWidth="1"/>
    <col min="1789" max="1789" width="2" style="3" customWidth="1"/>
    <col min="1790" max="2036" width="9" style="3" customWidth="1"/>
    <col min="2037" max="2037" width="6.5" style="3" customWidth="1"/>
    <col min="2038" max="2038" width="19.09765625" style="3" customWidth="1"/>
    <col min="2039" max="2041" width="10.69921875" style="3" customWidth="1"/>
    <col min="2042" max="2042" width="5.8984375" style="3" customWidth="1"/>
    <col min="2043" max="2043" width="8.5" style="3" customWidth="1"/>
    <col min="2044" max="2044" width="14" style="3" customWidth="1"/>
    <col min="2045" max="2045" width="2" style="3" customWidth="1"/>
    <col min="2046" max="2292" width="9" style="3" customWidth="1"/>
    <col min="2293" max="2293" width="6.5" style="3" customWidth="1"/>
    <col min="2294" max="2294" width="19.09765625" style="3" customWidth="1"/>
    <col min="2295" max="2297" width="10.69921875" style="3" customWidth="1"/>
    <col min="2298" max="2298" width="5.8984375" style="3" customWidth="1"/>
    <col min="2299" max="2299" width="8.5" style="3" customWidth="1"/>
    <col min="2300" max="2300" width="14" style="3" customWidth="1"/>
    <col min="2301" max="2301" width="2" style="3" customWidth="1"/>
    <col min="2302" max="2548" width="9" style="3" customWidth="1"/>
    <col min="2549" max="2549" width="6.5" style="3" customWidth="1"/>
    <col min="2550" max="2550" width="19.09765625" style="3" customWidth="1"/>
    <col min="2551" max="2553" width="10.69921875" style="3" customWidth="1"/>
    <col min="2554" max="2554" width="5.8984375" style="3" customWidth="1"/>
    <col min="2555" max="2555" width="8.5" style="3" customWidth="1"/>
    <col min="2556" max="2556" width="14" style="3" customWidth="1"/>
    <col min="2557" max="2557" width="2" style="3" customWidth="1"/>
    <col min="2558" max="2804" width="9" style="3" customWidth="1"/>
    <col min="2805" max="2805" width="6.5" style="3" customWidth="1"/>
    <col min="2806" max="2806" width="19.09765625" style="3" customWidth="1"/>
    <col min="2807" max="2809" width="10.69921875" style="3" customWidth="1"/>
    <col min="2810" max="2810" width="5.8984375" style="3" customWidth="1"/>
    <col min="2811" max="2811" width="8.5" style="3" customWidth="1"/>
    <col min="2812" max="2812" width="14" style="3" customWidth="1"/>
    <col min="2813" max="2813" width="2" style="3" customWidth="1"/>
    <col min="2814" max="3060" width="9" style="3" customWidth="1"/>
    <col min="3061" max="3061" width="6.5" style="3" customWidth="1"/>
    <col min="3062" max="3062" width="19.09765625" style="3" customWidth="1"/>
    <col min="3063" max="3065" width="10.69921875" style="3" customWidth="1"/>
    <col min="3066" max="3066" width="5.8984375" style="3" customWidth="1"/>
    <col min="3067" max="3067" width="8.5" style="3" customWidth="1"/>
    <col min="3068" max="3068" width="14" style="3" customWidth="1"/>
    <col min="3069" max="3069" width="2" style="3" customWidth="1"/>
    <col min="3070" max="3316" width="9" style="3" customWidth="1"/>
    <col min="3317" max="3317" width="6.5" style="3" customWidth="1"/>
    <col min="3318" max="3318" width="19.09765625" style="3" customWidth="1"/>
    <col min="3319" max="3321" width="10.69921875" style="3" customWidth="1"/>
    <col min="3322" max="3322" width="5.8984375" style="3" customWidth="1"/>
    <col min="3323" max="3323" width="8.5" style="3" customWidth="1"/>
    <col min="3324" max="3324" width="14" style="3" customWidth="1"/>
    <col min="3325" max="3325" width="2" style="3" customWidth="1"/>
    <col min="3326" max="3572" width="9" style="3" customWidth="1"/>
    <col min="3573" max="3573" width="6.5" style="3" customWidth="1"/>
    <col min="3574" max="3574" width="19.09765625" style="3" customWidth="1"/>
    <col min="3575" max="3577" width="10.69921875" style="3" customWidth="1"/>
    <col min="3578" max="3578" width="5.8984375" style="3" customWidth="1"/>
    <col min="3579" max="3579" width="8.5" style="3" customWidth="1"/>
    <col min="3580" max="3580" width="14" style="3" customWidth="1"/>
    <col min="3581" max="3581" width="2" style="3" customWidth="1"/>
    <col min="3582" max="3828" width="9" style="3" customWidth="1"/>
    <col min="3829" max="3829" width="6.5" style="3" customWidth="1"/>
    <col min="3830" max="3830" width="19.09765625" style="3" customWidth="1"/>
    <col min="3831" max="3833" width="10.69921875" style="3" customWidth="1"/>
    <col min="3834" max="3834" width="5.8984375" style="3" customWidth="1"/>
    <col min="3835" max="3835" width="8.5" style="3" customWidth="1"/>
    <col min="3836" max="3836" width="14" style="3" customWidth="1"/>
    <col min="3837" max="3837" width="2" style="3" customWidth="1"/>
    <col min="3838" max="4084" width="9" style="3" customWidth="1"/>
    <col min="4085" max="4085" width="6.5" style="3" customWidth="1"/>
    <col min="4086" max="4086" width="19.09765625" style="3" customWidth="1"/>
    <col min="4087" max="4089" width="10.69921875" style="3" customWidth="1"/>
    <col min="4090" max="4090" width="5.8984375" style="3" customWidth="1"/>
    <col min="4091" max="4091" width="8.5" style="3" customWidth="1"/>
    <col min="4092" max="4092" width="14" style="3" customWidth="1"/>
    <col min="4093" max="4093" width="2" style="3" customWidth="1"/>
    <col min="4094" max="4340" width="9" style="3" customWidth="1"/>
    <col min="4341" max="4341" width="6.5" style="3" customWidth="1"/>
    <col min="4342" max="4342" width="19.09765625" style="3" customWidth="1"/>
    <col min="4343" max="4345" width="10.69921875" style="3" customWidth="1"/>
    <col min="4346" max="4346" width="5.8984375" style="3" customWidth="1"/>
    <col min="4347" max="4347" width="8.5" style="3" customWidth="1"/>
    <col min="4348" max="4348" width="14" style="3" customWidth="1"/>
    <col min="4349" max="4349" width="2" style="3" customWidth="1"/>
    <col min="4350" max="4596" width="9" style="3" customWidth="1"/>
    <col min="4597" max="4597" width="6.5" style="3" customWidth="1"/>
    <col min="4598" max="4598" width="19.09765625" style="3" customWidth="1"/>
    <col min="4599" max="4601" width="10.69921875" style="3" customWidth="1"/>
    <col min="4602" max="4602" width="5.8984375" style="3" customWidth="1"/>
    <col min="4603" max="4603" width="8.5" style="3" customWidth="1"/>
    <col min="4604" max="4604" width="14" style="3" customWidth="1"/>
    <col min="4605" max="4605" width="2" style="3" customWidth="1"/>
    <col min="4606" max="4852" width="9" style="3" customWidth="1"/>
    <col min="4853" max="4853" width="6.5" style="3" customWidth="1"/>
    <col min="4854" max="4854" width="19.09765625" style="3" customWidth="1"/>
    <col min="4855" max="4857" width="10.69921875" style="3" customWidth="1"/>
    <col min="4858" max="4858" width="5.8984375" style="3" customWidth="1"/>
    <col min="4859" max="4859" width="8.5" style="3" customWidth="1"/>
    <col min="4860" max="4860" width="14" style="3" customWidth="1"/>
    <col min="4861" max="4861" width="2" style="3" customWidth="1"/>
    <col min="4862" max="5108" width="9" style="3" customWidth="1"/>
    <col min="5109" max="5109" width="6.5" style="3" customWidth="1"/>
    <col min="5110" max="5110" width="19.09765625" style="3" customWidth="1"/>
    <col min="5111" max="5113" width="10.69921875" style="3" customWidth="1"/>
    <col min="5114" max="5114" width="5.8984375" style="3" customWidth="1"/>
    <col min="5115" max="5115" width="8.5" style="3" customWidth="1"/>
    <col min="5116" max="5116" width="14" style="3" customWidth="1"/>
    <col min="5117" max="5117" width="2" style="3" customWidth="1"/>
    <col min="5118" max="5364" width="9" style="3" customWidth="1"/>
    <col min="5365" max="5365" width="6.5" style="3" customWidth="1"/>
    <col min="5366" max="5366" width="19.09765625" style="3" customWidth="1"/>
    <col min="5367" max="5369" width="10.69921875" style="3" customWidth="1"/>
    <col min="5370" max="5370" width="5.8984375" style="3" customWidth="1"/>
    <col min="5371" max="5371" width="8.5" style="3" customWidth="1"/>
    <col min="5372" max="5372" width="14" style="3" customWidth="1"/>
    <col min="5373" max="5373" width="2" style="3" customWidth="1"/>
    <col min="5374" max="5620" width="9" style="3" customWidth="1"/>
    <col min="5621" max="5621" width="6.5" style="3" customWidth="1"/>
    <col min="5622" max="5622" width="19.09765625" style="3" customWidth="1"/>
    <col min="5623" max="5625" width="10.69921875" style="3" customWidth="1"/>
    <col min="5626" max="5626" width="5.8984375" style="3" customWidth="1"/>
    <col min="5627" max="5627" width="8.5" style="3" customWidth="1"/>
    <col min="5628" max="5628" width="14" style="3" customWidth="1"/>
    <col min="5629" max="5629" width="2" style="3" customWidth="1"/>
    <col min="5630" max="5876" width="9" style="3" customWidth="1"/>
    <col min="5877" max="5877" width="6.5" style="3" customWidth="1"/>
    <col min="5878" max="5878" width="19.09765625" style="3" customWidth="1"/>
    <col min="5879" max="5881" width="10.69921875" style="3" customWidth="1"/>
    <col min="5882" max="5882" width="5.8984375" style="3" customWidth="1"/>
    <col min="5883" max="5883" width="8.5" style="3" customWidth="1"/>
    <col min="5884" max="5884" width="14" style="3" customWidth="1"/>
    <col min="5885" max="5885" width="2" style="3" customWidth="1"/>
    <col min="5886" max="6132" width="9" style="3" customWidth="1"/>
    <col min="6133" max="6133" width="6.5" style="3" customWidth="1"/>
    <col min="6134" max="6134" width="19.09765625" style="3" customWidth="1"/>
    <col min="6135" max="6137" width="10.69921875" style="3" customWidth="1"/>
    <col min="6138" max="6138" width="5.8984375" style="3" customWidth="1"/>
    <col min="6139" max="6139" width="8.5" style="3" customWidth="1"/>
    <col min="6140" max="6140" width="14" style="3" customWidth="1"/>
    <col min="6141" max="6141" width="2" style="3" customWidth="1"/>
    <col min="6142" max="6388" width="9" style="3" customWidth="1"/>
    <col min="6389" max="6389" width="6.5" style="3" customWidth="1"/>
    <col min="6390" max="6390" width="19.09765625" style="3" customWidth="1"/>
    <col min="6391" max="6393" width="10.69921875" style="3" customWidth="1"/>
    <col min="6394" max="6394" width="5.8984375" style="3" customWidth="1"/>
    <col min="6395" max="6395" width="8.5" style="3" customWidth="1"/>
    <col min="6396" max="6396" width="14" style="3" customWidth="1"/>
    <col min="6397" max="6397" width="2" style="3" customWidth="1"/>
    <col min="6398" max="6644" width="9" style="3" customWidth="1"/>
    <col min="6645" max="6645" width="6.5" style="3" customWidth="1"/>
    <col min="6646" max="6646" width="19.09765625" style="3" customWidth="1"/>
    <col min="6647" max="6649" width="10.69921875" style="3" customWidth="1"/>
    <col min="6650" max="6650" width="5.8984375" style="3" customWidth="1"/>
    <col min="6651" max="6651" width="8.5" style="3" customWidth="1"/>
    <col min="6652" max="6652" width="14" style="3" customWidth="1"/>
    <col min="6653" max="6653" width="2" style="3" customWidth="1"/>
    <col min="6654" max="6900" width="9" style="3" customWidth="1"/>
    <col min="6901" max="6901" width="6.5" style="3" customWidth="1"/>
    <col min="6902" max="6902" width="19.09765625" style="3" customWidth="1"/>
    <col min="6903" max="6905" width="10.69921875" style="3" customWidth="1"/>
    <col min="6906" max="6906" width="5.8984375" style="3" customWidth="1"/>
    <col min="6907" max="6907" width="8.5" style="3" customWidth="1"/>
    <col min="6908" max="6908" width="14" style="3" customWidth="1"/>
    <col min="6909" max="6909" width="2" style="3" customWidth="1"/>
    <col min="6910" max="7156" width="9" style="3" customWidth="1"/>
    <col min="7157" max="7157" width="6.5" style="3" customWidth="1"/>
    <col min="7158" max="7158" width="19.09765625" style="3" customWidth="1"/>
    <col min="7159" max="7161" width="10.69921875" style="3" customWidth="1"/>
    <col min="7162" max="7162" width="5.8984375" style="3" customWidth="1"/>
    <col min="7163" max="7163" width="8.5" style="3" customWidth="1"/>
    <col min="7164" max="7164" width="14" style="3" customWidth="1"/>
    <col min="7165" max="7165" width="2" style="3" customWidth="1"/>
    <col min="7166" max="7412" width="9" style="3" customWidth="1"/>
    <col min="7413" max="7413" width="6.5" style="3" customWidth="1"/>
    <col min="7414" max="7414" width="19.09765625" style="3" customWidth="1"/>
    <col min="7415" max="7417" width="10.69921875" style="3" customWidth="1"/>
    <col min="7418" max="7418" width="5.8984375" style="3" customWidth="1"/>
    <col min="7419" max="7419" width="8.5" style="3" customWidth="1"/>
    <col min="7420" max="7420" width="14" style="3" customWidth="1"/>
    <col min="7421" max="7421" width="2" style="3" customWidth="1"/>
    <col min="7422" max="7668" width="9" style="3" customWidth="1"/>
    <col min="7669" max="7669" width="6.5" style="3" customWidth="1"/>
    <col min="7670" max="7670" width="19.09765625" style="3" customWidth="1"/>
    <col min="7671" max="7673" width="10.69921875" style="3" customWidth="1"/>
    <col min="7674" max="7674" width="5.8984375" style="3" customWidth="1"/>
    <col min="7675" max="7675" width="8.5" style="3" customWidth="1"/>
    <col min="7676" max="7676" width="14" style="3" customWidth="1"/>
    <col min="7677" max="7677" width="2" style="3" customWidth="1"/>
    <col min="7678" max="7924" width="9" style="3" customWidth="1"/>
    <col min="7925" max="7925" width="6.5" style="3" customWidth="1"/>
    <col min="7926" max="7926" width="19.09765625" style="3" customWidth="1"/>
    <col min="7927" max="7929" width="10.69921875" style="3" customWidth="1"/>
    <col min="7930" max="7930" width="5.8984375" style="3" customWidth="1"/>
    <col min="7931" max="7931" width="8.5" style="3" customWidth="1"/>
    <col min="7932" max="7932" width="14" style="3" customWidth="1"/>
    <col min="7933" max="7933" width="2" style="3" customWidth="1"/>
    <col min="7934" max="8180" width="9" style="3" customWidth="1"/>
    <col min="8181" max="8181" width="6.5" style="3" customWidth="1"/>
    <col min="8182" max="8182" width="19.09765625" style="3" customWidth="1"/>
    <col min="8183" max="8185" width="10.69921875" style="3" customWidth="1"/>
    <col min="8186" max="8186" width="5.8984375" style="3" customWidth="1"/>
    <col min="8187" max="8187" width="8.5" style="3" customWidth="1"/>
    <col min="8188" max="8188" width="14" style="3" customWidth="1"/>
    <col min="8189" max="8189" width="2" style="3" customWidth="1"/>
    <col min="8190" max="8436" width="9" style="3" customWidth="1"/>
    <col min="8437" max="8437" width="6.5" style="3" customWidth="1"/>
    <col min="8438" max="8438" width="19.09765625" style="3" customWidth="1"/>
    <col min="8439" max="8441" width="10.69921875" style="3" customWidth="1"/>
    <col min="8442" max="8442" width="5.8984375" style="3" customWidth="1"/>
    <col min="8443" max="8443" width="8.5" style="3" customWidth="1"/>
    <col min="8444" max="8444" width="14" style="3" customWidth="1"/>
    <col min="8445" max="8445" width="2" style="3" customWidth="1"/>
    <col min="8446" max="8692" width="9" style="3" customWidth="1"/>
    <col min="8693" max="8693" width="6.5" style="3" customWidth="1"/>
    <col min="8694" max="8694" width="19.09765625" style="3" customWidth="1"/>
    <col min="8695" max="8697" width="10.69921875" style="3" customWidth="1"/>
    <col min="8698" max="8698" width="5.8984375" style="3" customWidth="1"/>
    <col min="8699" max="8699" width="8.5" style="3" customWidth="1"/>
    <col min="8700" max="8700" width="14" style="3" customWidth="1"/>
    <col min="8701" max="8701" width="2" style="3" customWidth="1"/>
    <col min="8702" max="8948" width="9" style="3" customWidth="1"/>
    <col min="8949" max="8949" width="6.5" style="3" customWidth="1"/>
    <col min="8950" max="8950" width="19.09765625" style="3" customWidth="1"/>
    <col min="8951" max="8953" width="10.69921875" style="3" customWidth="1"/>
    <col min="8954" max="8954" width="5.8984375" style="3" customWidth="1"/>
    <col min="8955" max="8955" width="8.5" style="3" customWidth="1"/>
    <col min="8956" max="8956" width="14" style="3" customWidth="1"/>
    <col min="8957" max="8957" width="2" style="3" customWidth="1"/>
    <col min="8958" max="9204" width="9" style="3" customWidth="1"/>
    <col min="9205" max="9205" width="6.5" style="3" customWidth="1"/>
    <col min="9206" max="9206" width="19.09765625" style="3" customWidth="1"/>
    <col min="9207" max="9209" width="10.69921875" style="3" customWidth="1"/>
    <col min="9210" max="9210" width="5.8984375" style="3" customWidth="1"/>
    <col min="9211" max="9211" width="8.5" style="3" customWidth="1"/>
    <col min="9212" max="9212" width="14" style="3" customWidth="1"/>
    <col min="9213" max="9213" width="2" style="3" customWidth="1"/>
    <col min="9214" max="9460" width="9" style="3" customWidth="1"/>
    <col min="9461" max="9461" width="6.5" style="3" customWidth="1"/>
    <col min="9462" max="9462" width="19.09765625" style="3" customWidth="1"/>
    <col min="9463" max="9465" width="10.69921875" style="3" customWidth="1"/>
    <col min="9466" max="9466" width="5.8984375" style="3" customWidth="1"/>
    <col min="9467" max="9467" width="8.5" style="3" customWidth="1"/>
    <col min="9468" max="9468" width="14" style="3" customWidth="1"/>
    <col min="9469" max="9469" width="2" style="3" customWidth="1"/>
    <col min="9470" max="9716" width="9" style="3" customWidth="1"/>
    <col min="9717" max="9717" width="6.5" style="3" customWidth="1"/>
    <col min="9718" max="9718" width="19.09765625" style="3" customWidth="1"/>
    <col min="9719" max="9721" width="10.69921875" style="3" customWidth="1"/>
    <col min="9722" max="9722" width="5.8984375" style="3" customWidth="1"/>
    <col min="9723" max="9723" width="8.5" style="3" customWidth="1"/>
    <col min="9724" max="9724" width="14" style="3" customWidth="1"/>
    <col min="9725" max="9725" width="2" style="3" customWidth="1"/>
    <col min="9726" max="9972" width="9" style="3" customWidth="1"/>
    <col min="9973" max="9973" width="6.5" style="3" customWidth="1"/>
    <col min="9974" max="9974" width="19.09765625" style="3" customWidth="1"/>
    <col min="9975" max="9977" width="10.69921875" style="3" customWidth="1"/>
    <col min="9978" max="9978" width="5.8984375" style="3" customWidth="1"/>
    <col min="9979" max="9979" width="8.5" style="3" customWidth="1"/>
    <col min="9980" max="9980" width="14" style="3" customWidth="1"/>
    <col min="9981" max="9981" width="2" style="3" customWidth="1"/>
    <col min="9982" max="10228" width="9" style="3" customWidth="1"/>
    <col min="10229" max="10229" width="6.5" style="3" customWidth="1"/>
    <col min="10230" max="10230" width="19.09765625" style="3" customWidth="1"/>
    <col min="10231" max="10233" width="10.69921875" style="3" customWidth="1"/>
    <col min="10234" max="10234" width="5.8984375" style="3" customWidth="1"/>
    <col min="10235" max="10235" width="8.5" style="3" customWidth="1"/>
    <col min="10236" max="10236" width="14" style="3" customWidth="1"/>
    <col min="10237" max="10237" width="2" style="3" customWidth="1"/>
    <col min="10238" max="10484" width="9" style="3" customWidth="1"/>
    <col min="10485" max="10485" width="6.5" style="3" customWidth="1"/>
    <col min="10486" max="10486" width="19.09765625" style="3" customWidth="1"/>
    <col min="10487" max="10489" width="10.69921875" style="3" customWidth="1"/>
    <col min="10490" max="10490" width="5.8984375" style="3" customWidth="1"/>
    <col min="10491" max="10491" width="8.5" style="3" customWidth="1"/>
    <col min="10492" max="10492" width="14" style="3" customWidth="1"/>
    <col min="10493" max="10493" width="2" style="3" customWidth="1"/>
    <col min="10494" max="10740" width="9" style="3" customWidth="1"/>
    <col min="10741" max="10741" width="6.5" style="3" customWidth="1"/>
    <col min="10742" max="10742" width="19.09765625" style="3" customWidth="1"/>
    <col min="10743" max="10745" width="10.69921875" style="3" customWidth="1"/>
    <col min="10746" max="10746" width="5.8984375" style="3" customWidth="1"/>
    <col min="10747" max="10747" width="8.5" style="3" customWidth="1"/>
    <col min="10748" max="10748" width="14" style="3" customWidth="1"/>
    <col min="10749" max="10749" width="2" style="3" customWidth="1"/>
    <col min="10750" max="10996" width="9" style="3" customWidth="1"/>
    <col min="10997" max="10997" width="6.5" style="3" customWidth="1"/>
    <col min="10998" max="10998" width="19.09765625" style="3" customWidth="1"/>
    <col min="10999" max="11001" width="10.69921875" style="3" customWidth="1"/>
    <col min="11002" max="11002" width="5.8984375" style="3" customWidth="1"/>
    <col min="11003" max="11003" width="8.5" style="3" customWidth="1"/>
    <col min="11004" max="11004" width="14" style="3" customWidth="1"/>
    <col min="11005" max="11005" width="2" style="3" customWidth="1"/>
    <col min="11006" max="11252" width="9" style="3" customWidth="1"/>
    <col min="11253" max="11253" width="6.5" style="3" customWidth="1"/>
    <col min="11254" max="11254" width="19.09765625" style="3" customWidth="1"/>
    <col min="11255" max="11257" width="10.69921875" style="3" customWidth="1"/>
    <col min="11258" max="11258" width="5.8984375" style="3" customWidth="1"/>
    <col min="11259" max="11259" width="8.5" style="3" customWidth="1"/>
    <col min="11260" max="11260" width="14" style="3" customWidth="1"/>
    <col min="11261" max="11261" width="2" style="3" customWidth="1"/>
    <col min="11262" max="11508" width="9" style="3" customWidth="1"/>
    <col min="11509" max="11509" width="6.5" style="3" customWidth="1"/>
    <col min="11510" max="11510" width="19.09765625" style="3" customWidth="1"/>
    <col min="11511" max="11513" width="10.69921875" style="3" customWidth="1"/>
    <col min="11514" max="11514" width="5.8984375" style="3" customWidth="1"/>
    <col min="11515" max="11515" width="8.5" style="3" customWidth="1"/>
    <col min="11516" max="11516" width="14" style="3" customWidth="1"/>
    <col min="11517" max="11517" width="2" style="3" customWidth="1"/>
    <col min="11518" max="11764" width="9" style="3" customWidth="1"/>
    <col min="11765" max="11765" width="6.5" style="3" customWidth="1"/>
    <col min="11766" max="11766" width="19.09765625" style="3" customWidth="1"/>
    <col min="11767" max="11769" width="10.69921875" style="3" customWidth="1"/>
    <col min="11770" max="11770" width="5.8984375" style="3" customWidth="1"/>
    <col min="11771" max="11771" width="8.5" style="3" customWidth="1"/>
    <col min="11772" max="11772" width="14" style="3" customWidth="1"/>
    <col min="11773" max="11773" width="2" style="3" customWidth="1"/>
    <col min="11774" max="12020" width="9" style="3" customWidth="1"/>
    <col min="12021" max="12021" width="6.5" style="3" customWidth="1"/>
    <col min="12022" max="12022" width="19.09765625" style="3" customWidth="1"/>
    <col min="12023" max="12025" width="10.69921875" style="3" customWidth="1"/>
    <col min="12026" max="12026" width="5.8984375" style="3" customWidth="1"/>
    <col min="12027" max="12027" width="8.5" style="3" customWidth="1"/>
    <col min="12028" max="12028" width="14" style="3" customWidth="1"/>
    <col min="12029" max="12029" width="2" style="3" customWidth="1"/>
    <col min="12030" max="12276" width="9" style="3" customWidth="1"/>
    <col min="12277" max="12277" width="6.5" style="3" customWidth="1"/>
    <col min="12278" max="12278" width="19.09765625" style="3" customWidth="1"/>
    <col min="12279" max="12281" width="10.69921875" style="3" customWidth="1"/>
    <col min="12282" max="12282" width="5.8984375" style="3" customWidth="1"/>
    <col min="12283" max="12283" width="8.5" style="3" customWidth="1"/>
    <col min="12284" max="12284" width="14" style="3" customWidth="1"/>
    <col min="12285" max="12285" width="2" style="3" customWidth="1"/>
    <col min="12286" max="12532" width="9" style="3" customWidth="1"/>
    <col min="12533" max="12533" width="6.5" style="3" customWidth="1"/>
    <col min="12534" max="12534" width="19.09765625" style="3" customWidth="1"/>
    <col min="12535" max="12537" width="10.69921875" style="3" customWidth="1"/>
    <col min="12538" max="12538" width="5.8984375" style="3" customWidth="1"/>
    <col min="12539" max="12539" width="8.5" style="3" customWidth="1"/>
    <col min="12540" max="12540" width="14" style="3" customWidth="1"/>
    <col min="12541" max="12541" width="2" style="3" customWidth="1"/>
    <col min="12542" max="12788" width="9" style="3" customWidth="1"/>
    <col min="12789" max="12789" width="6.5" style="3" customWidth="1"/>
    <col min="12790" max="12790" width="19.09765625" style="3" customWidth="1"/>
    <col min="12791" max="12793" width="10.69921875" style="3" customWidth="1"/>
    <col min="12794" max="12794" width="5.8984375" style="3" customWidth="1"/>
    <col min="12795" max="12795" width="8.5" style="3" customWidth="1"/>
    <col min="12796" max="12796" width="14" style="3" customWidth="1"/>
    <col min="12797" max="12797" width="2" style="3" customWidth="1"/>
    <col min="12798" max="13044" width="9" style="3" customWidth="1"/>
    <col min="13045" max="13045" width="6.5" style="3" customWidth="1"/>
    <col min="13046" max="13046" width="19.09765625" style="3" customWidth="1"/>
    <col min="13047" max="13049" width="10.69921875" style="3" customWidth="1"/>
    <col min="13050" max="13050" width="5.8984375" style="3" customWidth="1"/>
    <col min="13051" max="13051" width="8.5" style="3" customWidth="1"/>
    <col min="13052" max="13052" width="14" style="3" customWidth="1"/>
    <col min="13053" max="13053" width="2" style="3" customWidth="1"/>
    <col min="13054" max="13300" width="9" style="3" customWidth="1"/>
    <col min="13301" max="13301" width="6.5" style="3" customWidth="1"/>
    <col min="13302" max="13302" width="19.09765625" style="3" customWidth="1"/>
    <col min="13303" max="13305" width="10.69921875" style="3" customWidth="1"/>
    <col min="13306" max="13306" width="5.8984375" style="3" customWidth="1"/>
    <col min="13307" max="13307" width="8.5" style="3" customWidth="1"/>
    <col min="13308" max="13308" width="14" style="3" customWidth="1"/>
    <col min="13309" max="13309" width="2" style="3" customWidth="1"/>
    <col min="13310" max="13556" width="9" style="3" customWidth="1"/>
    <col min="13557" max="13557" width="6.5" style="3" customWidth="1"/>
    <col min="13558" max="13558" width="19.09765625" style="3" customWidth="1"/>
    <col min="13559" max="13561" width="10.69921875" style="3" customWidth="1"/>
    <col min="13562" max="13562" width="5.8984375" style="3" customWidth="1"/>
    <col min="13563" max="13563" width="8.5" style="3" customWidth="1"/>
    <col min="13564" max="13564" width="14" style="3" customWidth="1"/>
    <col min="13565" max="13565" width="2" style="3" customWidth="1"/>
    <col min="13566" max="13812" width="9" style="3" customWidth="1"/>
    <col min="13813" max="13813" width="6.5" style="3" customWidth="1"/>
    <col min="13814" max="13814" width="19.09765625" style="3" customWidth="1"/>
    <col min="13815" max="13817" width="10.69921875" style="3" customWidth="1"/>
    <col min="13818" max="13818" width="5.8984375" style="3" customWidth="1"/>
    <col min="13819" max="13819" width="8.5" style="3" customWidth="1"/>
    <col min="13820" max="13820" width="14" style="3" customWidth="1"/>
    <col min="13821" max="13821" width="2" style="3" customWidth="1"/>
    <col min="13822" max="14068" width="9" style="3" customWidth="1"/>
    <col min="14069" max="14069" width="6.5" style="3" customWidth="1"/>
    <col min="14070" max="14070" width="19.09765625" style="3" customWidth="1"/>
    <col min="14071" max="14073" width="10.69921875" style="3" customWidth="1"/>
    <col min="14074" max="14074" width="5.8984375" style="3" customWidth="1"/>
    <col min="14075" max="14075" width="8.5" style="3" customWidth="1"/>
    <col min="14076" max="14076" width="14" style="3" customWidth="1"/>
    <col min="14077" max="14077" width="2" style="3" customWidth="1"/>
    <col min="14078" max="14324" width="9" style="3" customWidth="1"/>
    <col min="14325" max="14325" width="6.5" style="3" customWidth="1"/>
    <col min="14326" max="14326" width="19.09765625" style="3" customWidth="1"/>
    <col min="14327" max="14329" width="10.69921875" style="3" customWidth="1"/>
    <col min="14330" max="14330" width="5.8984375" style="3" customWidth="1"/>
    <col min="14331" max="14331" width="8.5" style="3" customWidth="1"/>
    <col min="14332" max="14332" width="14" style="3" customWidth="1"/>
    <col min="14333" max="14333" width="2" style="3" customWidth="1"/>
    <col min="14334" max="14580" width="9" style="3" customWidth="1"/>
    <col min="14581" max="14581" width="6.5" style="3" customWidth="1"/>
    <col min="14582" max="14582" width="19.09765625" style="3" customWidth="1"/>
    <col min="14583" max="14585" width="10.69921875" style="3" customWidth="1"/>
    <col min="14586" max="14586" width="5.8984375" style="3" customWidth="1"/>
    <col min="14587" max="14587" width="8.5" style="3" customWidth="1"/>
    <col min="14588" max="14588" width="14" style="3" customWidth="1"/>
    <col min="14589" max="14589" width="2" style="3" customWidth="1"/>
    <col min="14590" max="14836" width="9" style="3" customWidth="1"/>
    <col min="14837" max="14837" width="6.5" style="3" customWidth="1"/>
    <col min="14838" max="14838" width="19.09765625" style="3" customWidth="1"/>
    <col min="14839" max="14841" width="10.69921875" style="3" customWidth="1"/>
    <col min="14842" max="14842" width="5.8984375" style="3" customWidth="1"/>
    <col min="14843" max="14843" width="8.5" style="3" customWidth="1"/>
    <col min="14844" max="14844" width="14" style="3" customWidth="1"/>
    <col min="14845" max="14845" width="2" style="3" customWidth="1"/>
    <col min="14846" max="15092" width="9" style="3" customWidth="1"/>
    <col min="15093" max="15093" width="6.5" style="3" customWidth="1"/>
    <col min="15094" max="15094" width="19.09765625" style="3" customWidth="1"/>
    <col min="15095" max="15097" width="10.69921875" style="3" customWidth="1"/>
    <col min="15098" max="15098" width="5.8984375" style="3" customWidth="1"/>
    <col min="15099" max="15099" width="8.5" style="3" customWidth="1"/>
    <col min="15100" max="15100" width="14" style="3" customWidth="1"/>
    <col min="15101" max="15101" width="2" style="3" customWidth="1"/>
    <col min="15102" max="15348" width="9" style="3" customWidth="1"/>
    <col min="15349" max="15349" width="6.5" style="3" customWidth="1"/>
    <col min="15350" max="15350" width="19.09765625" style="3" customWidth="1"/>
    <col min="15351" max="15353" width="10.69921875" style="3" customWidth="1"/>
    <col min="15354" max="15354" width="5.8984375" style="3" customWidth="1"/>
    <col min="15355" max="15355" width="8.5" style="3" customWidth="1"/>
    <col min="15356" max="15356" width="14" style="3" customWidth="1"/>
    <col min="15357" max="15357" width="2" style="3" customWidth="1"/>
    <col min="15358" max="15604" width="9" style="3" customWidth="1"/>
    <col min="15605" max="15605" width="6.5" style="3" customWidth="1"/>
    <col min="15606" max="15606" width="19.09765625" style="3" customWidth="1"/>
    <col min="15607" max="15609" width="10.69921875" style="3" customWidth="1"/>
    <col min="15610" max="15610" width="5.8984375" style="3" customWidth="1"/>
    <col min="15611" max="15611" width="8.5" style="3" customWidth="1"/>
    <col min="15612" max="15612" width="14" style="3" customWidth="1"/>
    <col min="15613" max="15613" width="2" style="3" customWidth="1"/>
    <col min="15614" max="15860" width="9" style="3" customWidth="1"/>
    <col min="15861" max="15861" width="6.5" style="3" customWidth="1"/>
    <col min="15862" max="15862" width="19.09765625" style="3" customWidth="1"/>
    <col min="15863" max="15865" width="10.69921875" style="3" customWidth="1"/>
    <col min="15866" max="15866" width="5.8984375" style="3" customWidth="1"/>
    <col min="15867" max="15867" width="8.5" style="3" customWidth="1"/>
    <col min="15868" max="15868" width="14" style="3" customWidth="1"/>
    <col min="15869" max="15869" width="2" style="3" customWidth="1"/>
    <col min="15870" max="16116" width="9" style="3" customWidth="1"/>
    <col min="16117" max="16117" width="6.5" style="3" customWidth="1"/>
    <col min="16118" max="16118" width="19.09765625" style="3" customWidth="1"/>
    <col min="16119" max="16121" width="10.69921875" style="3" customWidth="1"/>
    <col min="16122" max="16122" width="5.8984375" style="3" customWidth="1"/>
    <col min="16123" max="16123" width="8.5" style="3" customWidth="1"/>
    <col min="16124" max="16124" width="14" style="3" customWidth="1"/>
    <col min="16125" max="16125" width="2" style="3" customWidth="1"/>
    <col min="16126" max="16384" width="9" style="3" customWidth="1"/>
  </cols>
  <sheetData>
    <row r="1" ht="33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47" t="s">
        <v>25</v>
      </c>
      <c r="B2" s="147"/>
      <c r="C2" s="147"/>
      <c r="D2" s="147"/>
      <c r="E2" s="147"/>
      <c r="F2" s="147"/>
      <c r="G2" s="147"/>
      <c r="H2" s="147"/>
    </row>
    <row r="3" ht="24.75" customHeight="1" spans="3:6" x14ac:dyDescent="0.25">
      <c r="C3" s="148" t="s">
        <v>26</v>
      </c>
      <c r="D3" s="6"/>
      <c r="E3" s="6"/>
      <c r="F3" s="7"/>
    </row>
    <row r="4" ht="3" customHeight="1" x14ac:dyDescent="0.25"/>
    <row r="5" ht="4.5" customHeight="1" spans="1:8" x14ac:dyDescent="0.25">
      <c r="A5" s="149"/>
      <c r="B5" s="149"/>
      <c r="C5" s="149"/>
      <c r="D5" s="149"/>
      <c r="E5" s="149"/>
      <c r="F5" s="149"/>
      <c r="G5" s="149"/>
      <c r="H5" s="149"/>
    </row>
    <row r="6" ht="24" customHeight="1" spans="1:12" s="9" customFormat="1" x14ac:dyDescent="0.25">
      <c r="A6" s="15" t="s">
        <v>27</v>
      </c>
      <c r="B6" s="9"/>
      <c r="C6" s="150" t="s">
        <v>4</v>
      </c>
      <c r="D6" s="15"/>
      <c r="E6" s="15"/>
      <c r="F6" s="9"/>
      <c r="G6" s="151" t="s">
        <v>5</v>
      </c>
      <c r="H6" s="152">
        <f>'Final Work'!선적종료일</f>
        <v>46225</v>
      </c>
      <c r="I6" s="9"/>
      <c r="J6" s="9"/>
      <c r="K6" s="9"/>
      <c r="L6" s="9"/>
    </row>
    <row r="7" ht="11.25" customHeight="1" spans="2:2" s="9" customFormat="1" x14ac:dyDescent="0.25">
      <c r="B7" s="9"/>
    </row>
    <row r="8" ht="24" customHeight="1" spans="1:12" s="9" customFormat="1" x14ac:dyDescent="0.25">
      <c r="A8" s="15" t="s">
        <v>28</v>
      </c>
      <c r="B8" s="153"/>
      <c r="C8" s="150" t="s">
        <v>29</v>
      </c>
      <c r="D8" s="15"/>
      <c r="E8" s="15"/>
      <c r="F8" s="150"/>
      <c r="G8" s="154" t="s">
        <v>30</v>
      </c>
      <c r="H8" s="20"/>
      <c r="I8" s="9"/>
      <c r="J8" s="9"/>
      <c r="K8" s="9"/>
      <c r="L8" s="9"/>
    </row>
    <row r="9" ht="11.25" customHeight="1" spans="2:2" s="9" customFormat="1" x14ac:dyDescent="0.25">
      <c r="B9" s="9"/>
    </row>
    <row r="10" ht="15" customHeight="1" spans="2:8" s="9" customFormat="1" x14ac:dyDescent="0.25">
      <c r="B10" s="9"/>
      <c r="H10" s="150" t="s">
        <v>31</v>
      </c>
    </row>
    <row r="11" ht="3.75" customHeight="1" spans="2:2" s="9" customFormat="1" x14ac:dyDescent="0.25">
      <c r="B11" s="9"/>
    </row>
    <row r="12" ht="24.75" customHeight="1" spans="1:8" s="9" customFormat="1" x14ac:dyDescent="0.25">
      <c r="A12" s="155" t="s">
        <v>32</v>
      </c>
      <c r="B12" s="156"/>
      <c r="C12" s="157" t="s">
        <v>33</v>
      </c>
      <c r="D12" s="157"/>
      <c r="E12" s="157"/>
      <c r="F12" s="157"/>
      <c r="G12" s="157"/>
      <c r="H12" s="156"/>
    </row>
    <row r="13" ht="18" customHeight="1" spans="1:9" s="9" customFormat="1" x14ac:dyDescent="0.25">
      <c r="A13" s="158" t="s">
        <v>34</v>
      </c>
      <c r="B13" s="159"/>
      <c r="C13" s="160"/>
      <c r="D13" s="160"/>
      <c r="E13" s="160"/>
      <c r="F13" s="160"/>
      <c r="G13" s="160"/>
      <c r="H13" s="160"/>
      <c r="I13" s="161"/>
    </row>
    <row r="14" ht="18" customHeight="1" spans="1:9" x14ac:dyDescent="0.25">
      <c r="A14" s="162"/>
      <c r="B14" s="163"/>
      <c r="C14" s="164"/>
      <c r="D14" s="164"/>
      <c r="E14" s="164"/>
      <c r="F14" s="164"/>
      <c r="G14" s="164"/>
      <c r="H14" s="164"/>
      <c r="I14" s="161"/>
    </row>
    <row r="15" ht="18" customHeight="1" spans="1:9" x14ac:dyDescent="0.25">
      <c r="A15" s="162"/>
      <c r="B15" s="163"/>
      <c r="C15" s="165"/>
      <c r="D15" s="166"/>
      <c r="E15" s="166"/>
      <c r="F15" s="166"/>
      <c r="G15" s="166"/>
      <c r="H15" s="167"/>
      <c r="I15" s="161"/>
    </row>
    <row r="16" ht="18" customHeight="1" spans="1:9" x14ac:dyDescent="0.25">
      <c r="A16" s="168"/>
      <c r="B16" s="169"/>
      <c r="C16" s="170"/>
      <c r="D16" s="170"/>
      <c r="E16" s="170"/>
      <c r="F16" s="170"/>
      <c r="G16" s="170"/>
      <c r="H16" s="170"/>
      <c r="I16" s="161"/>
    </row>
    <row r="17" ht="18" customHeight="1" spans="1:8" x14ac:dyDescent="0.25">
      <c r="A17" s="171"/>
      <c r="B17" s="172"/>
      <c r="C17" s="173"/>
      <c r="D17" s="174"/>
      <c r="E17" s="174"/>
      <c r="F17" s="174"/>
      <c r="G17" s="174"/>
      <c r="H17" s="175"/>
    </row>
    <row r="18" ht="18" customHeight="1" spans="1:9" x14ac:dyDescent="0.25">
      <c r="A18" s="176"/>
      <c r="B18" s="177"/>
      <c r="C18" s="178"/>
      <c r="D18" s="178"/>
      <c r="E18" s="178"/>
      <c r="F18" s="178"/>
      <c r="G18" s="178"/>
      <c r="H18" s="178"/>
      <c r="I18" s="161"/>
    </row>
    <row r="19" ht="18" customHeight="1" spans="1:9" x14ac:dyDescent="0.25">
      <c r="A19" s="179"/>
      <c r="B19" s="169"/>
      <c r="C19" s="170"/>
      <c r="D19" s="170"/>
      <c r="E19" s="170"/>
      <c r="F19" s="170"/>
      <c r="G19" s="170"/>
      <c r="H19" s="170"/>
      <c r="I19" s="161"/>
    </row>
    <row r="20" ht="18" customHeight="1" spans="1:9" x14ac:dyDescent="0.25">
      <c r="A20" s="162"/>
      <c r="B20" s="169"/>
      <c r="C20" s="170"/>
      <c r="D20" s="170"/>
      <c r="E20" s="170"/>
      <c r="F20" s="170"/>
      <c r="G20" s="170"/>
      <c r="H20" s="170"/>
      <c r="I20" s="161"/>
    </row>
    <row r="21" ht="18" customHeight="1" spans="1:9" x14ac:dyDescent="0.25">
      <c r="A21" s="180"/>
      <c r="B21" s="169"/>
      <c r="C21" s="170"/>
      <c r="D21" s="170"/>
      <c r="E21" s="170"/>
      <c r="F21" s="170"/>
      <c r="G21" s="170"/>
      <c r="H21" s="170"/>
      <c r="I21" s="161"/>
    </row>
    <row r="22" ht="18" customHeight="1" spans="1:9" x14ac:dyDescent="0.25">
      <c r="A22" s="181"/>
      <c r="B22" s="182"/>
      <c r="C22" s="183"/>
      <c r="D22" s="183"/>
      <c r="E22" s="183"/>
      <c r="F22" s="183"/>
      <c r="G22" s="183"/>
      <c r="H22" s="183"/>
      <c r="I22" s="161"/>
    </row>
    <row r="23" ht="18" customHeight="1" spans="1:9" x14ac:dyDescent="0.25">
      <c r="A23" s="176"/>
      <c r="B23" s="56"/>
      <c r="C23" s="178"/>
      <c r="D23" s="178"/>
      <c r="E23" s="178"/>
      <c r="F23" s="178"/>
      <c r="G23" s="178"/>
      <c r="H23" s="178"/>
      <c r="I23" s="161"/>
    </row>
    <row r="24" ht="18" customHeight="1" spans="1:9" x14ac:dyDescent="0.25">
      <c r="A24" s="184"/>
      <c r="B24" s="169"/>
      <c r="C24" s="170"/>
      <c r="D24" s="170"/>
      <c r="E24" s="170"/>
      <c r="F24" s="170"/>
      <c r="G24" s="170"/>
      <c r="H24" s="170"/>
      <c r="I24" s="161"/>
    </row>
    <row r="25" ht="18" customHeight="1" spans="1:9" x14ac:dyDescent="0.25">
      <c r="A25" s="168"/>
      <c r="B25" s="169"/>
      <c r="C25" s="170"/>
      <c r="D25" s="170"/>
      <c r="E25" s="170"/>
      <c r="F25" s="170"/>
      <c r="G25" s="170"/>
      <c r="H25" s="170"/>
      <c r="I25" s="161"/>
    </row>
    <row r="26" ht="18" customHeight="1" spans="1:9" x14ac:dyDescent="0.25">
      <c r="A26" s="162"/>
      <c r="B26" s="169"/>
      <c r="C26" s="170"/>
      <c r="D26" s="170"/>
      <c r="E26" s="170"/>
      <c r="F26" s="170"/>
      <c r="G26" s="170"/>
      <c r="H26" s="170"/>
      <c r="I26" s="161"/>
    </row>
    <row r="27" ht="18" customHeight="1" spans="1:9" x14ac:dyDescent="0.25">
      <c r="A27" s="185"/>
      <c r="B27" s="182"/>
      <c r="C27" s="183"/>
      <c r="D27" s="183"/>
      <c r="E27" s="183"/>
      <c r="F27" s="183"/>
      <c r="G27" s="183"/>
      <c r="H27" s="183"/>
      <c r="I27" s="161"/>
    </row>
    <row r="28" ht="18" customHeight="1" spans="1:9" x14ac:dyDescent="0.25">
      <c r="A28" s="162"/>
      <c r="B28" s="169"/>
      <c r="C28" s="170"/>
      <c r="D28" s="170"/>
      <c r="E28" s="170"/>
      <c r="F28" s="170"/>
      <c r="G28" s="170"/>
      <c r="H28" s="170"/>
      <c r="I28" s="161"/>
    </row>
    <row r="29" ht="18" customHeight="1" spans="1:8" x14ac:dyDescent="0.25">
      <c r="A29" s="162" t="s">
        <v>35</v>
      </c>
      <c r="B29" s="163"/>
      <c r="C29" s="165"/>
      <c r="D29" s="166"/>
      <c r="E29" s="166"/>
      <c r="F29" s="166"/>
      <c r="G29" s="166"/>
      <c r="H29" s="167"/>
    </row>
    <row r="30" ht="18" customHeight="1" spans="1:9" x14ac:dyDescent="0.25">
      <c r="A30" s="180"/>
      <c r="B30" s="169"/>
      <c r="C30" s="170"/>
      <c r="D30" s="170"/>
      <c r="E30" s="170"/>
      <c r="F30" s="170"/>
      <c r="G30" s="170"/>
      <c r="H30" s="170"/>
      <c r="I30" s="161"/>
    </row>
    <row r="31" ht="18" customHeight="1" spans="1:8" x14ac:dyDescent="0.25">
      <c r="A31" s="186"/>
      <c r="B31" s="169"/>
      <c r="C31" s="170"/>
      <c r="D31" s="170"/>
      <c r="E31" s="170"/>
      <c r="F31" s="170"/>
      <c r="G31" s="170"/>
      <c r="H31" s="170"/>
    </row>
    <row r="32" ht="18" customHeight="1" spans="1:9" x14ac:dyDescent="0.25">
      <c r="A32" s="171"/>
      <c r="B32" s="182"/>
      <c r="C32" s="173"/>
      <c r="D32" s="174"/>
      <c r="E32" s="174"/>
      <c r="F32" s="174"/>
      <c r="G32" s="174"/>
      <c r="H32" s="175"/>
      <c r="I32" s="161"/>
    </row>
    <row r="33" ht="18" customHeight="1" spans="1:9" x14ac:dyDescent="0.25">
      <c r="A33" s="176"/>
      <c r="B33" s="169"/>
      <c r="C33" s="170"/>
      <c r="D33" s="170"/>
      <c r="E33" s="170"/>
      <c r="F33" s="170"/>
      <c r="G33" s="170"/>
      <c r="H33" s="170"/>
      <c r="I33" s="161"/>
    </row>
    <row r="34" ht="18" customHeight="1" spans="1:9" x14ac:dyDescent="0.25">
      <c r="A34" s="162"/>
      <c r="B34" s="169"/>
      <c r="C34" s="170"/>
      <c r="D34" s="170"/>
      <c r="E34" s="170"/>
      <c r="F34" s="170"/>
      <c r="G34" s="170"/>
      <c r="H34" s="170"/>
      <c r="I34" s="161"/>
    </row>
    <row r="35" ht="18" customHeight="1" spans="1:9" x14ac:dyDescent="0.25">
      <c r="A35" s="180"/>
      <c r="B35" s="169"/>
      <c r="C35" s="170"/>
      <c r="D35" s="170"/>
      <c r="E35" s="170"/>
      <c r="F35" s="170"/>
      <c r="G35" s="170"/>
      <c r="H35" s="170"/>
      <c r="I35" s="161"/>
    </row>
    <row r="36" ht="20.1" customHeight="1" spans="1:9" x14ac:dyDescent="0.25">
      <c r="A36" s="179"/>
      <c r="B36" s="169"/>
      <c r="C36" s="170"/>
      <c r="D36" s="170"/>
      <c r="E36" s="170"/>
      <c r="F36" s="170"/>
      <c r="G36" s="170"/>
      <c r="H36" s="170"/>
      <c r="I36" s="161"/>
    </row>
    <row r="37" ht="18" customHeight="1" spans="1:9" x14ac:dyDescent="0.25">
      <c r="A37" s="187"/>
      <c r="B37" s="182"/>
      <c r="C37" s="183"/>
      <c r="D37" s="183"/>
      <c r="E37" s="183"/>
      <c r="F37" s="183"/>
      <c r="G37" s="183"/>
      <c r="H37" s="183"/>
      <c r="I37" s="161"/>
    </row>
    <row r="38" ht="20.1" customHeight="1" spans="1:9" x14ac:dyDescent="0.25">
      <c r="A38" s="184"/>
      <c r="B38" s="169"/>
      <c r="C38" s="170"/>
      <c r="D38" s="170"/>
      <c r="E38" s="170"/>
      <c r="F38" s="170"/>
      <c r="G38" s="170"/>
      <c r="H38" s="170"/>
      <c r="I38" s="161"/>
    </row>
    <row r="39" ht="20.1" customHeight="1" spans="1:9" x14ac:dyDescent="0.25">
      <c r="A39" s="168"/>
      <c r="B39" s="169"/>
      <c r="C39" s="170"/>
      <c r="D39" s="170"/>
      <c r="E39" s="170"/>
      <c r="F39" s="170"/>
      <c r="G39" s="170"/>
      <c r="H39" s="170"/>
      <c r="I39" s="161"/>
    </row>
    <row r="40" ht="20.1" customHeight="1" spans="1:8" x14ac:dyDescent="0.25">
      <c r="A40" s="162"/>
      <c r="B40" s="169"/>
      <c r="C40" s="170"/>
      <c r="D40" s="170"/>
      <c r="E40" s="170"/>
      <c r="F40" s="170"/>
      <c r="G40" s="170"/>
      <c r="H40" s="170"/>
    </row>
    <row r="41" ht="18" customHeight="1" spans="1:9" x14ac:dyDescent="0.25">
      <c r="A41" s="186"/>
      <c r="B41" s="169"/>
      <c r="C41" s="170"/>
      <c r="D41" s="170"/>
      <c r="E41" s="170"/>
      <c r="F41" s="170"/>
      <c r="G41" s="170"/>
      <c r="H41" s="170"/>
      <c r="I41" s="161"/>
    </row>
    <row r="42" ht="18" customHeight="1" spans="1:9" x14ac:dyDescent="0.25">
      <c r="A42" s="184"/>
      <c r="B42" s="56"/>
      <c r="C42" s="178"/>
      <c r="D42" s="178"/>
      <c r="E42" s="178"/>
      <c r="F42" s="178"/>
      <c r="G42" s="178"/>
      <c r="H42" s="178"/>
      <c r="I42" s="161"/>
    </row>
    <row r="43" ht="20.1" customHeight="1" spans="1:9" x14ac:dyDescent="0.25">
      <c r="A43" s="3"/>
      <c r="B43" s="90"/>
      <c r="C43" s="42"/>
      <c r="D43" s="42"/>
      <c r="E43" s="42"/>
      <c r="F43" s="42"/>
      <c r="G43" s="42"/>
      <c r="H43" s="42"/>
      <c r="I43" s="161"/>
    </row>
    <row r="44" ht="20.1" customHeight="1" spans="1:8" x14ac:dyDescent="0.25">
      <c r="A44" s="3"/>
      <c r="B44" s="90"/>
      <c r="C44" s="42"/>
      <c r="D44" s="42"/>
      <c r="E44" s="42"/>
      <c r="F44" s="42"/>
      <c r="G44" s="42"/>
      <c r="H44" s="42"/>
    </row>
    <row r="45" ht="19.95" customHeight="1" spans="1:2" x14ac:dyDescent="0.25">
      <c r="A45" s="188"/>
      <c r="B45" s="188"/>
    </row>
    <row r="46" spans="1:8" x14ac:dyDescent="0.25">
      <c r="A46" s="189" t="s">
        <v>22</v>
      </c>
      <c r="B46" s="190"/>
      <c r="C46" s="9"/>
      <c r="D46" s="9"/>
      <c r="E46" s="9"/>
      <c r="G46" s="8"/>
      <c r="H46" s="15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zoomScale="85" zoomScaleNormal="85">
      <selection activeCell="B8" sqref="B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8" x14ac:dyDescent="0.25">
      <c r="A1" s="191" t="s">
        <v>24</v>
      </c>
      <c r="B1" s="191"/>
      <c r="C1" s="191"/>
      <c r="D1" s="191"/>
      <c r="E1" s="191"/>
      <c r="F1" s="191"/>
      <c r="G1" s="191"/>
      <c r="H1" s="191"/>
    </row>
    <row r="2" ht="19.8" customHeight="1" spans="1:8" x14ac:dyDescent="0.25">
      <c r="A2" s="323" t="s">
        <v>25</v>
      </c>
      <c r="B2" s="323"/>
      <c r="C2" s="323"/>
      <c r="D2" s="323"/>
      <c r="E2" s="323"/>
      <c r="F2" s="323"/>
      <c r="G2" s="323"/>
      <c r="H2" s="323"/>
    </row>
    <row r="3" ht="19.8" customHeight="1" spans="1:8" x14ac:dyDescent="0.25">
      <c r="A3" s="8"/>
      <c r="B3" s="8"/>
      <c r="C3" s="8"/>
      <c r="D3" s="8"/>
      <c r="E3" s="8"/>
      <c r="F3" s="147"/>
      <c r="G3" s="147"/>
      <c r="H3" s="147"/>
    </row>
    <row r="4" spans="1:8" x14ac:dyDescent="0.25">
      <c r="A4" s="3" t="s">
        <v>129</v>
      </c>
      <c r="B4" s="194" t="s">
        <v>3</v>
      </c>
      <c r="C4" s="194"/>
      <c r="E4" s="324"/>
      <c r="F4" s="11" t="s">
        <v>130</v>
      </c>
      <c r="G4" s="193"/>
      <c r="H4" s="8"/>
    </row>
    <row r="5" ht="12" customHeight="1" spans="1:6" x14ac:dyDescent="0.25">
      <c r="A5" s="325"/>
      <c r="B5" s="324"/>
      <c r="E5" s="324"/>
      <c r="F5" s="13"/>
    </row>
    <row r="6" spans="1:7" x14ac:dyDescent="0.25">
      <c r="A6" s="3" t="s">
        <v>131</v>
      </c>
      <c r="B6" s="8" t="s">
        <v>60</v>
      </c>
      <c r="C6" s="8"/>
      <c r="E6" s="3" t="s">
        <v>132</v>
      </c>
      <c r="F6" s="11" t="s">
        <v>133</v>
      </c>
      <c r="G6" s="324" t="s">
        <v>25</v>
      </c>
    </row>
    <row r="7" ht="12" customHeight="1" spans="1:8" x14ac:dyDescent="0.25">
      <c r="A7" s="324" t="s">
        <v>132</v>
      </c>
      <c r="B7" s="324"/>
      <c r="F7" s="147"/>
      <c r="H7" s="324"/>
    </row>
    <row r="8" ht="30.75" customHeight="1" spans="2:8" x14ac:dyDescent="0.25">
      <c r="B8" s="326" t="s">
        <v>134</v>
      </c>
      <c r="C8" s="327"/>
      <c r="D8" s="327"/>
      <c r="E8" s="327"/>
      <c r="F8" s="327"/>
      <c r="G8" s="328"/>
      <c r="H8" s="147"/>
    </row>
    <row r="9" ht="17.25" customHeight="1" spans="8:8" x14ac:dyDescent="0.25">
      <c r="H9" s="8" t="s">
        <v>135</v>
      </c>
    </row>
    <row r="10" ht="24" customHeight="1" spans="1:8" x14ac:dyDescent="0.25">
      <c r="A10" s="211" t="s">
        <v>136</v>
      </c>
      <c r="B10" s="212"/>
      <c r="C10" s="213"/>
      <c r="D10" s="329" t="s">
        <v>137</v>
      </c>
      <c r="E10" s="211" t="s">
        <v>138</v>
      </c>
      <c r="F10" s="213"/>
      <c r="G10" s="198" t="s">
        <v>139</v>
      </c>
      <c r="H10" s="198" t="s">
        <v>51</v>
      </c>
    </row>
    <row r="11" ht="24" customHeight="1" spans="1:8" x14ac:dyDescent="0.25">
      <c r="A11" s="155" t="s">
        <v>140</v>
      </c>
      <c r="B11" s="156"/>
      <c r="C11" s="330" t="s">
        <v>141</v>
      </c>
      <c r="D11" s="331"/>
      <c r="E11" s="330" t="s">
        <v>140</v>
      </c>
      <c r="F11" s="330" t="s">
        <v>141</v>
      </c>
      <c r="G11" s="202"/>
      <c r="H11" s="202"/>
    </row>
    <row r="12" ht="21.9" customHeight="1" spans="1:8" x14ac:dyDescent="0.25">
      <c r="A12" s="332"/>
      <c r="B12" s="3"/>
      <c r="C12" s="333"/>
      <c r="D12" s="232"/>
      <c r="E12" s="232"/>
      <c r="F12" s="333"/>
      <c r="G12" s="232"/>
      <c r="H12" s="333"/>
    </row>
    <row r="13" ht="21.9" customHeight="1" spans="1:8" x14ac:dyDescent="0.25">
      <c r="A13" s="334"/>
      <c r="B13" s="3"/>
      <c r="C13" s="210"/>
      <c r="D13" s="210"/>
      <c r="E13" s="210"/>
      <c r="F13" s="335"/>
      <c r="G13" s="210"/>
      <c r="H13" s="334"/>
    </row>
    <row r="14" ht="21.9" customHeight="1" spans="1:8" x14ac:dyDescent="0.25">
      <c r="A14" s="334"/>
      <c r="B14" s="3"/>
      <c r="C14" s="334"/>
      <c r="D14" s="210"/>
      <c r="E14" s="210"/>
      <c r="F14" s="334"/>
      <c r="G14" s="210"/>
      <c r="H14" s="334"/>
    </row>
    <row r="15" ht="21.9" customHeight="1" spans="1:8" x14ac:dyDescent="0.25">
      <c r="A15" s="334"/>
      <c r="B15" s="3"/>
      <c r="C15" s="334"/>
      <c r="D15" s="210"/>
      <c r="E15" s="210"/>
      <c r="F15" s="335"/>
      <c r="G15" s="210"/>
      <c r="H15" s="334"/>
    </row>
    <row r="16" ht="21.9" customHeight="1" spans="1:8" x14ac:dyDescent="0.25">
      <c r="A16" s="336"/>
      <c r="B16" s="3"/>
      <c r="C16" s="336"/>
      <c r="D16" s="337"/>
      <c r="E16" s="337"/>
      <c r="F16" s="338"/>
      <c r="G16" s="337"/>
      <c r="H16" s="336"/>
    </row>
    <row r="17" ht="21.9" customHeight="1" spans="1:8" x14ac:dyDescent="0.25">
      <c r="A17" s="269"/>
      <c r="B17" s="3"/>
      <c r="C17" s="269"/>
      <c r="D17" s="269"/>
      <c r="E17" s="269"/>
      <c r="F17" s="339"/>
      <c r="G17" s="269"/>
      <c r="H17" s="269"/>
    </row>
    <row r="18" ht="21.9" customHeight="1" spans="1:8" x14ac:dyDescent="0.25">
      <c r="A18" s="334"/>
      <c r="B18" s="3"/>
      <c r="C18" s="334"/>
      <c r="D18" s="210"/>
      <c r="E18" s="210"/>
      <c r="F18" s="340"/>
      <c r="G18" s="210"/>
      <c r="H18" s="334"/>
    </row>
    <row r="19" ht="21.9" customHeight="1" spans="1:8" x14ac:dyDescent="0.25">
      <c r="A19" s="334"/>
      <c r="B19" s="3"/>
      <c r="C19" s="334"/>
      <c r="D19" s="210"/>
      <c r="E19" s="210"/>
      <c r="F19" s="340"/>
      <c r="G19" s="210"/>
      <c r="H19" s="334"/>
    </row>
    <row r="20" ht="21.9" customHeight="1" spans="1:8" x14ac:dyDescent="0.25">
      <c r="A20" s="334"/>
      <c r="B20" s="3"/>
      <c r="C20" s="334"/>
      <c r="D20" s="210"/>
      <c r="E20" s="210"/>
      <c r="F20" s="340"/>
      <c r="G20" s="210"/>
      <c r="H20" s="334"/>
    </row>
    <row r="21" ht="21.9" customHeight="1" spans="1:8" x14ac:dyDescent="0.25">
      <c r="A21" s="336"/>
      <c r="B21" s="3"/>
      <c r="C21" s="336"/>
      <c r="D21" s="337"/>
      <c r="E21" s="337"/>
      <c r="F21" s="341"/>
      <c r="G21" s="337"/>
      <c r="H21" s="336"/>
    </row>
    <row r="22" ht="21.9" customHeight="1" spans="1:8" x14ac:dyDescent="0.25">
      <c r="A22" s="342"/>
      <c r="B22" s="3"/>
      <c r="C22" s="342"/>
      <c r="D22" s="232"/>
      <c r="E22" s="232"/>
      <c r="F22" s="343"/>
      <c r="G22" s="232"/>
      <c r="H22" s="342"/>
    </row>
    <row r="23" ht="21.9" customHeight="1" spans="1:8" x14ac:dyDescent="0.25">
      <c r="A23" s="334"/>
      <c r="B23" s="3"/>
      <c r="C23" s="334"/>
      <c r="D23" s="210"/>
      <c r="E23" s="210"/>
      <c r="F23" s="335"/>
      <c r="G23" s="210"/>
      <c r="H23" s="334"/>
    </row>
    <row r="24" ht="21.9" customHeight="1" spans="1:8" x14ac:dyDescent="0.25">
      <c r="A24" s="334"/>
      <c r="B24" s="3"/>
      <c r="C24" s="334"/>
      <c r="D24" s="210"/>
      <c r="E24" s="210"/>
      <c r="F24" s="335"/>
      <c r="G24" s="210"/>
      <c r="H24" s="334"/>
    </row>
    <row r="25" ht="21.9" customHeight="1" spans="1:8" x14ac:dyDescent="0.25">
      <c r="A25" s="334"/>
      <c r="B25" s="3"/>
      <c r="C25" s="334"/>
      <c r="D25" s="210"/>
      <c r="E25" s="210"/>
      <c r="F25" s="335"/>
      <c r="G25" s="210"/>
      <c r="H25" s="334"/>
    </row>
    <row r="26" ht="21.9" customHeight="1" spans="1:8" x14ac:dyDescent="0.25">
      <c r="A26" s="344"/>
      <c r="B26" s="3"/>
      <c r="C26" s="344"/>
      <c r="D26" s="329"/>
      <c r="E26" s="329"/>
      <c r="F26" s="345"/>
      <c r="G26" s="329"/>
      <c r="H26" s="344"/>
    </row>
    <row r="27" ht="21.9" customHeight="1" spans="1:8" x14ac:dyDescent="0.25">
      <c r="A27" s="346"/>
      <c r="B27" s="3"/>
      <c r="C27" s="347"/>
      <c r="D27" s="347"/>
      <c r="E27" s="347"/>
      <c r="F27" s="347"/>
      <c r="G27" s="347"/>
      <c r="H27" s="347"/>
    </row>
    <row r="28" ht="21.9" customHeight="1" spans="1:8" x14ac:dyDescent="0.25">
      <c r="A28" s="348"/>
      <c r="B28" s="3"/>
      <c r="C28" s="334"/>
      <c r="D28" s="334"/>
      <c r="E28" s="334"/>
      <c r="F28" s="334"/>
      <c r="G28" s="334"/>
      <c r="H28" s="334"/>
    </row>
    <row r="29" ht="21.9" customHeight="1" spans="1:8" x14ac:dyDescent="0.25">
      <c r="A29" s="348"/>
      <c r="B29" s="3"/>
      <c r="C29" s="349"/>
      <c r="D29" s="349"/>
      <c r="E29" s="349"/>
      <c r="F29" s="349"/>
      <c r="G29" s="349"/>
      <c r="H29" s="349"/>
    </row>
    <row r="30" ht="21.9" customHeight="1" spans="1:8" x14ac:dyDescent="0.25">
      <c r="A30" s="348"/>
      <c r="B30" s="3"/>
      <c r="C30" s="349"/>
      <c r="D30" s="349"/>
      <c r="E30" s="349"/>
      <c r="F30" s="349"/>
      <c r="G30" s="349"/>
      <c r="H30" s="349"/>
    </row>
    <row r="31" ht="21.9" customHeight="1" spans="1:8" x14ac:dyDescent="0.25">
      <c r="A31" s="348"/>
      <c r="B31" s="3"/>
      <c r="C31" s="349"/>
      <c r="D31" s="349"/>
      <c r="E31" s="349"/>
      <c r="F31" s="349"/>
      <c r="G31" s="349"/>
      <c r="H31" s="349"/>
    </row>
    <row r="32" ht="9" customHeight="1" spans="1:8" x14ac:dyDescent="0.25">
      <c r="A32" s="9"/>
      <c r="B32" s="9"/>
      <c r="C32" s="9"/>
      <c r="D32" s="9"/>
      <c r="E32" s="9"/>
      <c r="F32" s="9"/>
      <c r="G32" s="9"/>
      <c r="H32" s="9"/>
    </row>
    <row r="33" ht="21.9" customHeight="1" spans="1:8" x14ac:dyDescent="0.25">
      <c r="A33" s="329" t="s">
        <v>142</v>
      </c>
      <c r="B33" s="210" t="s">
        <v>94</v>
      </c>
      <c r="C33" s="210">
        <v>1</v>
      </c>
      <c r="D33" s="9"/>
      <c r="E33" s="9"/>
      <c r="F33" s="9"/>
      <c r="G33" s="9"/>
      <c r="H33" s="9"/>
    </row>
    <row r="34" ht="21.9" customHeight="1" spans="1:8" x14ac:dyDescent="0.25">
      <c r="A34" s="232"/>
      <c r="B34" s="210" t="s">
        <v>143</v>
      </c>
      <c r="C34" s="210"/>
      <c r="D34" s="9"/>
      <c r="E34" s="9"/>
      <c r="F34" s="9"/>
      <c r="G34" s="9"/>
      <c r="H34" s="9"/>
    </row>
    <row r="35" ht="21.9" customHeight="1" spans="1:3" x14ac:dyDescent="0.25">
      <c r="A35" s="198" t="s">
        <v>144</v>
      </c>
      <c r="B35" s="195" t="s">
        <v>94</v>
      </c>
      <c r="C35" s="307">
        <v>2</v>
      </c>
    </row>
    <row r="36" ht="21.9" customHeight="1" spans="1:8" x14ac:dyDescent="0.25">
      <c r="A36" s="202"/>
      <c r="B36" s="199" t="s">
        <v>143</v>
      </c>
      <c r="C36" s="37"/>
      <c r="G36" s="188"/>
      <c r="H36" s="188"/>
    </row>
    <row r="37" ht="21.9" customHeight="1" spans="1:8" x14ac:dyDescent="0.25">
      <c r="A37" s="350" t="s">
        <v>145</v>
      </c>
      <c r="B37" s="351"/>
      <c r="C37" s="307">
        <f>SUM(C33:C36)</f>
        <v>3</v>
      </c>
      <c r="G37" s="189" t="s">
        <v>22</v>
      </c>
      <c r="H37" s="189"/>
    </row>
    <row r="38" ht="30" customHeight="1" spans="1:8" x14ac:dyDescent="0.25">
      <c r="A38" s="191" t="s">
        <v>24</v>
      </c>
      <c r="B38" s="191"/>
      <c r="C38" s="191"/>
      <c r="D38" s="191"/>
      <c r="E38" s="191"/>
      <c r="F38" s="191"/>
      <c r="G38" s="191"/>
      <c r="H38" s="191"/>
    </row>
    <row r="39" ht="19.8" customHeight="1" spans="1:8" x14ac:dyDescent="0.25">
      <c r="A39" s="323" t="s">
        <v>25</v>
      </c>
      <c r="B39" s="323"/>
      <c r="C39" s="323"/>
      <c r="D39" s="323"/>
      <c r="E39" s="323"/>
      <c r="F39" s="323"/>
      <c r="G39" s="323"/>
      <c r="H39" s="323"/>
    </row>
    <row r="40" ht="19.8" customHeight="1" spans="1:8" x14ac:dyDescent="0.25">
      <c r="A40" s="8"/>
      <c r="B40" s="8"/>
      <c r="C40" s="8"/>
      <c r="D40" s="8"/>
      <c r="E40" s="8"/>
      <c r="F40" s="147"/>
      <c r="G40" s="147"/>
      <c r="H40" s="147"/>
    </row>
    <row r="41" spans="1:8" x14ac:dyDescent="0.25">
      <c r="A41" s="3" t="s">
        <v>129</v>
      </c>
      <c r="B41" s="194" t="str">
        <f>모선이름</f>
        <v>SITC MOJI</v>
      </c>
      <c r="C41" s="194"/>
      <c r="E41" s="324"/>
      <c r="F41" s="11" t="s">
        <v>130</v>
      </c>
      <c r="G41" s="193">
        <v>46225</v>
      </c>
      <c r="H41" s="8"/>
    </row>
    <row r="42" ht="12" customHeight="1" spans="1:6" x14ac:dyDescent="0.25">
      <c r="A42" s="325"/>
      <c r="B42" s="324"/>
      <c r="E42" s="324"/>
      <c r="F42" s="13"/>
    </row>
    <row r="43" spans="1:7" x14ac:dyDescent="0.25">
      <c r="A43" s="3" t="s">
        <v>131</v>
      </c>
      <c r="B43" s="8" t="s">
        <v>84</v>
      </c>
      <c r="C43" s="8"/>
      <c r="E43" s="3" t="s">
        <v>132</v>
      </c>
      <c r="F43" s="11" t="s">
        <v>133</v>
      </c>
      <c r="G43" s="324" t="s">
        <v>25</v>
      </c>
    </row>
    <row r="44" ht="12" customHeight="1" spans="1:8" x14ac:dyDescent="0.25">
      <c r="A44" s="324" t="s">
        <v>132</v>
      </c>
      <c r="B44" s="324"/>
      <c r="F44" s="147"/>
      <c r="H44" s="324"/>
    </row>
    <row r="45" ht="30.75" customHeight="1" spans="2:8" x14ac:dyDescent="0.25">
      <c r="B45" s="326" t="s">
        <v>134</v>
      </c>
      <c r="C45" s="327"/>
      <c r="D45" s="327"/>
      <c r="E45" s="327"/>
      <c r="F45" s="327"/>
      <c r="G45" s="328"/>
      <c r="H45" s="352"/>
    </row>
    <row r="46" ht="17.25" customHeight="1" spans="8:8" x14ac:dyDescent="0.25">
      <c r="H46" s="8" t="s">
        <v>146</v>
      </c>
    </row>
    <row r="47" ht="24" customHeight="1" spans="1:8" x14ac:dyDescent="0.25">
      <c r="A47" s="211" t="s">
        <v>136</v>
      </c>
      <c r="B47" s="212"/>
      <c r="C47" s="213"/>
      <c r="D47" s="329" t="s">
        <v>137</v>
      </c>
      <c r="E47" s="211" t="s">
        <v>138</v>
      </c>
      <c r="F47" s="213"/>
      <c r="G47" s="198" t="s">
        <v>139</v>
      </c>
      <c r="H47" s="198" t="s">
        <v>51</v>
      </c>
    </row>
    <row r="48" ht="24" customHeight="1" spans="1:8" x14ac:dyDescent="0.25">
      <c r="A48" s="155" t="s">
        <v>140</v>
      </c>
      <c r="B48" s="156"/>
      <c r="C48" s="330" t="s">
        <v>141</v>
      </c>
      <c r="D48" s="331"/>
      <c r="E48" s="330" t="s">
        <v>140</v>
      </c>
      <c r="F48" s="330" t="s">
        <v>141</v>
      </c>
      <c r="G48" s="202"/>
      <c r="H48" s="202"/>
    </row>
    <row r="49" ht="21.9" customHeight="1" spans="1:8" x14ac:dyDescent="0.25">
      <c r="A49" s="332" t="s">
        <v>128</v>
      </c>
      <c r="B49" s="332"/>
      <c r="C49" s="353"/>
      <c r="D49" s="232"/>
      <c r="E49" s="232"/>
      <c r="F49" s="354"/>
      <c r="G49" s="232"/>
      <c r="H49" s="232"/>
    </row>
    <row r="50" ht="21.9" customHeight="1" spans="1:8" x14ac:dyDescent="0.25">
      <c r="A50" s="342"/>
      <c r="B50" s="342"/>
      <c r="C50" s="232"/>
      <c r="D50" s="232"/>
      <c r="E50" s="232"/>
      <c r="F50" s="354"/>
      <c r="G50" s="232"/>
      <c r="H50" s="232"/>
    </row>
    <row r="51" ht="21.9" customHeight="1" spans="1:8" x14ac:dyDescent="0.25">
      <c r="A51" s="334"/>
      <c r="B51" s="334"/>
      <c r="C51" s="355"/>
      <c r="D51" s="210"/>
      <c r="E51" s="210"/>
      <c r="F51" s="356"/>
      <c r="G51" s="210"/>
      <c r="H51" s="210"/>
    </row>
    <row r="52" ht="21.9" customHeight="1" spans="1:8" x14ac:dyDescent="0.25">
      <c r="A52" s="210"/>
      <c r="B52" s="210"/>
      <c r="C52" s="355"/>
      <c r="D52" s="210"/>
      <c r="E52" s="210"/>
      <c r="F52" s="356"/>
      <c r="G52" s="210"/>
      <c r="H52" s="210"/>
    </row>
    <row r="53" ht="21.9" customHeight="1" spans="1:8" x14ac:dyDescent="0.25">
      <c r="A53" s="357"/>
      <c r="B53" s="357"/>
      <c r="C53" s="357"/>
      <c r="D53" s="337"/>
      <c r="E53" s="337"/>
      <c r="F53" s="358"/>
      <c r="G53" s="337"/>
      <c r="H53" s="337"/>
    </row>
    <row r="54" ht="21.9" customHeight="1" spans="1:8" x14ac:dyDescent="0.25">
      <c r="A54" s="359"/>
      <c r="B54" s="359"/>
      <c r="C54" s="359"/>
      <c r="D54" s="360"/>
      <c r="E54" s="360"/>
      <c r="F54" s="361"/>
      <c r="G54" s="360"/>
      <c r="H54" s="360"/>
    </row>
    <row r="55" ht="21.9" customHeight="1" spans="1:8" x14ac:dyDescent="0.25">
      <c r="A55" s="362"/>
      <c r="B55" s="362"/>
      <c r="C55" s="362"/>
      <c r="D55" s="210"/>
      <c r="E55" s="210"/>
      <c r="F55" s="356"/>
      <c r="G55" s="210"/>
      <c r="H55" s="210"/>
    </row>
    <row r="56" ht="21.9" customHeight="1" spans="1:8" x14ac:dyDescent="0.25">
      <c r="A56" s="363"/>
      <c r="B56" s="364"/>
      <c r="C56" s="362"/>
      <c r="D56" s="210"/>
      <c r="E56" s="210"/>
      <c r="F56" s="356"/>
      <c r="G56" s="210"/>
      <c r="H56" s="210"/>
    </row>
    <row r="57" ht="21.9" customHeight="1" spans="1:8" x14ac:dyDescent="0.25">
      <c r="A57" s="365"/>
      <c r="B57" s="366"/>
      <c r="C57" s="355"/>
      <c r="D57" s="210"/>
      <c r="E57" s="210"/>
      <c r="F57" s="356"/>
      <c r="G57" s="210"/>
      <c r="H57" s="210"/>
    </row>
    <row r="58" ht="21.9" customHeight="1" spans="1:8" x14ac:dyDescent="0.25">
      <c r="A58" s="337"/>
      <c r="B58" s="337"/>
      <c r="C58" s="367"/>
      <c r="D58" s="337"/>
      <c r="E58" s="337"/>
      <c r="F58" s="337"/>
      <c r="G58" s="337"/>
      <c r="H58" s="337"/>
    </row>
    <row r="59" ht="21.9" customHeight="1" spans="1:8" x14ac:dyDescent="0.25">
      <c r="A59" s="232"/>
      <c r="B59" s="232"/>
      <c r="C59" s="368"/>
      <c r="D59" s="232"/>
      <c r="E59" s="232"/>
      <c r="F59" s="232"/>
      <c r="G59" s="232"/>
      <c r="H59" s="232"/>
    </row>
    <row r="60" ht="21.9" customHeight="1" spans="1:8" x14ac:dyDescent="0.25">
      <c r="A60" s="210"/>
      <c r="B60" s="210"/>
      <c r="C60" s="369"/>
      <c r="D60" s="210"/>
      <c r="E60" s="210"/>
      <c r="F60" s="210"/>
      <c r="G60" s="210"/>
      <c r="H60" s="210"/>
    </row>
    <row r="61" ht="21.9" customHeight="1" spans="1:8" x14ac:dyDescent="0.25">
      <c r="A61" s="210"/>
      <c r="B61" s="210"/>
      <c r="C61" s="355"/>
      <c r="D61" s="210"/>
      <c r="E61" s="210"/>
      <c r="F61" s="210"/>
      <c r="G61" s="210"/>
      <c r="H61" s="210"/>
    </row>
    <row r="62" ht="21.9" customHeight="1" spans="1:8" x14ac:dyDescent="0.25">
      <c r="A62" s="370"/>
      <c r="B62" s="370"/>
      <c r="C62" s="371"/>
      <c r="D62" s="307"/>
      <c r="E62" s="370"/>
      <c r="F62" s="370"/>
      <c r="G62" s="370"/>
      <c r="H62" s="370"/>
    </row>
    <row r="63" ht="21.9" customHeight="1" spans="1:8" x14ac:dyDescent="0.25">
      <c r="A63" s="372"/>
      <c r="B63" s="372"/>
      <c r="C63" s="373"/>
      <c r="D63" s="374"/>
      <c r="E63" s="372"/>
      <c r="F63" s="372"/>
      <c r="G63" s="372"/>
      <c r="H63" s="372"/>
    </row>
    <row r="64" ht="21.9" customHeight="1" spans="1:8" x14ac:dyDescent="0.25">
      <c r="A64" s="375"/>
      <c r="B64" s="375"/>
      <c r="C64" s="376"/>
      <c r="D64" s="30"/>
      <c r="E64" s="375"/>
      <c r="F64" s="375"/>
      <c r="G64" s="375"/>
      <c r="H64" s="375"/>
    </row>
    <row r="65" ht="21.9" customHeight="1" spans="1:8" x14ac:dyDescent="0.25">
      <c r="A65" s="370"/>
      <c r="B65" s="370"/>
      <c r="C65" s="371"/>
      <c r="D65" s="307"/>
      <c r="E65" s="370"/>
      <c r="F65" s="370"/>
      <c r="G65" s="370"/>
      <c r="H65" s="370"/>
    </row>
    <row r="66" ht="21.9" customHeight="1" spans="1:8" x14ac:dyDescent="0.25">
      <c r="A66" s="370"/>
      <c r="B66" s="370"/>
      <c r="C66" s="371"/>
      <c r="D66" s="307"/>
      <c r="E66" s="370"/>
      <c r="F66" s="370"/>
      <c r="G66" s="370"/>
      <c r="H66" s="370"/>
    </row>
    <row r="67" ht="21.9" customHeight="1" spans="1:8" x14ac:dyDescent="0.25">
      <c r="A67" s="370"/>
      <c r="B67" s="370"/>
      <c r="C67" s="371"/>
      <c r="D67" s="370"/>
      <c r="E67" s="370"/>
      <c r="F67" s="370"/>
      <c r="G67" s="370"/>
      <c r="H67" s="370"/>
    </row>
    <row r="68" ht="21.9" customHeight="1" spans="1:8" x14ac:dyDescent="0.25">
      <c r="A68" s="370"/>
      <c r="B68" s="370"/>
      <c r="C68" s="371"/>
      <c r="D68" s="370"/>
      <c r="E68" s="370"/>
      <c r="F68" s="371"/>
      <c r="G68" s="370"/>
      <c r="H68" s="370"/>
    </row>
    <row r="69" ht="9" customHeight="1" x14ac:dyDescent="0.25"/>
    <row r="70" ht="21.9" customHeight="1" spans="1:3" x14ac:dyDescent="0.25">
      <c r="A70" s="198" t="s">
        <v>142</v>
      </c>
      <c r="B70" s="377" t="s">
        <v>94</v>
      </c>
      <c r="C70" s="252"/>
    </row>
    <row r="71" ht="21.9" customHeight="1" spans="1:3" x14ac:dyDescent="0.25">
      <c r="A71" s="378"/>
      <c r="B71" s="377" t="s">
        <v>143</v>
      </c>
      <c r="C71" s="252"/>
    </row>
    <row r="72" ht="21.9" customHeight="1" spans="1:3" x14ac:dyDescent="0.25">
      <c r="A72" s="198" t="s">
        <v>144</v>
      </c>
      <c r="B72" s="377" t="s">
        <v>94</v>
      </c>
      <c r="C72" s="252"/>
    </row>
    <row r="73" ht="21.9" customHeight="1" spans="1:8" x14ac:dyDescent="0.25">
      <c r="A73" s="202"/>
      <c r="B73" s="199" t="s">
        <v>143</v>
      </c>
      <c r="C73" s="37"/>
      <c r="G73" s="188"/>
      <c r="H73" s="188"/>
    </row>
    <row r="74" ht="21.9" customHeight="1" spans="1:8" x14ac:dyDescent="0.25">
      <c r="A74" s="350" t="s">
        <v>145</v>
      </c>
      <c r="B74" s="351"/>
      <c r="C74" s="252">
        <f>SUM(C70:C73)</f>
        <v>0</v>
      </c>
      <c r="G74" s="189" t="s">
        <v>22</v>
      </c>
      <c r="H74" s="189"/>
    </row>
  </sheetData>
  <mergeCells count="52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53" width="9" style="1" customWidth="1"/>
    <col min="254" max="254" width="13.8984375" style="1" customWidth="1"/>
    <col min="255" max="255" width="9.8984375" style="1" customWidth="1"/>
    <col min="256" max="256" width="8.3984375" style="1" customWidth="1"/>
    <col min="257" max="257" width="8.19921875" style="1" customWidth="1"/>
    <col min="258" max="258" width="5.59765625" style="1" customWidth="1"/>
    <col min="259" max="260" width="8.3984375" style="1" customWidth="1"/>
    <col min="261" max="261" width="11.09765625" style="1" customWidth="1"/>
    <col min="262" max="262" width="11.59765625" style="1" customWidth="1"/>
    <col min="263" max="509" width="9" style="1" customWidth="1"/>
    <col min="510" max="510" width="13.8984375" style="1" customWidth="1"/>
    <col min="511" max="511" width="9.8984375" style="1" customWidth="1"/>
    <col min="512" max="512" width="8.3984375" style="1" customWidth="1"/>
    <col min="513" max="513" width="8.19921875" style="1" customWidth="1"/>
    <col min="514" max="514" width="5.59765625" style="1" customWidth="1"/>
    <col min="515" max="516" width="8.3984375" style="1" customWidth="1"/>
    <col min="517" max="517" width="11.09765625" style="1" customWidth="1"/>
    <col min="518" max="518" width="11.59765625" style="1" customWidth="1"/>
    <col min="519" max="765" width="9" style="1" customWidth="1"/>
    <col min="766" max="766" width="13.8984375" style="1" customWidth="1"/>
    <col min="767" max="767" width="9.8984375" style="1" customWidth="1"/>
    <col min="768" max="768" width="8.3984375" style="1" customWidth="1"/>
    <col min="769" max="769" width="8.19921875" style="1" customWidth="1"/>
    <col min="770" max="770" width="5.59765625" style="1" customWidth="1"/>
    <col min="771" max="772" width="8.3984375" style="1" customWidth="1"/>
    <col min="773" max="773" width="11.09765625" style="1" customWidth="1"/>
    <col min="774" max="774" width="11.59765625" style="1" customWidth="1"/>
    <col min="775" max="1021" width="9" style="1" customWidth="1"/>
    <col min="1022" max="1022" width="13.8984375" style="1" customWidth="1"/>
    <col min="1023" max="1023" width="9.8984375" style="1" customWidth="1"/>
    <col min="1024" max="1024" width="8.3984375" style="1" customWidth="1"/>
    <col min="1025" max="1025" width="8.19921875" style="1" customWidth="1"/>
    <col min="1026" max="1026" width="5.59765625" style="1" customWidth="1"/>
    <col min="1027" max="1028" width="8.3984375" style="1" customWidth="1"/>
    <col min="1029" max="1029" width="11.09765625" style="1" customWidth="1"/>
    <col min="1030" max="1030" width="11.59765625" style="1" customWidth="1"/>
    <col min="1031" max="1277" width="9" style="1" customWidth="1"/>
    <col min="1278" max="1278" width="13.8984375" style="1" customWidth="1"/>
    <col min="1279" max="1279" width="9.8984375" style="1" customWidth="1"/>
    <col min="1280" max="1280" width="8.3984375" style="1" customWidth="1"/>
    <col min="1281" max="1281" width="8.19921875" style="1" customWidth="1"/>
    <col min="1282" max="1282" width="5.59765625" style="1" customWidth="1"/>
    <col min="1283" max="1284" width="8.3984375" style="1" customWidth="1"/>
    <col min="1285" max="1285" width="11.09765625" style="1" customWidth="1"/>
    <col min="1286" max="1286" width="11.59765625" style="1" customWidth="1"/>
    <col min="1287" max="1533" width="9" style="1" customWidth="1"/>
    <col min="1534" max="1534" width="13.8984375" style="1" customWidth="1"/>
    <col min="1535" max="1535" width="9.8984375" style="1" customWidth="1"/>
    <col min="1536" max="1536" width="8.3984375" style="1" customWidth="1"/>
    <col min="1537" max="1537" width="8.19921875" style="1" customWidth="1"/>
    <col min="1538" max="1538" width="5.59765625" style="1" customWidth="1"/>
    <col min="1539" max="1540" width="8.3984375" style="1" customWidth="1"/>
    <col min="1541" max="1541" width="11.09765625" style="1" customWidth="1"/>
    <col min="1542" max="1542" width="11.59765625" style="1" customWidth="1"/>
    <col min="1543" max="1789" width="9" style="1" customWidth="1"/>
    <col min="1790" max="1790" width="13.8984375" style="1" customWidth="1"/>
    <col min="1791" max="1791" width="9.8984375" style="1" customWidth="1"/>
    <col min="1792" max="1792" width="8.3984375" style="1" customWidth="1"/>
    <col min="1793" max="1793" width="8.19921875" style="1" customWidth="1"/>
    <col min="1794" max="1794" width="5.59765625" style="1" customWidth="1"/>
    <col min="1795" max="1796" width="8.3984375" style="1" customWidth="1"/>
    <col min="1797" max="1797" width="11.09765625" style="1" customWidth="1"/>
    <col min="1798" max="1798" width="11.59765625" style="1" customWidth="1"/>
    <col min="1799" max="2045" width="9" style="1" customWidth="1"/>
    <col min="2046" max="2046" width="13.8984375" style="1" customWidth="1"/>
    <col min="2047" max="2047" width="9.8984375" style="1" customWidth="1"/>
    <col min="2048" max="2048" width="8.3984375" style="1" customWidth="1"/>
    <col min="2049" max="2049" width="8.19921875" style="1" customWidth="1"/>
    <col min="2050" max="2050" width="5.59765625" style="1" customWidth="1"/>
    <col min="2051" max="2052" width="8.3984375" style="1" customWidth="1"/>
    <col min="2053" max="2053" width="11.09765625" style="1" customWidth="1"/>
    <col min="2054" max="2054" width="11.59765625" style="1" customWidth="1"/>
    <col min="2055" max="2301" width="9" style="1" customWidth="1"/>
    <col min="2302" max="2302" width="13.8984375" style="1" customWidth="1"/>
    <col min="2303" max="2303" width="9.8984375" style="1" customWidth="1"/>
    <col min="2304" max="2304" width="8.3984375" style="1" customWidth="1"/>
    <col min="2305" max="2305" width="8.19921875" style="1" customWidth="1"/>
    <col min="2306" max="2306" width="5.59765625" style="1" customWidth="1"/>
    <col min="2307" max="2308" width="8.3984375" style="1" customWidth="1"/>
    <col min="2309" max="2309" width="11.09765625" style="1" customWidth="1"/>
    <col min="2310" max="2310" width="11.59765625" style="1" customWidth="1"/>
    <col min="2311" max="2557" width="9" style="1" customWidth="1"/>
    <col min="2558" max="2558" width="13.8984375" style="1" customWidth="1"/>
    <col min="2559" max="2559" width="9.8984375" style="1" customWidth="1"/>
    <col min="2560" max="2560" width="8.3984375" style="1" customWidth="1"/>
    <col min="2561" max="2561" width="8.19921875" style="1" customWidth="1"/>
    <col min="2562" max="2562" width="5.59765625" style="1" customWidth="1"/>
    <col min="2563" max="2564" width="8.3984375" style="1" customWidth="1"/>
    <col min="2565" max="2565" width="11.09765625" style="1" customWidth="1"/>
    <col min="2566" max="2566" width="11.59765625" style="1" customWidth="1"/>
    <col min="2567" max="2813" width="9" style="1" customWidth="1"/>
    <col min="2814" max="2814" width="13.8984375" style="1" customWidth="1"/>
    <col min="2815" max="2815" width="9.8984375" style="1" customWidth="1"/>
    <col min="2816" max="2816" width="8.3984375" style="1" customWidth="1"/>
    <col min="2817" max="2817" width="8.19921875" style="1" customWidth="1"/>
    <col min="2818" max="2818" width="5.59765625" style="1" customWidth="1"/>
    <col min="2819" max="2820" width="8.3984375" style="1" customWidth="1"/>
    <col min="2821" max="2821" width="11.09765625" style="1" customWidth="1"/>
    <col min="2822" max="2822" width="11.59765625" style="1" customWidth="1"/>
    <col min="2823" max="3069" width="9" style="1" customWidth="1"/>
    <col min="3070" max="3070" width="13.8984375" style="1" customWidth="1"/>
    <col min="3071" max="3071" width="9.8984375" style="1" customWidth="1"/>
    <col min="3072" max="3072" width="8.3984375" style="1" customWidth="1"/>
    <col min="3073" max="3073" width="8.19921875" style="1" customWidth="1"/>
    <col min="3074" max="3074" width="5.59765625" style="1" customWidth="1"/>
    <col min="3075" max="3076" width="8.3984375" style="1" customWidth="1"/>
    <col min="3077" max="3077" width="11.09765625" style="1" customWidth="1"/>
    <col min="3078" max="3078" width="11.59765625" style="1" customWidth="1"/>
    <col min="3079" max="3325" width="9" style="1" customWidth="1"/>
    <col min="3326" max="3326" width="13.8984375" style="1" customWidth="1"/>
    <col min="3327" max="3327" width="9.8984375" style="1" customWidth="1"/>
    <col min="3328" max="3328" width="8.3984375" style="1" customWidth="1"/>
    <col min="3329" max="3329" width="8.19921875" style="1" customWidth="1"/>
    <col min="3330" max="3330" width="5.59765625" style="1" customWidth="1"/>
    <col min="3331" max="3332" width="8.3984375" style="1" customWidth="1"/>
    <col min="3333" max="3333" width="11.09765625" style="1" customWidth="1"/>
    <col min="3334" max="3334" width="11.59765625" style="1" customWidth="1"/>
    <col min="3335" max="3581" width="9" style="1" customWidth="1"/>
    <col min="3582" max="3582" width="13.8984375" style="1" customWidth="1"/>
    <col min="3583" max="3583" width="9.8984375" style="1" customWidth="1"/>
    <col min="3584" max="3584" width="8.3984375" style="1" customWidth="1"/>
    <col min="3585" max="3585" width="8.19921875" style="1" customWidth="1"/>
    <col min="3586" max="3586" width="5.59765625" style="1" customWidth="1"/>
    <col min="3587" max="3588" width="8.3984375" style="1" customWidth="1"/>
    <col min="3589" max="3589" width="11.09765625" style="1" customWidth="1"/>
    <col min="3590" max="3590" width="11.59765625" style="1" customWidth="1"/>
    <col min="3591" max="3837" width="9" style="1" customWidth="1"/>
    <col min="3838" max="3838" width="13.8984375" style="1" customWidth="1"/>
    <col min="3839" max="3839" width="9.8984375" style="1" customWidth="1"/>
    <col min="3840" max="3840" width="8.3984375" style="1" customWidth="1"/>
    <col min="3841" max="3841" width="8.19921875" style="1" customWidth="1"/>
    <col min="3842" max="3842" width="5.59765625" style="1" customWidth="1"/>
    <col min="3843" max="3844" width="8.3984375" style="1" customWidth="1"/>
    <col min="3845" max="3845" width="11.09765625" style="1" customWidth="1"/>
    <col min="3846" max="3846" width="11.59765625" style="1" customWidth="1"/>
    <col min="3847" max="4093" width="9" style="1" customWidth="1"/>
    <col min="4094" max="4094" width="13.8984375" style="1" customWidth="1"/>
    <col min="4095" max="4095" width="9.8984375" style="1" customWidth="1"/>
    <col min="4096" max="4096" width="8.3984375" style="1" customWidth="1"/>
    <col min="4097" max="4097" width="8.19921875" style="1" customWidth="1"/>
    <col min="4098" max="4098" width="5.59765625" style="1" customWidth="1"/>
    <col min="4099" max="4100" width="8.3984375" style="1" customWidth="1"/>
    <col min="4101" max="4101" width="11.09765625" style="1" customWidth="1"/>
    <col min="4102" max="4102" width="11.59765625" style="1" customWidth="1"/>
    <col min="4103" max="4349" width="9" style="1" customWidth="1"/>
    <col min="4350" max="4350" width="13.8984375" style="1" customWidth="1"/>
    <col min="4351" max="4351" width="9.8984375" style="1" customWidth="1"/>
    <col min="4352" max="4352" width="8.3984375" style="1" customWidth="1"/>
    <col min="4353" max="4353" width="8.19921875" style="1" customWidth="1"/>
    <col min="4354" max="4354" width="5.59765625" style="1" customWidth="1"/>
    <col min="4355" max="4356" width="8.3984375" style="1" customWidth="1"/>
    <col min="4357" max="4357" width="11.09765625" style="1" customWidth="1"/>
    <col min="4358" max="4358" width="11.59765625" style="1" customWidth="1"/>
    <col min="4359" max="4605" width="9" style="1" customWidth="1"/>
    <col min="4606" max="4606" width="13.8984375" style="1" customWidth="1"/>
    <col min="4607" max="4607" width="9.8984375" style="1" customWidth="1"/>
    <col min="4608" max="4608" width="8.3984375" style="1" customWidth="1"/>
    <col min="4609" max="4609" width="8.19921875" style="1" customWidth="1"/>
    <col min="4610" max="4610" width="5.59765625" style="1" customWidth="1"/>
    <col min="4611" max="4612" width="8.3984375" style="1" customWidth="1"/>
    <col min="4613" max="4613" width="11.09765625" style="1" customWidth="1"/>
    <col min="4614" max="4614" width="11.59765625" style="1" customWidth="1"/>
    <col min="4615" max="4861" width="9" style="1" customWidth="1"/>
    <col min="4862" max="4862" width="13.8984375" style="1" customWidth="1"/>
    <col min="4863" max="4863" width="9.8984375" style="1" customWidth="1"/>
    <col min="4864" max="4864" width="8.3984375" style="1" customWidth="1"/>
    <col min="4865" max="4865" width="8.19921875" style="1" customWidth="1"/>
    <col min="4866" max="4866" width="5.59765625" style="1" customWidth="1"/>
    <col min="4867" max="4868" width="8.3984375" style="1" customWidth="1"/>
    <col min="4869" max="4869" width="11.09765625" style="1" customWidth="1"/>
    <col min="4870" max="4870" width="11.59765625" style="1" customWidth="1"/>
    <col min="4871" max="5117" width="9" style="1" customWidth="1"/>
    <col min="5118" max="5118" width="13.8984375" style="1" customWidth="1"/>
    <col min="5119" max="5119" width="9.8984375" style="1" customWidth="1"/>
    <col min="5120" max="5120" width="8.3984375" style="1" customWidth="1"/>
    <col min="5121" max="5121" width="8.19921875" style="1" customWidth="1"/>
    <col min="5122" max="5122" width="5.59765625" style="1" customWidth="1"/>
    <col min="5123" max="5124" width="8.3984375" style="1" customWidth="1"/>
    <col min="5125" max="5125" width="11.09765625" style="1" customWidth="1"/>
    <col min="5126" max="5126" width="11.59765625" style="1" customWidth="1"/>
    <col min="5127" max="5373" width="9" style="1" customWidth="1"/>
    <col min="5374" max="5374" width="13.8984375" style="1" customWidth="1"/>
    <col min="5375" max="5375" width="9.8984375" style="1" customWidth="1"/>
    <col min="5376" max="5376" width="8.3984375" style="1" customWidth="1"/>
    <col min="5377" max="5377" width="8.19921875" style="1" customWidth="1"/>
    <col min="5378" max="5378" width="5.59765625" style="1" customWidth="1"/>
    <col min="5379" max="5380" width="8.3984375" style="1" customWidth="1"/>
    <col min="5381" max="5381" width="11.09765625" style="1" customWidth="1"/>
    <col min="5382" max="5382" width="11.59765625" style="1" customWidth="1"/>
    <col min="5383" max="5629" width="9" style="1" customWidth="1"/>
    <col min="5630" max="5630" width="13.8984375" style="1" customWidth="1"/>
    <col min="5631" max="5631" width="9.8984375" style="1" customWidth="1"/>
    <col min="5632" max="5632" width="8.3984375" style="1" customWidth="1"/>
    <col min="5633" max="5633" width="8.19921875" style="1" customWidth="1"/>
    <col min="5634" max="5634" width="5.59765625" style="1" customWidth="1"/>
    <col min="5635" max="5636" width="8.3984375" style="1" customWidth="1"/>
    <col min="5637" max="5637" width="11.09765625" style="1" customWidth="1"/>
    <col min="5638" max="5638" width="11.59765625" style="1" customWidth="1"/>
    <col min="5639" max="5885" width="9" style="1" customWidth="1"/>
    <col min="5886" max="5886" width="13.8984375" style="1" customWidth="1"/>
    <col min="5887" max="5887" width="9.8984375" style="1" customWidth="1"/>
    <col min="5888" max="5888" width="8.3984375" style="1" customWidth="1"/>
    <col min="5889" max="5889" width="8.19921875" style="1" customWidth="1"/>
    <col min="5890" max="5890" width="5.59765625" style="1" customWidth="1"/>
    <col min="5891" max="5892" width="8.3984375" style="1" customWidth="1"/>
    <col min="5893" max="5893" width="11.09765625" style="1" customWidth="1"/>
    <col min="5894" max="5894" width="11.59765625" style="1" customWidth="1"/>
    <col min="5895" max="6141" width="9" style="1" customWidth="1"/>
    <col min="6142" max="6142" width="13.8984375" style="1" customWidth="1"/>
    <col min="6143" max="6143" width="9.8984375" style="1" customWidth="1"/>
    <col min="6144" max="6144" width="8.3984375" style="1" customWidth="1"/>
    <col min="6145" max="6145" width="8.19921875" style="1" customWidth="1"/>
    <col min="6146" max="6146" width="5.59765625" style="1" customWidth="1"/>
    <col min="6147" max="6148" width="8.3984375" style="1" customWidth="1"/>
    <col min="6149" max="6149" width="11.09765625" style="1" customWidth="1"/>
    <col min="6150" max="6150" width="11.59765625" style="1" customWidth="1"/>
    <col min="6151" max="6397" width="9" style="1" customWidth="1"/>
    <col min="6398" max="6398" width="13.8984375" style="1" customWidth="1"/>
    <col min="6399" max="6399" width="9.8984375" style="1" customWidth="1"/>
    <col min="6400" max="6400" width="8.3984375" style="1" customWidth="1"/>
    <col min="6401" max="6401" width="8.19921875" style="1" customWidth="1"/>
    <col min="6402" max="6402" width="5.59765625" style="1" customWidth="1"/>
    <col min="6403" max="6404" width="8.3984375" style="1" customWidth="1"/>
    <col min="6405" max="6405" width="11.09765625" style="1" customWidth="1"/>
    <col min="6406" max="6406" width="11.59765625" style="1" customWidth="1"/>
    <col min="6407" max="6653" width="9" style="1" customWidth="1"/>
    <col min="6654" max="6654" width="13.8984375" style="1" customWidth="1"/>
    <col min="6655" max="6655" width="9.8984375" style="1" customWidth="1"/>
    <col min="6656" max="6656" width="8.3984375" style="1" customWidth="1"/>
    <col min="6657" max="6657" width="8.19921875" style="1" customWidth="1"/>
    <col min="6658" max="6658" width="5.59765625" style="1" customWidth="1"/>
    <col min="6659" max="6660" width="8.3984375" style="1" customWidth="1"/>
    <col min="6661" max="6661" width="11.09765625" style="1" customWidth="1"/>
    <col min="6662" max="6662" width="11.59765625" style="1" customWidth="1"/>
    <col min="6663" max="6909" width="9" style="1" customWidth="1"/>
    <col min="6910" max="6910" width="13.8984375" style="1" customWidth="1"/>
    <col min="6911" max="6911" width="9.8984375" style="1" customWidth="1"/>
    <col min="6912" max="6912" width="8.3984375" style="1" customWidth="1"/>
    <col min="6913" max="6913" width="8.19921875" style="1" customWidth="1"/>
    <col min="6914" max="6914" width="5.59765625" style="1" customWidth="1"/>
    <col min="6915" max="6916" width="8.3984375" style="1" customWidth="1"/>
    <col min="6917" max="6917" width="11.09765625" style="1" customWidth="1"/>
    <col min="6918" max="6918" width="11.59765625" style="1" customWidth="1"/>
    <col min="6919" max="7165" width="9" style="1" customWidth="1"/>
    <col min="7166" max="7166" width="13.8984375" style="1" customWidth="1"/>
    <col min="7167" max="7167" width="9.8984375" style="1" customWidth="1"/>
    <col min="7168" max="7168" width="8.3984375" style="1" customWidth="1"/>
    <col min="7169" max="7169" width="8.19921875" style="1" customWidth="1"/>
    <col min="7170" max="7170" width="5.59765625" style="1" customWidth="1"/>
    <col min="7171" max="7172" width="8.3984375" style="1" customWidth="1"/>
    <col min="7173" max="7173" width="11.09765625" style="1" customWidth="1"/>
    <col min="7174" max="7174" width="11.59765625" style="1" customWidth="1"/>
    <col min="7175" max="7421" width="9" style="1" customWidth="1"/>
    <col min="7422" max="7422" width="13.8984375" style="1" customWidth="1"/>
    <col min="7423" max="7423" width="9.8984375" style="1" customWidth="1"/>
    <col min="7424" max="7424" width="8.3984375" style="1" customWidth="1"/>
    <col min="7425" max="7425" width="8.19921875" style="1" customWidth="1"/>
    <col min="7426" max="7426" width="5.59765625" style="1" customWidth="1"/>
    <col min="7427" max="7428" width="8.3984375" style="1" customWidth="1"/>
    <col min="7429" max="7429" width="11.09765625" style="1" customWidth="1"/>
    <col min="7430" max="7430" width="11.59765625" style="1" customWidth="1"/>
    <col min="7431" max="7677" width="9" style="1" customWidth="1"/>
    <col min="7678" max="7678" width="13.8984375" style="1" customWidth="1"/>
    <col min="7679" max="7679" width="9.8984375" style="1" customWidth="1"/>
    <col min="7680" max="7680" width="8.3984375" style="1" customWidth="1"/>
    <col min="7681" max="7681" width="8.19921875" style="1" customWidth="1"/>
    <col min="7682" max="7682" width="5.59765625" style="1" customWidth="1"/>
    <col min="7683" max="7684" width="8.3984375" style="1" customWidth="1"/>
    <col min="7685" max="7685" width="11.09765625" style="1" customWidth="1"/>
    <col min="7686" max="7686" width="11.59765625" style="1" customWidth="1"/>
    <col min="7687" max="7933" width="9" style="1" customWidth="1"/>
    <col min="7934" max="7934" width="13.8984375" style="1" customWidth="1"/>
    <col min="7935" max="7935" width="9.8984375" style="1" customWidth="1"/>
    <col min="7936" max="7936" width="8.3984375" style="1" customWidth="1"/>
    <col min="7937" max="7937" width="8.19921875" style="1" customWidth="1"/>
    <col min="7938" max="7938" width="5.59765625" style="1" customWidth="1"/>
    <col min="7939" max="7940" width="8.3984375" style="1" customWidth="1"/>
    <col min="7941" max="7941" width="11.09765625" style="1" customWidth="1"/>
    <col min="7942" max="7942" width="11.59765625" style="1" customWidth="1"/>
    <col min="7943" max="8189" width="9" style="1" customWidth="1"/>
    <col min="8190" max="8190" width="13.8984375" style="1" customWidth="1"/>
    <col min="8191" max="8191" width="9.8984375" style="1" customWidth="1"/>
    <col min="8192" max="8192" width="8.3984375" style="1" customWidth="1"/>
    <col min="8193" max="8193" width="8.19921875" style="1" customWidth="1"/>
    <col min="8194" max="8194" width="5.59765625" style="1" customWidth="1"/>
    <col min="8195" max="8196" width="8.3984375" style="1" customWidth="1"/>
    <col min="8197" max="8197" width="11.09765625" style="1" customWidth="1"/>
    <col min="8198" max="8198" width="11.59765625" style="1" customWidth="1"/>
    <col min="8199" max="8445" width="9" style="1" customWidth="1"/>
    <col min="8446" max="8446" width="13.8984375" style="1" customWidth="1"/>
    <col min="8447" max="8447" width="9.8984375" style="1" customWidth="1"/>
    <col min="8448" max="8448" width="8.3984375" style="1" customWidth="1"/>
    <col min="8449" max="8449" width="8.19921875" style="1" customWidth="1"/>
    <col min="8450" max="8450" width="5.59765625" style="1" customWidth="1"/>
    <col min="8451" max="8452" width="8.3984375" style="1" customWidth="1"/>
    <col min="8453" max="8453" width="11.09765625" style="1" customWidth="1"/>
    <col min="8454" max="8454" width="11.59765625" style="1" customWidth="1"/>
    <col min="8455" max="8701" width="9" style="1" customWidth="1"/>
    <col min="8702" max="8702" width="13.8984375" style="1" customWidth="1"/>
    <col min="8703" max="8703" width="9.8984375" style="1" customWidth="1"/>
    <col min="8704" max="8704" width="8.3984375" style="1" customWidth="1"/>
    <col min="8705" max="8705" width="8.19921875" style="1" customWidth="1"/>
    <col min="8706" max="8706" width="5.59765625" style="1" customWidth="1"/>
    <col min="8707" max="8708" width="8.3984375" style="1" customWidth="1"/>
    <col min="8709" max="8709" width="11.09765625" style="1" customWidth="1"/>
    <col min="8710" max="8710" width="11.59765625" style="1" customWidth="1"/>
    <col min="8711" max="8957" width="9" style="1" customWidth="1"/>
    <col min="8958" max="8958" width="13.8984375" style="1" customWidth="1"/>
    <col min="8959" max="8959" width="9.8984375" style="1" customWidth="1"/>
    <col min="8960" max="8960" width="8.3984375" style="1" customWidth="1"/>
    <col min="8961" max="8961" width="8.19921875" style="1" customWidth="1"/>
    <col min="8962" max="8962" width="5.59765625" style="1" customWidth="1"/>
    <col min="8963" max="8964" width="8.3984375" style="1" customWidth="1"/>
    <col min="8965" max="8965" width="11.09765625" style="1" customWidth="1"/>
    <col min="8966" max="8966" width="11.59765625" style="1" customWidth="1"/>
    <col min="8967" max="9213" width="9" style="1" customWidth="1"/>
    <col min="9214" max="9214" width="13.8984375" style="1" customWidth="1"/>
    <col min="9215" max="9215" width="9.8984375" style="1" customWidth="1"/>
    <col min="9216" max="9216" width="8.3984375" style="1" customWidth="1"/>
    <col min="9217" max="9217" width="8.19921875" style="1" customWidth="1"/>
    <col min="9218" max="9218" width="5.59765625" style="1" customWidth="1"/>
    <col min="9219" max="9220" width="8.3984375" style="1" customWidth="1"/>
    <col min="9221" max="9221" width="11.09765625" style="1" customWidth="1"/>
    <col min="9222" max="9222" width="11.59765625" style="1" customWidth="1"/>
    <col min="9223" max="9469" width="9" style="1" customWidth="1"/>
    <col min="9470" max="9470" width="13.8984375" style="1" customWidth="1"/>
    <col min="9471" max="9471" width="9.8984375" style="1" customWidth="1"/>
    <col min="9472" max="9472" width="8.3984375" style="1" customWidth="1"/>
    <col min="9473" max="9473" width="8.19921875" style="1" customWidth="1"/>
    <col min="9474" max="9474" width="5.59765625" style="1" customWidth="1"/>
    <col min="9475" max="9476" width="8.3984375" style="1" customWidth="1"/>
    <col min="9477" max="9477" width="11.09765625" style="1" customWidth="1"/>
    <col min="9478" max="9478" width="11.59765625" style="1" customWidth="1"/>
    <col min="9479" max="9725" width="9" style="1" customWidth="1"/>
    <col min="9726" max="9726" width="13.8984375" style="1" customWidth="1"/>
    <col min="9727" max="9727" width="9.8984375" style="1" customWidth="1"/>
    <col min="9728" max="9728" width="8.3984375" style="1" customWidth="1"/>
    <col min="9729" max="9729" width="8.19921875" style="1" customWidth="1"/>
    <col min="9730" max="9730" width="5.59765625" style="1" customWidth="1"/>
    <col min="9731" max="9732" width="8.3984375" style="1" customWidth="1"/>
    <col min="9733" max="9733" width="11.09765625" style="1" customWidth="1"/>
    <col min="9734" max="9734" width="11.59765625" style="1" customWidth="1"/>
    <col min="9735" max="9981" width="9" style="1" customWidth="1"/>
    <col min="9982" max="9982" width="13.8984375" style="1" customWidth="1"/>
    <col min="9983" max="9983" width="9.8984375" style="1" customWidth="1"/>
    <col min="9984" max="9984" width="8.3984375" style="1" customWidth="1"/>
    <col min="9985" max="9985" width="8.19921875" style="1" customWidth="1"/>
    <col min="9986" max="9986" width="5.59765625" style="1" customWidth="1"/>
    <col min="9987" max="9988" width="8.3984375" style="1" customWidth="1"/>
    <col min="9989" max="9989" width="11.09765625" style="1" customWidth="1"/>
    <col min="9990" max="9990" width="11.59765625" style="1" customWidth="1"/>
    <col min="9991" max="10237" width="9" style="1" customWidth="1"/>
    <col min="10238" max="10238" width="13.8984375" style="1" customWidth="1"/>
    <col min="10239" max="10239" width="9.8984375" style="1" customWidth="1"/>
    <col min="10240" max="10240" width="8.3984375" style="1" customWidth="1"/>
    <col min="10241" max="10241" width="8.19921875" style="1" customWidth="1"/>
    <col min="10242" max="10242" width="5.59765625" style="1" customWidth="1"/>
    <col min="10243" max="10244" width="8.3984375" style="1" customWidth="1"/>
    <col min="10245" max="10245" width="11.09765625" style="1" customWidth="1"/>
    <col min="10246" max="10246" width="11.59765625" style="1" customWidth="1"/>
    <col min="10247" max="10493" width="9" style="1" customWidth="1"/>
    <col min="10494" max="10494" width="13.8984375" style="1" customWidth="1"/>
    <col min="10495" max="10495" width="9.8984375" style="1" customWidth="1"/>
    <col min="10496" max="10496" width="8.3984375" style="1" customWidth="1"/>
    <col min="10497" max="10497" width="8.19921875" style="1" customWidth="1"/>
    <col min="10498" max="10498" width="5.59765625" style="1" customWidth="1"/>
    <col min="10499" max="10500" width="8.3984375" style="1" customWidth="1"/>
    <col min="10501" max="10501" width="11.09765625" style="1" customWidth="1"/>
    <col min="10502" max="10502" width="11.59765625" style="1" customWidth="1"/>
    <col min="10503" max="10749" width="9" style="1" customWidth="1"/>
    <col min="10750" max="10750" width="13.8984375" style="1" customWidth="1"/>
    <col min="10751" max="10751" width="9.8984375" style="1" customWidth="1"/>
    <col min="10752" max="10752" width="8.3984375" style="1" customWidth="1"/>
    <col min="10753" max="10753" width="8.19921875" style="1" customWidth="1"/>
    <col min="10754" max="10754" width="5.59765625" style="1" customWidth="1"/>
    <col min="10755" max="10756" width="8.3984375" style="1" customWidth="1"/>
    <col min="10757" max="10757" width="11.09765625" style="1" customWidth="1"/>
    <col min="10758" max="10758" width="11.59765625" style="1" customWidth="1"/>
    <col min="10759" max="11005" width="9" style="1" customWidth="1"/>
    <col min="11006" max="11006" width="13.8984375" style="1" customWidth="1"/>
    <col min="11007" max="11007" width="9.8984375" style="1" customWidth="1"/>
    <col min="11008" max="11008" width="8.3984375" style="1" customWidth="1"/>
    <col min="11009" max="11009" width="8.19921875" style="1" customWidth="1"/>
    <col min="11010" max="11010" width="5.59765625" style="1" customWidth="1"/>
    <col min="11011" max="11012" width="8.3984375" style="1" customWidth="1"/>
    <col min="11013" max="11013" width="11.09765625" style="1" customWidth="1"/>
    <col min="11014" max="11014" width="11.59765625" style="1" customWidth="1"/>
    <col min="11015" max="11261" width="9" style="1" customWidth="1"/>
    <col min="11262" max="11262" width="13.8984375" style="1" customWidth="1"/>
    <col min="11263" max="11263" width="9.8984375" style="1" customWidth="1"/>
    <col min="11264" max="11264" width="8.3984375" style="1" customWidth="1"/>
    <col min="11265" max="11265" width="8.19921875" style="1" customWidth="1"/>
    <col min="11266" max="11266" width="5.59765625" style="1" customWidth="1"/>
    <col min="11267" max="11268" width="8.3984375" style="1" customWidth="1"/>
    <col min="11269" max="11269" width="11.09765625" style="1" customWidth="1"/>
    <col min="11270" max="11270" width="11.59765625" style="1" customWidth="1"/>
    <col min="11271" max="11517" width="9" style="1" customWidth="1"/>
    <col min="11518" max="11518" width="13.8984375" style="1" customWidth="1"/>
    <col min="11519" max="11519" width="9.8984375" style="1" customWidth="1"/>
    <col min="11520" max="11520" width="8.3984375" style="1" customWidth="1"/>
    <col min="11521" max="11521" width="8.19921875" style="1" customWidth="1"/>
    <col min="11522" max="11522" width="5.59765625" style="1" customWidth="1"/>
    <col min="11523" max="11524" width="8.3984375" style="1" customWidth="1"/>
    <col min="11525" max="11525" width="11.09765625" style="1" customWidth="1"/>
    <col min="11526" max="11526" width="11.59765625" style="1" customWidth="1"/>
    <col min="11527" max="11773" width="9" style="1" customWidth="1"/>
    <col min="11774" max="11774" width="13.8984375" style="1" customWidth="1"/>
    <col min="11775" max="11775" width="9.8984375" style="1" customWidth="1"/>
    <col min="11776" max="11776" width="8.3984375" style="1" customWidth="1"/>
    <col min="11777" max="11777" width="8.19921875" style="1" customWidth="1"/>
    <col min="11778" max="11778" width="5.59765625" style="1" customWidth="1"/>
    <col min="11779" max="11780" width="8.3984375" style="1" customWidth="1"/>
    <col min="11781" max="11781" width="11.09765625" style="1" customWidth="1"/>
    <col min="11782" max="11782" width="11.59765625" style="1" customWidth="1"/>
    <col min="11783" max="12029" width="9" style="1" customWidth="1"/>
    <col min="12030" max="12030" width="13.8984375" style="1" customWidth="1"/>
    <col min="12031" max="12031" width="9.8984375" style="1" customWidth="1"/>
    <col min="12032" max="12032" width="8.3984375" style="1" customWidth="1"/>
    <col min="12033" max="12033" width="8.19921875" style="1" customWidth="1"/>
    <col min="12034" max="12034" width="5.59765625" style="1" customWidth="1"/>
    <col min="12035" max="12036" width="8.3984375" style="1" customWidth="1"/>
    <col min="12037" max="12037" width="11.09765625" style="1" customWidth="1"/>
    <col min="12038" max="12038" width="11.59765625" style="1" customWidth="1"/>
    <col min="12039" max="12285" width="9" style="1" customWidth="1"/>
    <col min="12286" max="12286" width="13.8984375" style="1" customWidth="1"/>
    <col min="12287" max="12287" width="9.8984375" style="1" customWidth="1"/>
    <col min="12288" max="12288" width="8.3984375" style="1" customWidth="1"/>
    <col min="12289" max="12289" width="8.19921875" style="1" customWidth="1"/>
    <col min="12290" max="12290" width="5.59765625" style="1" customWidth="1"/>
    <col min="12291" max="12292" width="8.3984375" style="1" customWidth="1"/>
    <col min="12293" max="12293" width="11.09765625" style="1" customWidth="1"/>
    <col min="12294" max="12294" width="11.59765625" style="1" customWidth="1"/>
    <col min="12295" max="12541" width="9" style="1" customWidth="1"/>
    <col min="12542" max="12542" width="13.8984375" style="1" customWidth="1"/>
    <col min="12543" max="12543" width="9.8984375" style="1" customWidth="1"/>
    <col min="12544" max="12544" width="8.3984375" style="1" customWidth="1"/>
    <col min="12545" max="12545" width="8.19921875" style="1" customWidth="1"/>
    <col min="12546" max="12546" width="5.59765625" style="1" customWidth="1"/>
    <col min="12547" max="12548" width="8.3984375" style="1" customWidth="1"/>
    <col min="12549" max="12549" width="11.09765625" style="1" customWidth="1"/>
    <col min="12550" max="12550" width="11.59765625" style="1" customWidth="1"/>
    <col min="12551" max="12797" width="9" style="1" customWidth="1"/>
    <col min="12798" max="12798" width="13.8984375" style="1" customWidth="1"/>
    <col min="12799" max="12799" width="9.8984375" style="1" customWidth="1"/>
    <col min="12800" max="12800" width="8.3984375" style="1" customWidth="1"/>
    <col min="12801" max="12801" width="8.19921875" style="1" customWidth="1"/>
    <col min="12802" max="12802" width="5.59765625" style="1" customWidth="1"/>
    <col min="12803" max="12804" width="8.3984375" style="1" customWidth="1"/>
    <col min="12805" max="12805" width="11.09765625" style="1" customWidth="1"/>
    <col min="12806" max="12806" width="11.59765625" style="1" customWidth="1"/>
    <col min="12807" max="13053" width="9" style="1" customWidth="1"/>
    <col min="13054" max="13054" width="13.8984375" style="1" customWidth="1"/>
    <col min="13055" max="13055" width="9.8984375" style="1" customWidth="1"/>
    <col min="13056" max="13056" width="8.3984375" style="1" customWidth="1"/>
    <col min="13057" max="13057" width="8.19921875" style="1" customWidth="1"/>
    <col min="13058" max="13058" width="5.59765625" style="1" customWidth="1"/>
    <col min="13059" max="13060" width="8.3984375" style="1" customWidth="1"/>
    <col min="13061" max="13061" width="11.09765625" style="1" customWidth="1"/>
    <col min="13062" max="13062" width="11.59765625" style="1" customWidth="1"/>
    <col min="13063" max="13309" width="9" style="1" customWidth="1"/>
    <col min="13310" max="13310" width="13.8984375" style="1" customWidth="1"/>
    <col min="13311" max="13311" width="9.8984375" style="1" customWidth="1"/>
    <col min="13312" max="13312" width="8.3984375" style="1" customWidth="1"/>
    <col min="13313" max="13313" width="8.19921875" style="1" customWidth="1"/>
    <col min="13314" max="13314" width="5.59765625" style="1" customWidth="1"/>
    <col min="13315" max="13316" width="8.3984375" style="1" customWidth="1"/>
    <col min="13317" max="13317" width="11.09765625" style="1" customWidth="1"/>
    <col min="13318" max="13318" width="11.59765625" style="1" customWidth="1"/>
    <col min="13319" max="13565" width="9" style="1" customWidth="1"/>
    <col min="13566" max="13566" width="13.8984375" style="1" customWidth="1"/>
    <col min="13567" max="13567" width="9.8984375" style="1" customWidth="1"/>
    <col min="13568" max="13568" width="8.3984375" style="1" customWidth="1"/>
    <col min="13569" max="13569" width="8.19921875" style="1" customWidth="1"/>
    <col min="13570" max="13570" width="5.59765625" style="1" customWidth="1"/>
    <col min="13571" max="13572" width="8.3984375" style="1" customWidth="1"/>
    <col min="13573" max="13573" width="11.09765625" style="1" customWidth="1"/>
    <col min="13574" max="13574" width="11.59765625" style="1" customWidth="1"/>
    <col min="13575" max="13821" width="9" style="1" customWidth="1"/>
    <col min="13822" max="13822" width="13.8984375" style="1" customWidth="1"/>
    <col min="13823" max="13823" width="9.8984375" style="1" customWidth="1"/>
    <col min="13824" max="13824" width="8.3984375" style="1" customWidth="1"/>
    <col min="13825" max="13825" width="8.19921875" style="1" customWidth="1"/>
    <col min="13826" max="13826" width="5.59765625" style="1" customWidth="1"/>
    <col min="13827" max="13828" width="8.3984375" style="1" customWidth="1"/>
    <col min="13829" max="13829" width="11.09765625" style="1" customWidth="1"/>
    <col min="13830" max="13830" width="11.59765625" style="1" customWidth="1"/>
    <col min="13831" max="14077" width="9" style="1" customWidth="1"/>
    <col min="14078" max="14078" width="13.8984375" style="1" customWidth="1"/>
    <col min="14079" max="14079" width="9.8984375" style="1" customWidth="1"/>
    <col min="14080" max="14080" width="8.3984375" style="1" customWidth="1"/>
    <col min="14081" max="14081" width="8.19921875" style="1" customWidth="1"/>
    <col min="14082" max="14082" width="5.59765625" style="1" customWidth="1"/>
    <col min="14083" max="14084" width="8.3984375" style="1" customWidth="1"/>
    <col min="14085" max="14085" width="11.09765625" style="1" customWidth="1"/>
    <col min="14086" max="14086" width="11.59765625" style="1" customWidth="1"/>
    <col min="14087" max="14333" width="9" style="1" customWidth="1"/>
    <col min="14334" max="14334" width="13.8984375" style="1" customWidth="1"/>
    <col min="14335" max="14335" width="9.8984375" style="1" customWidth="1"/>
    <col min="14336" max="14336" width="8.3984375" style="1" customWidth="1"/>
    <col min="14337" max="14337" width="8.19921875" style="1" customWidth="1"/>
    <col min="14338" max="14338" width="5.59765625" style="1" customWidth="1"/>
    <col min="14339" max="14340" width="8.3984375" style="1" customWidth="1"/>
    <col min="14341" max="14341" width="11.09765625" style="1" customWidth="1"/>
    <col min="14342" max="14342" width="11.59765625" style="1" customWidth="1"/>
    <col min="14343" max="14589" width="9" style="1" customWidth="1"/>
    <col min="14590" max="14590" width="13.8984375" style="1" customWidth="1"/>
    <col min="14591" max="14591" width="9.8984375" style="1" customWidth="1"/>
    <col min="14592" max="14592" width="8.3984375" style="1" customWidth="1"/>
    <col min="14593" max="14593" width="8.19921875" style="1" customWidth="1"/>
    <col min="14594" max="14594" width="5.59765625" style="1" customWidth="1"/>
    <col min="14595" max="14596" width="8.3984375" style="1" customWidth="1"/>
    <col min="14597" max="14597" width="11.09765625" style="1" customWidth="1"/>
    <col min="14598" max="14598" width="11.59765625" style="1" customWidth="1"/>
    <col min="14599" max="14845" width="9" style="1" customWidth="1"/>
    <col min="14846" max="14846" width="13.8984375" style="1" customWidth="1"/>
    <col min="14847" max="14847" width="9.8984375" style="1" customWidth="1"/>
    <col min="14848" max="14848" width="8.3984375" style="1" customWidth="1"/>
    <col min="14849" max="14849" width="8.19921875" style="1" customWidth="1"/>
    <col min="14850" max="14850" width="5.59765625" style="1" customWidth="1"/>
    <col min="14851" max="14852" width="8.3984375" style="1" customWidth="1"/>
    <col min="14853" max="14853" width="11.09765625" style="1" customWidth="1"/>
    <col min="14854" max="14854" width="11.59765625" style="1" customWidth="1"/>
    <col min="14855" max="15101" width="9" style="1" customWidth="1"/>
    <col min="15102" max="15102" width="13.8984375" style="1" customWidth="1"/>
    <col min="15103" max="15103" width="9.8984375" style="1" customWidth="1"/>
    <col min="15104" max="15104" width="8.3984375" style="1" customWidth="1"/>
    <col min="15105" max="15105" width="8.19921875" style="1" customWidth="1"/>
    <col min="15106" max="15106" width="5.59765625" style="1" customWidth="1"/>
    <col min="15107" max="15108" width="8.3984375" style="1" customWidth="1"/>
    <col min="15109" max="15109" width="11.09765625" style="1" customWidth="1"/>
    <col min="15110" max="15110" width="11.59765625" style="1" customWidth="1"/>
    <col min="15111" max="15357" width="9" style="1" customWidth="1"/>
    <col min="15358" max="15358" width="13.8984375" style="1" customWidth="1"/>
    <col min="15359" max="15359" width="9.8984375" style="1" customWidth="1"/>
    <col min="15360" max="15360" width="8.3984375" style="1" customWidth="1"/>
    <col min="15361" max="15361" width="8.19921875" style="1" customWidth="1"/>
    <col min="15362" max="15362" width="5.59765625" style="1" customWidth="1"/>
    <col min="15363" max="15364" width="8.3984375" style="1" customWidth="1"/>
    <col min="15365" max="15365" width="11.09765625" style="1" customWidth="1"/>
    <col min="15366" max="15366" width="11.59765625" style="1" customWidth="1"/>
    <col min="15367" max="15613" width="9" style="1" customWidth="1"/>
    <col min="15614" max="15614" width="13.8984375" style="1" customWidth="1"/>
    <col min="15615" max="15615" width="9.8984375" style="1" customWidth="1"/>
    <col min="15616" max="15616" width="8.3984375" style="1" customWidth="1"/>
    <col min="15617" max="15617" width="8.19921875" style="1" customWidth="1"/>
    <col min="15618" max="15618" width="5.59765625" style="1" customWidth="1"/>
    <col min="15619" max="15620" width="8.3984375" style="1" customWidth="1"/>
    <col min="15621" max="15621" width="11.09765625" style="1" customWidth="1"/>
    <col min="15622" max="15622" width="11.59765625" style="1" customWidth="1"/>
    <col min="15623" max="15869" width="9" style="1" customWidth="1"/>
    <col min="15870" max="15870" width="13.8984375" style="1" customWidth="1"/>
    <col min="15871" max="15871" width="9.8984375" style="1" customWidth="1"/>
    <col min="15872" max="15872" width="8.3984375" style="1" customWidth="1"/>
    <col min="15873" max="15873" width="8.19921875" style="1" customWidth="1"/>
    <col min="15874" max="15874" width="5.59765625" style="1" customWidth="1"/>
    <col min="15875" max="15876" width="8.3984375" style="1" customWidth="1"/>
    <col min="15877" max="15877" width="11.09765625" style="1" customWidth="1"/>
    <col min="15878" max="15878" width="11.59765625" style="1" customWidth="1"/>
    <col min="15879" max="16125" width="9" style="1" customWidth="1"/>
    <col min="16126" max="16126" width="13.8984375" style="1" customWidth="1"/>
    <col min="16127" max="16127" width="9.8984375" style="1" customWidth="1"/>
    <col min="16128" max="16128" width="8.3984375" style="1" customWidth="1"/>
    <col min="16129" max="16129" width="8.19921875" style="1" customWidth="1"/>
    <col min="16130" max="16130" width="5.59765625" style="1" customWidth="1"/>
    <col min="16131" max="16132" width="8.3984375" style="1" customWidth="1"/>
    <col min="16133" max="16133" width="11.09765625" style="1" customWidth="1"/>
    <col min="16134" max="16134" width="11.59765625" style="1" customWidth="1"/>
    <col min="16135" max="16384" width="9" style="1" customWidth="1"/>
  </cols>
  <sheetData>
    <row r="1" ht="27.9" customHeight="1" spans="1:9" s="3" customFormat="1" x14ac:dyDescent="0.25">
      <c r="A1" s="379" t="s">
        <v>24</v>
      </c>
      <c r="B1" s="379"/>
      <c r="C1" s="379"/>
      <c r="D1" s="379"/>
      <c r="E1" s="379"/>
      <c r="F1" s="379"/>
      <c r="G1" s="379"/>
      <c r="H1" s="379"/>
      <c r="I1" s="379"/>
    </row>
    <row r="2" ht="18" customHeight="1" spans="1:9" s="3" customFormat="1" x14ac:dyDescent="0.25">
      <c r="A2" s="323" t="s">
        <v>25</v>
      </c>
      <c r="B2" s="323"/>
      <c r="C2" s="323"/>
      <c r="D2" s="323"/>
      <c r="E2" s="323"/>
      <c r="F2" s="323"/>
      <c r="G2" s="323"/>
      <c r="H2" s="323"/>
      <c r="I2" s="323"/>
    </row>
    <row r="3" ht="11.25" customHeight="1" s="3" customFormat="1" x14ac:dyDescent="0.25"/>
    <row r="4" ht="27" customHeight="1" spans="1:9" s="3" customFormat="1" x14ac:dyDescent="0.25">
      <c r="A4" s="192" t="s">
        <v>147</v>
      </c>
      <c r="B4" s="192"/>
      <c r="C4" s="192"/>
      <c r="D4" s="192"/>
      <c r="E4" s="192"/>
      <c r="F4" s="192"/>
      <c r="G4" s="192"/>
      <c r="H4" s="192"/>
      <c r="I4" s="192"/>
    </row>
    <row r="5" spans="1:9" s="3" customFormat="1" x14ac:dyDescent="0.25">
      <c r="A5" s="8" t="s">
        <v>148</v>
      </c>
      <c r="B5" s="8"/>
      <c r="C5" s="8"/>
      <c r="D5" s="8"/>
      <c r="E5" s="8"/>
      <c r="F5" s="8"/>
      <c r="G5" s="8"/>
      <c r="H5" s="8"/>
      <c r="I5" s="8"/>
    </row>
    <row r="6" ht="14.25" customHeight="1" spans="1:9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149</v>
      </c>
    </row>
    <row r="7" ht="22.95" customHeight="1" spans="1:9" s="3" customFormat="1" x14ac:dyDescent="0.25">
      <c r="A7" s="3" t="s">
        <v>150</v>
      </c>
      <c r="D7" s="3" t="s">
        <v>4</v>
      </c>
      <c r="E7" s="8" t="s">
        <v>60</v>
      </c>
      <c r="F7" s="8"/>
      <c r="G7" s="13" t="s">
        <v>5</v>
      </c>
      <c r="H7" s="193">
        <v>46224</v>
      </c>
      <c r="I7" s="8"/>
    </row>
    <row r="8" ht="22.95" customHeight="1" spans="1:9" s="3" customFormat="1" x14ac:dyDescent="0.25">
      <c r="A8" s="3" t="s">
        <v>151</v>
      </c>
      <c r="D8" s="380" t="s">
        <v>7</v>
      </c>
      <c r="E8" s="8">
        <v>7</v>
      </c>
      <c r="F8" s="8"/>
      <c r="G8" s="13" t="s">
        <v>8</v>
      </c>
      <c r="H8" s="8" t="s">
        <v>152</v>
      </c>
      <c r="I8" s="8"/>
    </row>
    <row r="9" ht="9" customHeight="1" s="3" customFormat="1" x14ac:dyDescent="0.25"/>
    <row r="10" ht="21" customHeight="1" spans="1:9" s="90" customFormat="1" x14ac:dyDescent="0.25">
      <c r="A10" s="381" t="s">
        <v>153</v>
      </c>
      <c r="B10" s="382" t="s">
        <v>141</v>
      </c>
      <c r="C10" s="381" t="s">
        <v>137</v>
      </c>
      <c r="D10" s="186" t="s">
        <v>154</v>
      </c>
      <c r="E10" s="169"/>
      <c r="F10" s="307" t="s">
        <v>155</v>
      </c>
      <c r="G10" s="186"/>
      <c r="H10" s="307" t="s">
        <v>156</v>
      </c>
      <c r="I10" s="381" t="s">
        <v>51</v>
      </c>
    </row>
    <row r="11" ht="21" customHeight="1" spans="1:9" s="90" customFormat="1" x14ac:dyDescent="0.25">
      <c r="A11" s="34"/>
      <c r="B11" s="106"/>
      <c r="C11" s="34"/>
      <c r="D11" s="383" t="s">
        <v>157</v>
      </c>
      <c r="E11" s="384"/>
      <c r="F11" s="385" t="s">
        <v>158</v>
      </c>
      <c r="G11" s="383" t="s">
        <v>159</v>
      </c>
      <c r="H11" s="386" t="s">
        <v>160</v>
      </c>
      <c r="I11" s="34"/>
    </row>
    <row r="12" ht="16.95" customHeight="1" spans="1:9" s="42" customFormat="1" x14ac:dyDescent="0.25">
      <c r="A12" s="387"/>
      <c r="B12" s="388"/>
      <c r="C12" s="389"/>
      <c r="D12" s="388"/>
      <c r="E12" s="42"/>
      <c r="F12" s="390"/>
      <c r="G12" s="390"/>
      <c r="H12" s="391"/>
      <c r="I12" s="392"/>
    </row>
    <row r="13" ht="16.95" customHeight="1" spans="1:9" s="42" customFormat="1" x14ac:dyDescent="0.25">
      <c r="A13" s="393"/>
      <c r="B13" s="394"/>
      <c r="C13" s="395"/>
      <c r="D13" s="394"/>
      <c r="E13" s="42"/>
      <c r="F13" s="396"/>
      <c r="G13" s="396"/>
      <c r="H13" s="397"/>
      <c r="I13" s="398"/>
    </row>
    <row r="14" ht="16.95" customHeight="1" spans="1:9" s="42" customFormat="1" x14ac:dyDescent="0.25">
      <c r="A14" s="398"/>
      <c r="B14" s="394"/>
      <c r="C14" s="395"/>
      <c r="D14" s="394"/>
      <c r="E14" s="42"/>
      <c r="F14" s="399"/>
      <c r="G14" s="399"/>
      <c r="H14" s="397"/>
      <c r="I14" s="398"/>
    </row>
    <row r="15" ht="16.95" customHeight="1" spans="1:10" s="42" customFormat="1" x14ac:dyDescent="0.25">
      <c r="A15" s="393"/>
      <c r="B15" s="394"/>
      <c r="C15" s="395"/>
      <c r="D15" s="394"/>
      <c r="E15" s="42"/>
      <c r="F15" s="396"/>
      <c r="G15" s="396"/>
      <c r="H15" s="397"/>
      <c r="I15" s="398"/>
      <c r="J15" s="400"/>
    </row>
    <row r="16" ht="16.95" customHeight="1" spans="1:10" s="42" customFormat="1" x14ac:dyDescent="0.25">
      <c r="A16" s="401"/>
      <c r="B16" s="402"/>
      <c r="C16" s="403"/>
      <c r="D16" s="402"/>
      <c r="E16" s="42"/>
      <c r="F16" s="404"/>
      <c r="G16" s="404"/>
      <c r="H16" s="405"/>
      <c r="I16" s="401"/>
      <c r="J16" s="400"/>
    </row>
    <row r="17" ht="16.95" customHeight="1" spans="1:10" s="42" customFormat="1" x14ac:dyDescent="0.25">
      <c r="A17" s="387"/>
      <c r="B17" s="388"/>
      <c r="C17" s="389"/>
      <c r="D17" s="388"/>
      <c r="E17" s="42"/>
      <c r="F17" s="390"/>
      <c r="G17" s="390"/>
      <c r="H17" s="391"/>
      <c r="I17" s="392"/>
      <c r="J17" s="400"/>
    </row>
    <row r="18" ht="16.95" customHeight="1" spans="1:10" s="42" customFormat="1" x14ac:dyDescent="0.25">
      <c r="A18" s="393"/>
      <c r="B18" s="394"/>
      <c r="C18" s="395"/>
      <c r="D18" s="394"/>
      <c r="E18" s="42"/>
      <c r="F18" s="396"/>
      <c r="G18" s="396"/>
      <c r="H18" s="397"/>
      <c r="I18" s="398"/>
      <c r="J18" s="400"/>
    </row>
    <row r="19" ht="16.95" customHeight="1" spans="1:10" s="42" customFormat="1" x14ac:dyDescent="0.25">
      <c r="A19" s="393"/>
      <c r="B19" s="394"/>
      <c r="C19" s="395"/>
      <c r="D19" s="394"/>
      <c r="E19" s="42"/>
      <c r="F19" s="396"/>
      <c r="G19" s="396"/>
      <c r="H19" s="397"/>
      <c r="I19" s="398"/>
      <c r="J19" s="400"/>
    </row>
    <row r="20" ht="16.95" customHeight="1" spans="1:10" s="42" customFormat="1" x14ac:dyDescent="0.25">
      <c r="A20" s="392"/>
      <c r="B20" s="388"/>
      <c r="C20" s="389"/>
      <c r="D20" s="388"/>
      <c r="E20" s="42"/>
      <c r="F20" s="390"/>
      <c r="G20" s="390"/>
      <c r="H20" s="391"/>
      <c r="I20" s="392"/>
      <c r="J20" s="400"/>
    </row>
    <row r="21" ht="16.95" customHeight="1" spans="1:10" s="42" customFormat="1" x14ac:dyDescent="0.25">
      <c r="A21" s="406"/>
      <c r="B21" s="402"/>
      <c r="C21" s="403"/>
      <c r="D21" s="402"/>
      <c r="E21" s="42"/>
      <c r="F21" s="407"/>
      <c r="G21" s="407"/>
      <c r="H21" s="405"/>
      <c r="I21" s="401"/>
      <c r="J21" s="400"/>
    </row>
    <row r="22" ht="16.95" customHeight="1" spans="1:10" s="42" customFormat="1" x14ac:dyDescent="0.25">
      <c r="A22" s="387"/>
      <c r="B22" s="388"/>
      <c r="C22" s="389"/>
      <c r="D22" s="388"/>
      <c r="E22" s="42"/>
      <c r="F22" s="408"/>
      <c r="G22" s="408"/>
      <c r="H22" s="391"/>
      <c r="I22" s="392"/>
      <c r="J22" s="400"/>
    </row>
    <row r="23" ht="16.95" customHeight="1" spans="1:10" s="42" customFormat="1" x14ac:dyDescent="0.25">
      <c r="A23" s="393"/>
      <c r="B23" s="394"/>
      <c r="C23" s="395"/>
      <c r="D23" s="394"/>
      <c r="E23" s="42"/>
      <c r="F23" s="399"/>
      <c r="G23" s="399"/>
      <c r="H23" s="397"/>
      <c r="I23" s="398"/>
      <c r="J23" s="400"/>
    </row>
    <row r="24" ht="16.95" customHeight="1" spans="1:10" s="42" customFormat="1" x14ac:dyDescent="0.25">
      <c r="A24" s="393"/>
      <c r="B24" s="394"/>
      <c r="C24" s="395"/>
      <c r="D24" s="394"/>
      <c r="E24" s="42"/>
      <c r="F24" s="399"/>
      <c r="G24" s="399"/>
      <c r="H24" s="397"/>
      <c r="I24" s="398"/>
      <c r="J24" s="400"/>
    </row>
    <row r="25" ht="16.95" customHeight="1" spans="1:9" s="42" customFormat="1" x14ac:dyDescent="0.25">
      <c r="A25" s="387"/>
      <c r="B25" s="388"/>
      <c r="C25" s="389"/>
      <c r="D25" s="388"/>
      <c r="E25" s="42"/>
      <c r="F25" s="390"/>
      <c r="G25" s="390"/>
      <c r="H25" s="391"/>
      <c r="I25" s="392"/>
    </row>
    <row r="26" ht="16.95" customHeight="1" spans="1:9" s="42" customFormat="1" x14ac:dyDescent="0.25">
      <c r="A26" s="406"/>
      <c r="B26" s="402"/>
      <c r="C26" s="403"/>
      <c r="D26" s="402"/>
      <c r="E26" s="42"/>
      <c r="F26" s="404"/>
      <c r="G26" s="404"/>
      <c r="H26" s="405"/>
      <c r="I26" s="401"/>
    </row>
    <row r="27" ht="16.95" customHeight="1" spans="1:9" s="42" customFormat="1" x14ac:dyDescent="0.25">
      <c r="A27" s="392"/>
      <c r="B27" s="388"/>
      <c r="C27" s="389"/>
      <c r="D27" s="388"/>
      <c r="E27" s="42"/>
      <c r="F27" s="390"/>
      <c r="G27" s="390"/>
      <c r="H27" s="391"/>
      <c r="I27" s="392"/>
    </row>
    <row r="28" ht="16.95" customHeight="1" spans="1:9" s="42" customFormat="1" x14ac:dyDescent="0.25">
      <c r="A28" s="393"/>
      <c r="B28" s="394"/>
      <c r="C28" s="395"/>
      <c r="D28" s="394"/>
      <c r="E28" s="42"/>
      <c r="F28" s="399"/>
      <c r="G28" s="399"/>
      <c r="H28" s="397"/>
      <c r="I28" s="398"/>
    </row>
    <row r="29" ht="16.95" customHeight="1" spans="1:9" s="42" customFormat="1" x14ac:dyDescent="0.25">
      <c r="A29" s="393"/>
      <c r="B29" s="394"/>
      <c r="C29" s="395"/>
      <c r="D29" s="394"/>
      <c r="E29" s="42"/>
      <c r="F29" s="399"/>
      <c r="G29" s="399"/>
      <c r="H29" s="397"/>
      <c r="I29" s="398"/>
    </row>
    <row r="30" ht="16.95" customHeight="1" spans="1:9" s="42" customFormat="1" x14ac:dyDescent="0.25">
      <c r="A30" s="393"/>
      <c r="B30" s="394"/>
      <c r="C30" s="395"/>
      <c r="D30" s="394"/>
      <c r="E30" s="42"/>
      <c r="F30" s="399"/>
      <c r="G30" s="399"/>
      <c r="H30" s="397"/>
      <c r="I30" s="398"/>
    </row>
    <row r="31" ht="16.95" customHeight="1" spans="1:9" s="42" customFormat="1" x14ac:dyDescent="0.25">
      <c r="A31" s="406"/>
      <c r="B31" s="402"/>
      <c r="C31" s="403"/>
      <c r="D31" s="402"/>
      <c r="E31" s="42"/>
      <c r="F31" s="407"/>
      <c r="G31" s="407"/>
      <c r="H31" s="405"/>
      <c r="I31" s="401"/>
    </row>
    <row r="32" ht="16.95" customHeight="1" spans="1:9" s="42" customFormat="1" x14ac:dyDescent="0.25">
      <c r="A32" s="392"/>
      <c r="B32" s="388"/>
      <c r="C32" s="389"/>
      <c r="D32" s="388"/>
      <c r="E32" s="42"/>
      <c r="F32" s="408"/>
      <c r="G32" s="408"/>
      <c r="H32" s="391"/>
      <c r="I32" s="392"/>
    </row>
    <row r="33" ht="16.95" customHeight="1" spans="1:9" s="42" customFormat="1" x14ac:dyDescent="0.25">
      <c r="A33" s="393"/>
      <c r="B33" s="394"/>
      <c r="C33" s="395"/>
      <c r="D33" s="394"/>
      <c r="E33" s="42"/>
      <c r="F33" s="399"/>
      <c r="G33" s="399"/>
      <c r="H33" s="397"/>
      <c r="I33" s="398"/>
    </row>
    <row r="34" ht="16.95" customHeight="1" spans="1:9" s="42" customFormat="1" x14ac:dyDescent="0.25">
      <c r="A34" s="393"/>
      <c r="B34" s="394"/>
      <c r="C34" s="395"/>
      <c r="D34" s="394"/>
      <c r="E34" s="42"/>
      <c r="F34" s="396"/>
      <c r="G34" s="396"/>
      <c r="H34" s="397"/>
      <c r="I34" s="398"/>
    </row>
    <row r="35" ht="16.95" customHeight="1" spans="1:9" s="42" customFormat="1" x14ac:dyDescent="0.25">
      <c r="A35" s="393"/>
      <c r="B35" s="394"/>
      <c r="C35" s="395"/>
      <c r="D35" s="394"/>
      <c r="E35" s="42"/>
      <c r="F35" s="396"/>
      <c r="G35" s="396"/>
      <c r="H35" s="397"/>
      <c r="I35" s="398"/>
    </row>
    <row r="36" ht="16.95" customHeight="1" spans="1:9" s="42" customFormat="1" x14ac:dyDescent="0.25">
      <c r="A36" s="398"/>
      <c r="B36" s="394"/>
      <c r="C36" s="395"/>
      <c r="D36" s="394"/>
      <c r="E36" s="42"/>
      <c r="F36" s="396"/>
      <c r="G36" s="396"/>
      <c r="H36" s="397"/>
      <c r="I36" s="398"/>
    </row>
    <row r="37" ht="6.9" customHeight="1" spans="1:9" s="3" customForma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ht="15" customHeight="1" spans="1:9" s="42" customFormat="1" x14ac:dyDescent="0.25">
      <c r="A38" s="42"/>
      <c r="B38" s="42"/>
      <c r="C38" s="42"/>
      <c r="D38" s="42"/>
      <c r="E38" s="42"/>
      <c r="F38" s="42"/>
      <c r="G38" s="42"/>
      <c r="H38" s="42"/>
      <c r="I38" s="42"/>
    </row>
    <row r="39" ht="15" customHeight="1" spans="1:9" s="42" customFormat="1" x14ac:dyDescent="0.25">
      <c r="A39" s="42"/>
      <c r="B39" s="42"/>
      <c r="C39" s="42"/>
      <c r="D39" s="42"/>
      <c r="E39" s="42"/>
      <c r="F39" s="42"/>
      <c r="G39" s="42"/>
      <c r="H39" s="42"/>
      <c r="I39" s="42"/>
    </row>
    <row r="40" ht="15" customHeight="1" spans="1:9" s="42" customFormat="1" x14ac:dyDescent="0.25">
      <c r="A40" s="42"/>
      <c r="B40" s="42"/>
      <c r="C40" s="42"/>
      <c r="D40" s="42"/>
      <c r="E40" s="42"/>
      <c r="F40" s="42"/>
      <c r="G40" s="42"/>
      <c r="H40" s="42"/>
      <c r="I40" s="42"/>
    </row>
    <row r="41" ht="15" customHeight="1" spans="1:9" s="42" customFormat="1" x14ac:dyDescent="0.25">
      <c r="A41" s="42"/>
      <c r="B41" s="42"/>
      <c r="C41" s="42"/>
      <c r="D41" s="42"/>
      <c r="E41" s="42"/>
      <c r="F41" s="42"/>
      <c r="G41" s="42"/>
      <c r="H41" s="42"/>
      <c r="I41" s="42"/>
    </row>
    <row r="42" ht="15" customHeight="1" spans="1:9" s="42" customFormat="1" x14ac:dyDescent="0.25">
      <c r="A42" s="42"/>
      <c r="B42" s="42"/>
      <c r="C42" s="42"/>
      <c r="D42" s="42"/>
      <c r="E42" s="42"/>
      <c r="F42" s="42"/>
      <c r="G42" s="42"/>
      <c r="H42" s="42"/>
      <c r="I42" s="42"/>
    </row>
    <row r="43" ht="15" customHeight="1" spans="1:9" s="42" customFormat="1" x14ac:dyDescent="0.25">
      <c r="A43" s="42"/>
      <c r="B43" s="42"/>
      <c r="C43" s="42"/>
      <c r="D43" s="42"/>
      <c r="E43" s="42"/>
      <c r="F43" s="42"/>
      <c r="G43" s="42"/>
      <c r="H43" s="42"/>
      <c r="I43" s="42"/>
    </row>
    <row r="44" ht="14.25" customHeight="1" spans="1:9" s="42" customFormat="1" x14ac:dyDescent="0.25">
      <c r="A44" s="42"/>
      <c r="B44" s="42"/>
      <c r="C44" s="42"/>
      <c r="D44" s="42"/>
      <c r="E44" s="42"/>
      <c r="F44" s="42"/>
      <c r="G44" s="42"/>
      <c r="H44" s="42"/>
      <c r="I44" s="42"/>
    </row>
    <row r="45" ht="14.25" customHeight="1" spans="1:9" s="42" customFormat="1" x14ac:dyDescent="0.25">
      <c r="A45" s="42"/>
      <c r="B45" s="42"/>
      <c r="C45" s="42"/>
      <c r="D45" s="42"/>
      <c r="E45" s="42"/>
      <c r="F45" s="42"/>
      <c r="G45" s="42"/>
      <c r="H45" s="42"/>
      <c r="I45" s="42"/>
    </row>
    <row r="46" ht="14.25" customHeight="1" spans="1:9" s="42" customFormat="1" x14ac:dyDescent="0.25">
      <c r="A46" s="42"/>
      <c r="B46" s="42"/>
      <c r="C46" s="42"/>
      <c r="D46" s="42"/>
      <c r="E46" s="42"/>
      <c r="F46" s="42"/>
      <c r="G46" s="42"/>
      <c r="H46" s="42"/>
      <c r="I46" s="42"/>
    </row>
    <row r="47" ht="14.25" customHeight="1" spans="1:9" s="3" customForma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ht="14.25" customHeight="1" spans="1:1" s="3" customFormat="1" x14ac:dyDescent="0.25">
      <c r="A48" s="3"/>
    </row>
    <row r="49" ht="18" customHeight="1" spans="1:9" s="42" customFormat="1" x14ac:dyDescent="0.25">
      <c r="A49" s="190" t="s">
        <v>161</v>
      </c>
      <c r="B49" s="190"/>
      <c r="D49" s="190" t="s">
        <v>57</v>
      </c>
      <c r="E49" s="190"/>
      <c r="F49" s="190"/>
      <c r="H49" s="190" t="s">
        <v>23</v>
      </c>
      <c r="I49" s="190"/>
    </row>
    <row r="50" ht="27.9" customHeight="1" spans="1:9" s="3" customFormat="1" x14ac:dyDescent="0.25">
      <c r="A50" s="379" t="s">
        <v>24</v>
      </c>
      <c r="B50" s="379"/>
      <c r="C50" s="379"/>
      <c r="D50" s="379"/>
      <c r="E50" s="379"/>
      <c r="F50" s="379"/>
      <c r="G50" s="379"/>
      <c r="H50" s="379"/>
      <c r="I50" s="379"/>
    </row>
    <row r="51" ht="18" customHeight="1" spans="1:9" s="3" customFormat="1" x14ac:dyDescent="0.25">
      <c r="A51" s="323" t="s">
        <v>25</v>
      </c>
      <c r="B51" s="323"/>
      <c r="C51" s="323"/>
      <c r="D51" s="323"/>
      <c r="E51" s="323"/>
      <c r="F51" s="323"/>
      <c r="G51" s="323"/>
      <c r="H51" s="323"/>
      <c r="I51" s="323"/>
    </row>
    <row r="52" ht="11.25" customHeight="1" s="3" customFormat="1" x14ac:dyDescent="0.25"/>
    <row r="53" ht="27" customHeight="1" spans="1:9" s="3" customFormat="1" x14ac:dyDescent="0.25">
      <c r="A53" s="192" t="s">
        <v>147</v>
      </c>
      <c r="B53" s="192"/>
      <c r="C53" s="192"/>
      <c r="D53" s="192"/>
      <c r="E53" s="192"/>
      <c r="F53" s="192"/>
      <c r="G53" s="192"/>
      <c r="H53" s="192"/>
      <c r="I53" s="192"/>
    </row>
    <row r="54" spans="1:9" s="3" customFormat="1" x14ac:dyDescent="0.25">
      <c r="A54" s="8" t="s">
        <v>148</v>
      </c>
      <c r="B54" s="8"/>
      <c r="C54" s="8"/>
      <c r="D54" s="8"/>
      <c r="E54" s="8"/>
      <c r="F54" s="8"/>
      <c r="G54" s="8"/>
      <c r="H54" s="8"/>
      <c r="I54" s="8"/>
    </row>
    <row r="55" ht="14.25" customHeight="1" spans="1:9" s="3" customFormat="1" x14ac:dyDescent="0.25">
      <c r="A55" s="8"/>
      <c r="B55" s="8"/>
      <c r="C55" s="8"/>
      <c r="D55" s="8"/>
      <c r="E55" s="8"/>
      <c r="F55" s="8"/>
      <c r="G55" s="8"/>
      <c r="H55" s="8"/>
      <c r="I55" s="13" t="s">
        <v>162</v>
      </c>
    </row>
    <row r="56" ht="22.95" customHeight="1" spans="1:9" s="3" customFormat="1" x14ac:dyDescent="0.25">
      <c r="A56" s="3" t="s">
        <v>150</v>
      </c>
      <c r="D56" s="3" t="s">
        <v>4</v>
      </c>
      <c r="E56" s="8" t="str">
        <f>양하항차</f>
        <v>2639E</v>
      </c>
      <c r="F56" s="8"/>
      <c r="G56" s="13" t="s">
        <v>5</v>
      </c>
      <c r="H56" s="193">
        <f>양하종료일</f>
        <v>46224</v>
      </c>
      <c r="I56" s="8"/>
    </row>
    <row r="57" ht="22.95" customHeight="1" spans="1:9" s="3" customFormat="1" x14ac:dyDescent="0.25">
      <c r="A57" s="3" t="s">
        <v>151</v>
      </c>
      <c r="D57" s="380" t="s">
        <v>7</v>
      </c>
      <c r="E57" s="8">
        <f>작업선석</f>
        <v>7</v>
      </c>
      <c r="F57" s="8"/>
      <c r="G57" s="13" t="s">
        <v>8</v>
      </c>
      <c r="H57" s="8" t="s">
        <v>152</v>
      </c>
      <c r="I57" s="8"/>
    </row>
    <row r="58" ht="9" customHeight="1" s="3" customFormat="1" x14ac:dyDescent="0.25"/>
    <row r="59" ht="21" customHeight="1" spans="1:9" s="90" customFormat="1" x14ac:dyDescent="0.25">
      <c r="A59" s="381" t="s">
        <v>153</v>
      </c>
      <c r="B59" s="382" t="s">
        <v>141</v>
      </c>
      <c r="C59" s="381" t="s">
        <v>137</v>
      </c>
      <c r="D59" s="186" t="s">
        <v>154</v>
      </c>
      <c r="E59" s="169"/>
      <c r="F59" s="307" t="s">
        <v>155</v>
      </c>
      <c r="G59" s="186"/>
      <c r="H59" s="307" t="s">
        <v>156</v>
      </c>
      <c r="I59" s="381" t="s">
        <v>51</v>
      </c>
    </row>
    <row r="60" ht="21" customHeight="1" spans="1:9" s="90" customFormat="1" x14ac:dyDescent="0.25">
      <c r="A60" s="34"/>
      <c r="B60" s="106"/>
      <c r="C60" s="34"/>
      <c r="D60" s="383" t="s">
        <v>157</v>
      </c>
      <c r="E60" s="384"/>
      <c r="F60" s="385" t="s">
        <v>158</v>
      </c>
      <c r="G60" s="383" t="s">
        <v>159</v>
      </c>
      <c r="H60" s="386" t="s">
        <v>160</v>
      </c>
      <c r="I60" s="34"/>
    </row>
    <row r="61" ht="16.95" customHeight="1" spans="1:9" s="42" customFormat="1" x14ac:dyDescent="0.25">
      <c r="A61" s="387" t="s">
        <v>163</v>
      </c>
      <c r="B61" s="388"/>
      <c r="C61" s="389" t="s">
        <v>164</v>
      </c>
      <c r="D61" s="388"/>
      <c r="E61" s="388"/>
      <c r="F61" s="390">
        <v>-25</v>
      </c>
      <c r="G61" s="390">
        <v>-25</v>
      </c>
      <c r="H61" s="391">
        <f>H12</f>
        <v>NaN</v>
      </c>
      <c r="I61" s="392" t="s">
        <v>76</v>
      </c>
    </row>
    <row r="62" ht="16.95" customHeight="1" spans="1:9" s="42" customFormat="1" x14ac:dyDescent="0.25">
      <c r="A62" s="393" t="s">
        <v>165</v>
      </c>
      <c r="B62" s="394"/>
      <c r="C62" s="395" t="s">
        <v>164</v>
      </c>
      <c r="D62" s="394"/>
      <c r="E62" s="394"/>
      <c r="F62" s="396">
        <v>-18</v>
      </c>
      <c r="G62" s="396">
        <v>-18.1</v>
      </c>
      <c r="H62" s="397" t="s">
        <v>166</v>
      </c>
      <c r="I62" s="398" t="s">
        <v>72</v>
      </c>
    </row>
    <row r="63" ht="16.95" customHeight="1" spans="1:9" s="42" customFormat="1" x14ac:dyDescent="0.25">
      <c r="A63" s="393" t="s">
        <v>167</v>
      </c>
      <c r="B63" s="394"/>
      <c r="C63" s="395" t="s">
        <v>164</v>
      </c>
      <c r="D63" s="394"/>
      <c r="E63" s="394"/>
      <c r="F63" s="399">
        <v>-2.5</v>
      </c>
      <c r="G63" s="399">
        <v>-2.5</v>
      </c>
      <c r="H63" s="397" t="s">
        <v>166</v>
      </c>
      <c r="I63" s="398" t="s">
        <v>72</v>
      </c>
    </row>
    <row r="64" ht="16.95" customHeight="1" spans="1:10" s="42" customFormat="1" x14ac:dyDescent="0.25">
      <c r="A64" s="398" t="s">
        <v>168</v>
      </c>
      <c r="B64" s="394"/>
      <c r="C64" s="395" t="s">
        <v>164</v>
      </c>
      <c r="D64" s="394"/>
      <c r="E64" s="394"/>
      <c r="F64" s="396">
        <v>-18</v>
      </c>
      <c r="G64" s="396">
        <v>-18.1</v>
      </c>
      <c r="H64" s="397" t="s">
        <v>166</v>
      </c>
      <c r="I64" s="398" t="s">
        <v>72</v>
      </c>
      <c r="J64" s="400"/>
    </row>
    <row r="65" ht="16.95" customHeight="1" spans="1:10" s="42" customFormat="1" x14ac:dyDescent="0.25">
      <c r="A65" s="401" t="s">
        <v>169</v>
      </c>
      <c r="B65" s="402"/>
      <c r="C65" s="403" t="s">
        <v>164</v>
      </c>
      <c r="D65" s="402"/>
      <c r="E65" s="402"/>
      <c r="F65" s="404">
        <v>-18</v>
      </c>
      <c r="G65" s="404">
        <v>-18</v>
      </c>
      <c r="H65" s="405" t="s">
        <v>166</v>
      </c>
      <c r="I65" s="401" t="s">
        <v>72</v>
      </c>
      <c r="J65" s="400"/>
    </row>
    <row r="66" ht="16.95" customHeight="1" spans="1:10" s="42" customFormat="1" x14ac:dyDescent="0.25">
      <c r="A66" s="392" t="s">
        <v>170</v>
      </c>
      <c r="B66" s="388"/>
      <c r="C66" s="389" t="s">
        <v>164</v>
      </c>
      <c r="D66" s="388"/>
      <c r="E66" s="388"/>
      <c r="F66" s="390">
        <v>-18</v>
      </c>
      <c r="G66" s="390">
        <v>-18</v>
      </c>
      <c r="H66" s="391" t="s">
        <v>166</v>
      </c>
      <c r="I66" s="392" t="s">
        <v>72</v>
      </c>
      <c r="J66" s="400"/>
    </row>
    <row r="67" ht="16.95" customHeight="1" spans="1:10" s="42" customFormat="1" x14ac:dyDescent="0.25">
      <c r="A67" s="393" t="s">
        <v>171</v>
      </c>
      <c r="B67" s="394"/>
      <c r="C67" s="395" t="s">
        <v>164</v>
      </c>
      <c r="D67" s="394"/>
      <c r="E67" s="394"/>
      <c r="F67" s="396">
        <v>-18</v>
      </c>
      <c r="G67" s="396">
        <v>-17.9</v>
      </c>
      <c r="H67" s="397" t="s">
        <v>166</v>
      </c>
      <c r="I67" s="398" t="s">
        <v>76</v>
      </c>
      <c r="J67" s="400"/>
    </row>
    <row r="68" ht="16.95" customHeight="1" spans="1:10" s="42" customFormat="1" x14ac:dyDescent="0.25">
      <c r="A68" s="393" t="s">
        <v>172</v>
      </c>
      <c r="B68" s="394"/>
      <c r="C68" s="395" t="s">
        <v>164</v>
      </c>
      <c r="D68" s="394"/>
      <c r="E68" s="394"/>
      <c r="F68" s="396">
        <v>-2.5</v>
      </c>
      <c r="G68" s="396">
        <v>-2.5</v>
      </c>
      <c r="H68" s="397" t="s">
        <v>166</v>
      </c>
      <c r="I68" s="398" t="s">
        <v>76</v>
      </c>
      <c r="J68" s="400"/>
    </row>
    <row r="69" ht="16.95" customHeight="1" spans="1:9" s="42" customFormat="1" x14ac:dyDescent="0.25">
      <c r="A69" s="398" t="s">
        <v>173</v>
      </c>
      <c r="B69" s="394"/>
      <c r="C69" s="395" t="s">
        <v>164</v>
      </c>
      <c r="D69" s="394"/>
      <c r="E69" s="394"/>
      <c r="F69" s="396">
        <v>-2.5</v>
      </c>
      <c r="G69" s="396">
        <v>-2.5</v>
      </c>
      <c r="H69" s="397" t="s">
        <v>166</v>
      </c>
      <c r="I69" s="398" t="s">
        <v>76</v>
      </c>
    </row>
    <row r="70" ht="16.95" customHeight="1" spans="1:9" s="42" customFormat="1" x14ac:dyDescent="0.25">
      <c r="A70" s="406" t="s">
        <v>174</v>
      </c>
      <c r="B70" s="402"/>
      <c r="C70" s="403" t="s">
        <v>164</v>
      </c>
      <c r="D70" s="402"/>
      <c r="E70" s="402"/>
      <c r="F70" s="404">
        <v>-25</v>
      </c>
      <c r="G70" s="404">
        <v>-25.1</v>
      </c>
      <c r="H70" s="405" t="s">
        <v>166</v>
      </c>
      <c r="I70" s="401" t="s">
        <v>76</v>
      </c>
    </row>
    <row r="71" ht="16.95" customHeight="1" spans="1:9" s="42" customFormat="1" x14ac:dyDescent="0.25">
      <c r="A71" s="409" t="s">
        <v>175</v>
      </c>
      <c r="B71" s="388"/>
      <c r="C71" s="389" t="s">
        <v>164</v>
      </c>
      <c r="D71" s="388"/>
      <c r="E71" s="388"/>
      <c r="F71" s="408">
        <v>-25</v>
      </c>
      <c r="G71" s="408">
        <v>-25</v>
      </c>
      <c r="H71" s="391" t="s">
        <v>166</v>
      </c>
      <c r="I71" s="410" t="s">
        <v>76</v>
      </c>
    </row>
    <row r="72" ht="16.95" customHeight="1" spans="1:9" s="42" customFormat="1" x14ac:dyDescent="0.25">
      <c r="A72" s="411" t="s">
        <v>176</v>
      </c>
      <c r="B72" s="394"/>
      <c r="C72" s="395" t="s">
        <v>164</v>
      </c>
      <c r="D72" s="394"/>
      <c r="E72" s="394"/>
      <c r="F72" s="399">
        <v>-18</v>
      </c>
      <c r="G72" s="399">
        <v>-18.1</v>
      </c>
      <c r="H72" s="397" t="s">
        <v>166</v>
      </c>
      <c r="I72" s="412" t="s">
        <v>76</v>
      </c>
    </row>
    <row r="73" ht="16.95" customHeight="1" spans="1:9" s="42" customFormat="1" x14ac:dyDescent="0.25">
      <c r="A73" s="411" t="s">
        <v>177</v>
      </c>
      <c r="B73" s="394"/>
      <c r="C73" s="395" t="s">
        <v>164</v>
      </c>
      <c r="D73" s="394"/>
      <c r="E73" s="394"/>
      <c r="F73" s="399">
        <v>-25</v>
      </c>
      <c r="G73" s="399">
        <v>-24.9</v>
      </c>
      <c r="H73" s="397" t="s">
        <v>166</v>
      </c>
      <c r="I73" s="412" t="s">
        <v>76</v>
      </c>
    </row>
    <row r="74" ht="16.95" customHeight="1" spans="1:9" s="42" customFormat="1" x14ac:dyDescent="0.25">
      <c r="A74" s="411" t="s">
        <v>178</v>
      </c>
      <c r="B74" s="394"/>
      <c r="C74" s="395" t="s">
        <v>164</v>
      </c>
      <c r="D74" s="394"/>
      <c r="E74" s="394"/>
      <c r="F74" s="399">
        <v>-18</v>
      </c>
      <c r="G74" s="399">
        <v>-17.9</v>
      </c>
      <c r="H74" s="397" t="s">
        <v>166</v>
      </c>
      <c r="I74" s="412" t="s">
        <v>76</v>
      </c>
    </row>
    <row r="75" ht="16.95" customHeight="1" spans="1:9" s="42" customFormat="1" x14ac:dyDescent="0.25">
      <c r="A75" s="413" t="s">
        <v>179</v>
      </c>
      <c r="B75" s="414"/>
      <c r="C75" s="415" t="s">
        <v>164</v>
      </c>
      <c r="D75" s="414"/>
      <c r="E75" s="414"/>
      <c r="F75" s="416">
        <v>-2.5</v>
      </c>
      <c r="G75" s="416">
        <v>-2.4</v>
      </c>
      <c r="H75" s="417" t="s">
        <v>166</v>
      </c>
      <c r="I75" s="418" t="s">
        <v>76</v>
      </c>
    </row>
    <row r="76" ht="16.95" customHeight="1" spans="1:9" s="42" customFormat="1" x14ac:dyDescent="0.25">
      <c r="A76" s="387" t="s">
        <v>180</v>
      </c>
      <c r="B76" s="388"/>
      <c r="C76" s="389" t="s">
        <v>164</v>
      </c>
      <c r="D76" s="388"/>
      <c r="E76" s="388"/>
      <c r="F76" s="390">
        <v>-25</v>
      </c>
      <c r="G76" s="390">
        <v>-25</v>
      </c>
      <c r="H76" s="391" t="s">
        <v>166</v>
      </c>
      <c r="I76" s="392" t="s">
        <v>76</v>
      </c>
    </row>
    <row r="77" ht="16.95" customHeight="1" spans="1:9" s="42" customFormat="1" x14ac:dyDescent="0.25">
      <c r="A77" s="411" t="s">
        <v>181</v>
      </c>
      <c r="B77" s="394"/>
      <c r="C77" s="395" t="s">
        <v>164</v>
      </c>
      <c r="D77" s="394"/>
      <c r="E77" s="394"/>
      <c r="F77" s="399">
        <v>0</v>
      </c>
      <c r="G77" s="399">
        <v>0.1</v>
      </c>
      <c r="H77" s="397" t="s">
        <v>166</v>
      </c>
      <c r="I77" s="412" t="s">
        <v>76</v>
      </c>
    </row>
    <row r="78" ht="16.95" customHeight="1" spans="1:9" s="42" customFormat="1" x14ac:dyDescent="0.25">
      <c r="A78" s="411" t="s">
        <v>182</v>
      </c>
      <c r="B78" s="394"/>
      <c r="C78" s="395" t="s">
        <v>164</v>
      </c>
      <c r="D78" s="394"/>
      <c r="E78" s="394"/>
      <c r="F78" s="399">
        <v>-25</v>
      </c>
      <c r="G78" s="399">
        <v>-25</v>
      </c>
      <c r="H78" s="397" t="s">
        <v>166</v>
      </c>
      <c r="I78" s="412" t="s">
        <v>76</v>
      </c>
    </row>
    <row r="79" ht="16.95" customHeight="1" spans="1:9" s="42" customFormat="1" x14ac:dyDescent="0.25">
      <c r="A79" s="411" t="s">
        <v>183</v>
      </c>
      <c r="B79" s="394"/>
      <c r="C79" s="395" t="s">
        <v>164</v>
      </c>
      <c r="D79" s="394"/>
      <c r="E79" s="394"/>
      <c r="F79" s="399">
        <v>-18</v>
      </c>
      <c r="G79" s="399">
        <v>-18</v>
      </c>
      <c r="H79" s="397" t="s">
        <v>166</v>
      </c>
      <c r="I79" s="412" t="s">
        <v>76</v>
      </c>
    </row>
    <row r="80" ht="16.95" customHeight="1" spans="1:9" s="42" customFormat="1" x14ac:dyDescent="0.25">
      <c r="A80" s="419" t="s">
        <v>184</v>
      </c>
      <c r="B80" s="402"/>
      <c r="C80" s="403" t="s">
        <v>164</v>
      </c>
      <c r="D80" s="402"/>
      <c r="E80" s="402"/>
      <c r="F80" s="407">
        <v>-25</v>
      </c>
      <c r="G80" s="407">
        <v>-25</v>
      </c>
      <c r="H80" s="405" t="s">
        <v>166</v>
      </c>
      <c r="I80" s="420" t="s">
        <v>76</v>
      </c>
    </row>
    <row r="81" ht="16.95" customHeight="1" spans="1:9" s="42" customFormat="1" x14ac:dyDescent="0.25">
      <c r="A81" s="409" t="s">
        <v>185</v>
      </c>
      <c r="B81" s="388"/>
      <c r="C81" s="389" t="s">
        <v>164</v>
      </c>
      <c r="D81" s="388"/>
      <c r="E81" s="388"/>
      <c r="F81" s="408">
        <v>-18</v>
      </c>
      <c r="G81" s="408">
        <v>-18.1</v>
      </c>
      <c r="H81" s="391" t="s">
        <v>166</v>
      </c>
      <c r="I81" s="410" t="s">
        <v>72</v>
      </c>
    </row>
    <row r="82" ht="16.95" customHeight="1" spans="1:9" s="42" customFormat="1" x14ac:dyDescent="0.25">
      <c r="A82" s="411" t="s">
        <v>186</v>
      </c>
      <c r="B82" s="394"/>
      <c r="C82" s="395" t="s">
        <v>164</v>
      </c>
      <c r="D82" s="394"/>
      <c r="E82" s="394"/>
      <c r="F82" s="399">
        <v>-18</v>
      </c>
      <c r="G82" s="399">
        <v>-17.9</v>
      </c>
      <c r="H82" s="397" t="s">
        <v>166</v>
      </c>
      <c r="I82" s="412" t="s">
        <v>72</v>
      </c>
    </row>
    <row r="83" ht="16.95" customHeight="1" spans="1:9" s="42" customFormat="1" x14ac:dyDescent="0.25">
      <c r="A83" s="411" t="s">
        <v>187</v>
      </c>
      <c r="B83" s="394"/>
      <c r="C83" s="395" t="s">
        <v>164</v>
      </c>
      <c r="D83" s="394"/>
      <c r="E83" s="394"/>
      <c r="F83" s="396">
        <v>-18</v>
      </c>
      <c r="G83" s="396">
        <v>-18.1</v>
      </c>
      <c r="H83" s="397" t="s">
        <v>166</v>
      </c>
      <c r="I83" s="412" t="s">
        <v>76</v>
      </c>
    </row>
    <row r="84" ht="16.95" customHeight="1" spans="1:9" s="42" customFormat="1" x14ac:dyDescent="0.25">
      <c r="A84" s="411" t="s">
        <v>188</v>
      </c>
      <c r="B84" s="394"/>
      <c r="C84" s="395" t="s">
        <v>164</v>
      </c>
      <c r="D84" s="394"/>
      <c r="E84" s="394"/>
      <c r="F84" s="396">
        <v>-18</v>
      </c>
      <c r="G84" s="396">
        <v>-18</v>
      </c>
      <c r="H84" s="397" t="s">
        <v>166</v>
      </c>
      <c r="I84" s="412" t="s">
        <v>72</v>
      </c>
    </row>
    <row r="85" ht="16.95" customHeight="1" spans="1:9" s="42" customFormat="1" x14ac:dyDescent="0.25">
      <c r="A85" s="411" t="s">
        <v>189</v>
      </c>
      <c r="B85" s="394"/>
      <c r="C85" s="395" t="s">
        <v>164</v>
      </c>
      <c r="D85" s="394"/>
      <c r="E85" s="394"/>
      <c r="F85" s="396">
        <v>-18</v>
      </c>
      <c r="G85" s="396">
        <v>-18.1</v>
      </c>
      <c r="H85" s="397" t="s">
        <v>166</v>
      </c>
      <c r="I85" s="412" t="s">
        <v>72</v>
      </c>
    </row>
    <row r="86" ht="6.9" customHeight="1" s="3" customFormat="1" x14ac:dyDescent="0.25"/>
    <row r="87" ht="15" customHeight="1" spans="1:1" s="42" customFormat="1" x14ac:dyDescent="0.25">
      <c r="A87" s="42" t="s">
        <v>190</v>
      </c>
    </row>
    <row r="88" ht="15" customHeight="1" spans="1:1" s="42" customFormat="1" x14ac:dyDescent="0.25">
      <c r="A88" s="42" t="s">
        <v>191</v>
      </c>
    </row>
    <row r="89" ht="15" customHeight="1" spans="1:1" s="42" customFormat="1" x14ac:dyDescent="0.25">
      <c r="A89" s="42" t="s">
        <v>192</v>
      </c>
    </row>
    <row r="90" ht="15" customHeight="1" spans="1:1" s="42" customFormat="1" x14ac:dyDescent="0.25">
      <c r="A90" s="42" t="s">
        <v>193</v>
      </c>
    </row>
    <row r="91" ht="15" customHeight="1" spans="1:1" s="42" customFormat="1" x14ac:dyDescent="0.25">
      <c r="A91" s="42" t="s">
        <v>194</v>
      </c>
    </row>
    <row r="92" ht="15" customHeight="1" spans="1:1" s="42" customFormat="1" x14ac:dyDescent="0.25">
      <c r="A92" s="42" t="s">
        <v>195</v>
      </c>
    </row>
    <row r="93" ht="14.25" customHeight="1" s="42" customFormat="1" x14ac:dyDescent="0.25"/>
    <row r="94" ht="14.25" customHeight="1" s="42" customFormat="1" x14ac:dyDescent="0.25"/>
    <row r="95" ht="14.25" customHeight="1" s="42" customFormat="1" x14ac:dyDescent="0.25"/>
    <row r="96" ht="14.25" customHeight="1" s="3" customFormat="1" x14ac:dyDescent="0.25"/>
    <row r="97" ht="14.25" customHeight="1" s="3" customFormat="1" x14ac:dyDescent="0.25"/>
    <row r="98" ht="18" customHeight="1" spans="1:9" s="42" customFormat="1" x14ac:dyDescent="0.25">
      <c r="A98" s="190" t="s">
        <v>161</v>
      </c>
      <c r="B98" s="190"/>
      <c r="D98" s="190" t="s">
        <v>57</v>
      </c>
      <c r="E98" s="190"/>
      <c r="F98" s="190"/>
      <c r="H98" s="190" t="s">
        <v>23</v>
      </c>
      <c r="I98" s="190"/>
    </row>
    <row r="99" ht="27.9" customHeight="1" spans="1:9" s="3" customFormat="1" x14ac:dyDescent="0.25">
      <c r="A99" s="379" t="s">
        <v>24</v>
      </c>
      <c r="B99" s="379"/>
      <c r="C99" s="379"/>
      <c r="D99" s="379"/>
      <c r="E99" s="379"/>
      <c r="F99" s="379"/>
      <c r="G99" s="379"/>
      <c r="H99" s="379"/>
      <c r="I99" s="379"/>
    </row>
    <row r="100" ht="18" customHeight="1" spans="1:9" s="3" customFormat="1" x14ac:dyDescent="0.25">
      <c r="A100" s="323" t="s">
        <v>25</v>
      </c>
      <c r="B100" s="323"/>
      <c r="C100" s="323"/>
      <c r="D100" s="323"/>
      <c r="E100" s="323"/>
      <c r="F100" s="323"/>
      <c r="G100" s="323"/>
      <c r="H100" s="323"/>
      <c r="I100" s="323"/>
    </row>
    <row r="101" ht="11.25" customHeight="1" s="3" customFormat="1" x14ac:dyDescent="0.25"/>
    <row r="102" ht="27" customHeight="1" spans="1:9" s="3" customFormat="1" x14ac:dyDescent="0.25">
      <c r="A102" s="192" t="s">
        <v>147</v>
      </c>
      <c r="B102" s="192"/>
      <c r="C102" s="192"/>
      <c r="D102" s="192"/>
      <c r="E102" s="192"/>
      <c r="F102" s="192"/>
      <c r="G102" s="192"/>
      <c r="H102" s="192"/>
      <c r="I102" s="192"/>
    </row>
    <row r="103" spans="1:9" s="3" customFormat="1" x14ac:dyDescent="0.25">
      <c r="A103" s="8" t="s">
        <v>148</v>
      </c>
      <c r="B103" s="8"/>
      <c r="C103" s="8"/>
      <c r="D103" s="8"/>
      <c r="E103" s="8"/>
      <c r="F103" s="8"/>
      <c r="G103" s="8"/>
      <c r="H103" s="8"/>
      <c r="I103" s="8"/>
    </row>
    <row r="104" ht="14.25" customHeight="1" spans="1:9" s="3" customFormat="1" x14ac:dyDescent="0.25">
      <c r="A104" s="8"/>
      <c r="B104" s="8"/>
      <c r="C104" s="8"/>
      <c r="D104" s="8"/>
      <c r="E104" s="8"/>
      <c r="F104" s="8"/>
      <c r="G104" s="8"/>
      <c r="H104" s="8"/>
      <c r="I104" s="13" t="s">
        <v>196</v>
      </c>
    </row>
    <row r="105" ht="22.95" customHeight="1" spans="1:9" s="3" customFormat="1" x14ac:dyDescent="0.25">
      <c r="A105" s="3" t="s">
        <v>150</v>
      </c>
      <c r="D105" s="3" t="s">
        <v>4</v>
      </c>
      <c r="E105" s="8" t="s">
        <v>84</v>
      </c>
      <c r="F105" s="8"/>
      <c r="G105" s="13" t="s">
        <v>5</v>
      </c>
      <c r="H105" s="193">
        <v>46225</v>
      </c>
      <c r="I105" s="8"/>
    </row>
    <row r="106" ht="22.95" customHeight="1" spans="1:9" s="3" customFormat="1" x14ac:dyDescent="0.25">
      <c r="A106" s="3" t="s">
        <v>151</v>
      </c>
      <c r="D106" s="380" t="s">
        <v>7</v>
      </c>
      <c r="E106" s="8">
        <v>7</v>
      </c>
      <c r="F106" s="8"/>
      <c r="G106" s="13" t="s">
        <v>8</v>
      </c>
      <c r="H106" s="8" t="s">
        <v>152</v>
      </c>
      <c r="I106" s="8"/>
    </row>
    <row r="107" ht="9" customHeight="1" s="3" customFormat="1" x14ac:dyDescent="0.25"/>
    <row r="108" ht="21" customHeight="1" spans="1:9" s="90" customFormat="1" x14ac:dyDescent="0.25">
      <c r="A108" s="381" t="s">
        <v>153</v>
      </c>
      <c r="B108" s="382" t="s">
        <v>141</v>
      </c>
      <c r="C108" s="381" t="s">
        <v>137</v>
      </c>
      <c r="D108" s="186" t="s">
        <v>154</v>
      </c>
      <c r="E108" s="169"/>
      <c r="F108" s="307" t="s">
        <v>155</v>
      </c>
      <c r="G108" s="186"/>
      <c r="H108" s="307" t="s">
        <v>156</v>
      </c>
      <c r="I108" s="381" t="s">
        <v>51</v>
      </c>
    </row>
    <row r="109" ht="21" customHeight="1" spans="1:9" s="90" customFormat="1" x14ac:dyDescent="0.25">
      <c r="A109" s="34"/>
      <c r="B109" s="106"/>
      <c r="C109" s="34"/>
      <c r="D109" s="383" t="s">
        <v>157</v>
      </c>
      <c r="E109" s="384"/>
      <c r="F109" s="385" t="s">
        <v>158</v>
      </c>
      <c r="G109" s="383" t="s">
        <v>159</v>
      </c>
      <c r="H109" s="386" t="s">
        <v>160</v>
      </c>
      <c r="I109" s="34"/>
    </row>
    <row r="110" ht="19.95" customHeight="1" spans="1:9" s="42" customFormat="1" x14ac:dyDescent="0.25">
      <c r="A110" s="387" t="s">
        <v>197</v>
      </c>
      <c r="B110" s="388"/>
      <c r="C110" s="389" t="s">
        <v>198</v>
      </c>
      <c r="D110" s="388"/>
      <c r="E110" s="388"/>
      <c r="F110" s="390">
        <v>25</v>
      </c>
      <c r="G110" s="390">
        <v>25.5</v>
      </c>
      <c r="H110" s="391" t="s">
        <v>199</v>
      </c>
      <c r="I110" s="409" t="s">
        <v>200</v>
      </c>
    </row>
    <row r="111" ht="19.95" customHeight="1" spans="1:9" s="42" customFormat="1" x14ac:dyDescent="0.25">
      <c r="A111" s="393"/>
      <c r="B111" s="394"/>
      <c r="C111" s="395"/>
      <c r="D111" s="394"/>
      <c r="E111" s="394"/>
      <c r="F111" s="396"/>
      <c r="G111" s="396"/>
      <c r="H111" s="397"/>
      <c r="I111" s="411"/>
    </row>
    <row r="112" ht="19.95" customHeight="1" spans="1:9" s="42" customFormat="1" x14ac:dyDescent="0.25">
      <c r="A112" s="393"/>
      <c r="B112" s="394"/>
      <c r="C112" s="395"/>
      <c r="D112" s="394"/>
      <c r="E112" s="394"/>
      <c r="F112" s="399"/>
      <c r="G112" s="399"/>
      <c r="H112" s="397"/>
      <c r="I112" s="411"/>
    </row>
    <row r="113" ht="19.95" customHeight="1" spans="1:10" s="42" customFormat="1" x14ac:dyDescent="0.25">
      <c r="A113" s="411"/>
      <c r="B113" s="394"/>
      <c r="C113" s="395"/>
      <c r="D113" s="394"/>
      <c r="E113" s="394"/>
      <c r="F113" s="396"/>
      <c r="G113" s="396"/>
      <c r="H113" s="397"/>
      <c r="I113" s="411"/>
      <c r="J113" s="400"/>
    </row>
    <row r="114" ht="19.95" customHeight="1" spans="1:10" s="42" customFormat="1" x14ac:dyDescent="0.25">
      <c r="A114" s="419"/>
      <c r="B114" s="402"/>
      <c r="C114" s="403"/>
      <c r="D114" s="402"/>
      <c r="E114" s="402"/>
      <c r="F114" s="404"/>
      <c r="G114" s="404"/>
      <c r="H114" s="405"/>
      <c r="I114" s="419"/>
      <c r="J114" s="400"/>
    </row>
    <row r="115" ht="19.95" customHeight="1" spans="1:10" s="42" customFormat="1" x14ac:dyDescent="0.25">
      <c r="A115" s="409"/>
      <c r="B115" s="388"/>
      <c r="C115" s="389"/>
      <c r="D115" s="388"/>
      <c r="E115" s="388"/>
      <c r="F115" s="390"/>
      <c r="G115" s="390"/>
      <c r="H115" s="391"/>
      <c r="I115" s="409"/>
      <c r="J115" s="400"/>
    </row>
    <row r="116" ht="19.95" customHeight="1" spans="1:10" s="42" customFormat="1" x14ac:dyDescent="0.25">
      <c r="A116" s="411"/>
      <c r="B116" s="394"/>
      <c r="C116" s="395"/>
      <c r="D116" s="394"/>
      <c r="E116" s="394"/>
      <c r="F116" s="396"/>
      <c r="G116" s="396"/>
      <c r="H116" s="397"/>
      <c r="I116" s="412"/>
      <c r="J116" s="400"/>
    </row>
    <row r="117" ht="19.95" customHeight="1" spans="1:10" s="42" customFormat="1" x14ac:dyDescent="0.25">
      <c r="A117" s="411"/>
      <c r="B117" s="394"/>
      <c r="C117" s="395"/>
      <c r="D117" s="394"/>
      <c r="E117" s="394"/>
      <c r="F117" s="396"/>
      <c r="G117" s="396"/>
      <c r="H117" s="397"/>
      <c r="I117" s="412"/>
      <c r="J117" s="400"/>
    </row>
    <row r="118" ht="19.95" customHeight="1" spans="1:9" s="42" customFormat="1" x14ac:dyDescent="0.25">
      <c r="A118" s="411"/>
      <c r="B118" s="394"/>
      <c r="C118" s="395"/>
      <c r="D118" s="394"/>
      <c r="E118" s="394"/>
      <c r="F118" s="396"/>
      <c r="G118" s="396"/>
      <c r="H118" s="397"/>
      <c r="I118" s="412"/>
    </row>
    <row r="119" ht="19.95" customHeight="1" spans="1:9" s="42" customFormat="1" x14ac:dyDescent="0.25">
      <c r="A119" s="419"/>
      <c r="B119" s="402"/>
      <c r="C119" s="403"/>
      <c r="D119" s="402"/>
      <c r="E119" s="402"/>
      <c r="F119" s="404"/>
      <c r="G119" s="404"/>
      <c r="H119" s="405"/>
      <c r="I119" s="420"/>
    </row>
    <row r="120" ht="19.95" customHeight="1" spans="1:9" s="42" customFormat="1" x14ac:dyDescent="0.25">
      <c r="A120" s="409"/>
      <c r="B120" s="388"/>
      <c r="C120" s="389"/>
      <c r="D120" s="388"/>
      <c r="E120" s="388"/>
      <c r="F120" s="390"/>
      <c r="G120" s="390"/>
      <c r="H120" s="391"/>
      <c r="I120" s="410"/>
    </row>
    <row r="121" ht="19.95" customHeight="1" spans="1:9" s="42" customFormat="1" x14ac:dyDescent="0.25">
      <c r="A121" s="411"/>
      <c r="B121" s="394"/>
      <c r="C121" s="395"/>
      <c r="D121" s="394"/>
      <c r="E121" s="394"/>
      <c r="F121" s="399"/>
      <c r="G121" s="399"/>
      <c r="H121" s="397"/>
      <c r="I121" s="412"/>
    </row>
    <row r="122" ht="19.95" customHeight="1" spans="1:9" s="42" customFormat="1" x14ac:dyDescent="0.25">
      <c r="A122" s="411"/>
      <c r="B122" s="394"/>
      <c r="C122" s="395"/>
      <c r="D122" s="394"/>
      <c r="E122" s="394"/>
      <c r="F122" s="399"/>
      <c r="G122" s="399"/>
      <c r="H122" s="397"/>
      <c r="I122" s="412"/>
    </row>
    <row r="123" ht="19.95" customHeight="1" spans="1:9" s="42" customFormat="1" x14ac:dyDescent="0.25">
      <c r="A123" s="411"/>
      <c r="B123" s="394"/>
      <c r="C123" s="395"/>
      <c r="D123" s="394"/>
      <c r="E123" s="394"/>
      <c r="F123" s="399"/>
      <c r="G123" s="399"/>
      <c r="H123" s="397"/>
      <c r="I123" s="412"/>
    </row>
    <row r="124" ht="19.95" customHeight="1" spans="1:9" s="42" customFormat="1" x14ac:dyDescent="0.25">
      <c r="A124" s="419"/>
      <c r="B124" s="402"/>
      <c r="C124" s="403"/>
      <c r="D124" s="402"/>
      <c r="E124" s="402"/>
      <c r="F124" s="407"/>
      <c r="G124" s="407"/>
      <c r="H124" s="405"/>
      <c r="I124" s="420"/>
    </row>
    <row r="125" ht="19.95" customHeight="1" spans="1:9" s="42" customFormat="1" x14ac:dyDescent="0.25">
      <c r="A125" s="409"/>
      <c r="B125" s="388"/>
      <c r="C125" s="389"/>
      <c r="D125" s="388"/>
      <c r="E125" s="388"/>
      <c r="F125" s="408"/>
      <c r="G125" s="408"/>
      <c r="H125" s="391"/>
      <c r="I125" s="410"/>
    </row>
    <row r="126" ht="19.95" customHeight="1" spans="1:9" s="42" customFormat="1" x14ac:dyDescent="0.25">
      <c r="A126" s="411"/>
      <c r="B126" s="394"/>
      <c r="C126" s="395"/>
      <c r="D126" s="394"/>
      <c r="E126" s="394"/>
      <c r="F126" s="399"/>
      <c r="G126" s="399"/>
      <c r="H126" s="397"/>
      <c r="I126" s="412"/>
    </row>
    <row r="127" ht="19.95" customHeight="1" spans="1:9" s="42" customFormat="1" x14ac:dyDescent="0.25">
      <c r="A127" s="411"/>
      <c r="B127" s="394"/>
      <c r="C127" s="395"/>
      <c r="D127" s="394"/>
      <c r="E127" s="394"/>
      <c r="F127" s="396"/>
      <c r="G127" s="396"/>
      <c r="H127" s="397"/>
      <c r="I127" s="412"/>
    </row>
    <row r="128" ht="19.95" customHeight="1" spans="1:9" s="42" customFormat="1" x14ac:dyDescent="0.25">
      <c r="A128" s="411"/>
      <c r="B128" s="394"/>
      <c r="C128" s="395"/>
      <c r="D128" s="394"/>
      <c r="E128" s="394"/>
      <c r="F128" s="396"/>
      <c r="G128" s="396"/>
      <c r="H128" s="397"/>
      <c r="I128" s="412"/>
    </row>
    <row r="129" ht="19.95" customHeight="1" spans="1:9" s="42" customFormat="1" x14ac:dyDescent="0.25">
      <c r="A129" s="411"/>
      <c r="B129" s="394"/>
      <c r="C129" s="395"/>
      <c r="D129" s="394"/>
      <c r="E129" s="394"/>
      <c r="F129" s="396"/>
      <c r="G129" s="396"/>
      <c r="H129" s="397"/>
      <c r="I129" s="412"/>
    </row>
    <row r="130" ht="6.9" customHeight="1" s="3" customFormat="1" x14ac:dyDescent="0.25"/>
    <row r="131" ht="15" customHeight="1" spans="1:1" s="42" customFormat="1" x14ac:dyDescent="0.25">
      <c r="A131" s="42" t="s">
        <v>190</v>
      </c>
    </row>
    <row r="132" ht="15" customHeight="1" spans="1:1" s="42" customFormat="1" x14ac:dyDescent="0.25">
      <c r="A132" s="42" t="s">
        <v>191</v>
      </c>
    </row>
    <row r="133" ht="15" customHeight="1" spans="1:1" s="42" customFormat="1" x14ac:dyDescent="0.25">
      <c r="A133" s="42" t="s">
        <v>192</v>
      </c>
    </row>
    <row r="134" ht="15" customHeight="1" spans="1:1" s="42" customFormat="1" x14ac:dyDescent="0.25">
      <c r="A134" s="42" t="s">
        <v>193</v>
      </c>
    </row>
    <row r="135" ht="15" customHeight="1" spans="1:1" s="42" customFormat="1" x14ac:dyDescent="0.25">
      <c r="A135" s="42" t="s">
        <v>194</v>
      </c>
    </row>
    <row r="136" ht="15" customHeight="1" spans="1:1" s="42" customFormat="1" x14ac:dyDescent="0.25">
      <c r="A136" s="42" t="s">
        <v>195</v>
      </c>
    </row>
    <row r="137" ht="14.25" customHeight="1" s="42" customFormat="1" x14ac:dyDescent="0.25"/>
    <row r="138" ht="14.25" customHeight="1" s="42" customFormat="1" x14ac:dyDescent="0.25"/>
    <row r="139" ht="14.25" customHeight="1" s="42" customFormat="1" x14ac:dyDescent="0.25"/>
    <row r="140" ht="14.25" customHeight="1" s="3" customFormat="1" x14ac:dyDescent="0.25"/>
    <row r="141" ht="14.25" customHeight="1" s="3" customFormat="1" x14ac:dyDescent="0.25"/>
    <row r="142" ht="18" customHeight="1" spans="1:9" s="42" customFormat="1" x14ac:dyDescent="0.25">
      <c r="A142" s="190" t="s">
        <v>161</v>
      </c>
      <c r="B142" s="190"/>
      <c r="D142" s="190" t="s">
        <v>57</v>
      </c>
      <c r="E142" s="190"/>
      <c r="F142" s="190"/>
      <c r="H142" s="190" t="s">
        <v>23</v>
      </c>
      <c r="I142" s="190"/>
    </row>
    <row r="143" ht="27.9" customHeight="1" s="3" customFormat="1" x14ac:dyDescent="0.25"/>
    <row r="144" ht="18" customHeight="1" s="3" customFormat="1" x14ac:dyDescent="0.25"/>
    <row r="145" ht="11.25" customHeight="1" s="3" customFormat="1" x14ac:dyDescent="0.25"/>
    <row r="146" ht="27" customHeight="1" x14ac:dyDescent="0.25"/>
    <row r="148" ht="14.25" customHeight="1" x14ac:dyDescent="0.25"/>
    <row r="149" ht="22.5" customHeight="1" x14ac:dyDescent="0.25"/>
    <row r="150" ht="22.5" customHeight="1" x14ac:dyDescent="0.25"/>
    <row r="151" ht="9" customHeight="1" x14ac:dyDescent="0.25"/>
    <row r="152" ht="21" customHeight="1" x14ac:dyDescent="0.25"/>
    <row r="153" ht="21" customHeight="1" x14ac:dyDescent="0.25"/>
    <row r="154" ht="18.9" customHeight="1" x14ac:dyDescent="0.25"/>
    <row r="155" ht="18.9" customHeight="1" x14ac:dyDescent="0.25"/>
    <row r="156" ht="18.9" customHeight="1" x14ac:dyDescent="0.25"/>
    <row r="157" ht="18.9" customHeight="1" x14ac:dyDescent="0.25"/>
    <row r="158" ht="18.9" customHeight="1" x14ac:dyDescent="0.25"/>
    <row r="159" ht="18.9" customHeight="1" x14ac:dyDescent="0.25"/>
    <row r="160" ht="18.9" customHeight="1" x14ac:dyDescent="0.25"/>
    <row r="161" ht="18.9" customHeight="1" x14ac:dyDescent="0.25"/>
    <row r="162" ht="18.9" customHeight="1" x14ac:dyDescent="0.25"/>
    <row r="163" ht="18.9" customHeight="1" x14ac:dyDescent="0.25"/>
    <row r="164" ht="18.9" customHeight="1" x14ac:dyDescent="0.25"/>
    <row r="165" ht="18.9" customHeight="1" x14ac:dyDescent="0.25"/>
    <row r="166" ht="18.9" customHeight="1" x14ac:dyDescent="0.25"/>
    <row r="167" ht="18.9" customHeight="1" x14ac:dyDescent="0.25"/>
    <row r="168" ht="18.9" customHeight="1" x14ac:dyDescent="0.25"/>
    <row r="169" ht="18.9" customHeight="1" x14ac:dyDescent="0.25"/>
    <row r="170" ht="18.9" customHeight="1" x14ac:dyDescent="0.25"/>
    <row r="171" ht="18.9" customHeight="1" x14ac:dyDescent="0.25"/>
    <row r="172" ht="18.9" customHeight="1" x14ac:dyDescent="0.25"/>
    <row r="173" ht="18.9" customHeight="1" x14ac:dyDescent="0.25"/>
    <row r="174" ht="6.9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8" customHeight="1" x14ac:dyDescent="0.25"/>
  </sheetData>
  <mergeCells count="99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9:B49"/>
    <mergeCell ref="D49:F49"/>
    <mergeCell ref="H49:I49"/>
    <mergeCell ref="A50:I50"/>
    <mergeCell ref="A51:I51"/>
    <mergeCell ref="A53:I53"/>
    <mergeCell ref="A54:I54"/>
    <mergeCell ref="E56:F56"/>
    <mergeCell ref="H56:I56"/>
    <mergeCell ref="E57:F57"/>
    <mergeCell ref="H57:I57"/>
    <mergeCell ref="D59:E59"/>
    <mergeCell ref="F59:G59"/>
    <mergeCell ref="A59:A60"/>
    <mergeCell ref="B59:B60"/>
    <mergeCell ref="C59:C60"/>
    <mergeCell ref="D60:E60"/>
    <mergeCell ref="I59:I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A98:B98"/>
    <mergeCell ref="D98:F98"/>
    <mergeCell ref="H98:I98"/>
    <mergeCell ref="A99:I99"/>
    <mergeCell ref="A100:I100"/>
    <mergeCell ref="A102:I102"/>
    <mergeCell ref="A103:I103"/>
    <mergeCell ref="E105:F105"/>
    <mergeCell ref="H105:I105"/>
    <mergeCell ref="E106:F106"/>
    <mergeCell ref="H106:I106"/>
    <mergeCell ref="D108:E108"/>
    <mergeCell ref="F108:G108"/>
    <mergeCell ref="A108:A109"/>
    <mergeCell ref="B108:B109"/>
    <mergeCell ref="C108:C109"/>
    <mergeCell ref="D109:E109"/>
    <mergeCell ref="I108:I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A142:B142"/>
    <mergeCell ref="D142:F142"/>
    <mergeCell ref="H142:I14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7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1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18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</row>
    <row r="2" ht="12" customHeight="1" spans="1:18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.25" customHeight="1" x14ac:dyDescent="0.25"/>
    <row r="4" ht="20.25" customHeight="1" spans="1:18" x14ac:dyDescent="0.25">
      <c r="A4" s="192" t="s">
        <v>58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ht="4.5" customHeight="1" x14ac:dyDescent="0.25"/>
    <row r="6" ht="17.4" customHeight="1" spans="1:18" x14ac:dyDescent="0.25">
      <c r="A6" s="3" t="s">
        <v>59</v>
      </c>
      <c r="B6" s="3" t="s">
        <v>3</v>
      </c>
      <c r="H6" s="8" t="s">
        <v>38</v>
      </c>
      <c r="I6" s="8"/>
      <c r="J6" s="8" t="s">
        <v>84</v>
      </c>
      <c r="K6" s="8"/>
      <c r="O6" s="194" t="s">
        <v>61</v>
      </c>
      <c r="P6" s="193">
        <v>46225</v>
      </c>
      <c r="Q6" s="8"/>
      <c r="R6" s="8"/>
    </row>
    <row r="7" ht="11.25" customHeight="1" x14ac:dyDescent="0.25"/>
    <row r="8" ht="17.4" customHeight="1" spans="1:18" x14ac:dyDescent="0.25">
      <c r="A8" s="194" t="s">
        <v>62</v>
      </c>
      <c r="B8" s="194" t="s">
        <v>25</v>
      </c>
      <c r="C8" s="194"/>
      <c r="D8" s="194"/>
      <c r="E8" s="194"/>
      <c r="H8" s="8" t="s">
        <v>85</v>
      </c>
      <c r="I8" s="8"/>
      <c r="J8" s="8" t="s">
        <v>64</v>
      </c>
      <c r="K8" s="8"/>
      <c r="O8" s="194" t="s">
        <v>86</v>
      </c>
      <c r="P8" s="8">
        <v>7</v>
      </c>
      <c r="Q8" s="8"/>
      <c r="R8" s="8"/>
    </row>
    <row r="9" ht="6.75" customHeight="1" x14ac:dyDescent="0.25"/>
    <row r="10" ht="12" customHeight="1" spans="1:18" x14ac:dyDescent="0.25">
      <c r="A10" s="198" t="s">
        <v>11</v>
      </c>
      <c r="B10" s="198" t="s">
        <v>43</v>
      </c>
      <c r="C10" s="247" t="s">
        <v>66</v>
      </c>
      <c r="D10" s="189"/>
      <c r="E10" s="248"/>
      <c r="F10" s="247" t="s">
        <v>67</v>
      </c>
      <c r="G10" s="189"/>
      <c r="H10" s="189"/>
      <c r="I10" s="248"/>
      <c r="J10" s="198" t="s">
        <v>68</v>
      </c>
      <c r="K10" s="198" t="s">
        <v>69</v>
      </c>
      <c r="L10" s="247" t="s">
        <v>87</v>
      </c>
      <c r="M10" s="189"/>
      <c r="N10" s="189"/>
      <c r="O10" s="189"/>
      <c r="P10" s="189"/>
      <c r="Q10" s="189"/>
      <c r="R10" s="248"/>
    </row>
    <row r="11" ht="12" customHeight="1" spans="1:18" x14ac:dyDescent="0.25">
      <c r="A11" s="202"/>
      <c r="B11" s="202"/>
      <c r="C11" s="249"/>
      <c r="D11" s="250"/>
      <c r="E11" s="251"/>
      <c r="F11" s="249"/>
      <c r="G11" s="250"/>
      <c r="H11" s="250"/>
      <c r="I11" s="251"/>
      <c r="J11" s="202" t="s">
        <v>52</v>
      </c>
      <c r="K11" s="202"/>
      <c r="L11" s="249"/>
      <c r="M11" s="250"/>
      <c r="N11" s="250"/>
      <c r="O11" s="250"/>
      <c r="P11" s="250"/>
      <c r="Q11" s="250"/>
      <c r="R11" s="251"/>
    </row>
    <row r="12" ht="22.2" customHeight="1" spans="1:18" x14ac:dyDescent="0.25">
      <c r="A12" s="53"/>
      <c r="B12" s="53"/>
      <c r="C12" s="254"/>
      <c r="D12" s="255"/>
      <c r="E12" s="256"/>
      <c r="F12" s="254"/>
      <c r="G12" s="255"/>
      <c r="H12" s="255"/>
      <c r="I12" s="256"/>
      <c r="J12" s="53"/>
      <c r="K12" s="53"/>
      <c r="L12" s="284"/>
      <c r="M12" s="285"/>
      <c r="N12" s="285"/>
      <c r="O12" s="285"/>
      <c r="P12" s="285"/>
      <c r="Q12" s="285"/>
      <c r="R12" s="286"/>
    </row>
    <row r="13" ht="22.2" customHeight="1" spans="1:18" x14ac:dyDescent="0.25">
      <c r="A13" s="252"/>
      <c r="B13" s="252"/>
      <c r="C13" s="162"/>
      <c r="D13" s="253"/>
      <c r="E13" s="169"/>
      <c r="F13" s="162"/>
      <c r="G13" s="253"/>
      <c r="H13" s="253"/>
      <c r="I13" s="169"/>
      <c r="J13" s="252"/>
      <c r="K13" s="252"/>
      <c r="L13" s="164"/>
      <c r="M13" s="164"/>
      <c r="N13" s="164"/>
      <c r="O13" s="164"/>
      <c r="P13" s="164"/>
      <c r="Q13" s="164"/>
      <c r="R13" s="164"/>
    </row>
    <row r="14" ht="22.2" customHeight="1" spans="1:18" x14ac:dyDescent="0.25">
      <c r="A14" s="252"/>
      <c r="B14" s="252"/>
      <c r="C14" s="162"/>
      <c r="D14" s="253"/>
      <c r="E14" s="169"/>
      <c r="F14" s="162"/>
      <c r="G14" s="253"/>
      <c r="H14" s="253"/>
      <c r="I14" s="169"/>
      <c r="J14" s="252"/>
      <c r="K14" s="252"/>
      <c r="L14" s="164"/>
      <c r="M14" s="164"/>
      <c r="N14" s="164"/>
      <c r="O14" s="164"/>
      <c r="P14" s="164"/>
      <c r="Q14" s="164"/>
      <c r="R14" s="164"/>
    </row>
    <row r="15" ht="22.2" customHeight="1" spans="1:18" x14ac:dyDescent="0.25">
      <c r="A15" s="252"/>
      <c r="B15" s="252"/>
      <c r="C15" s="162"/>
      <c r="D15" s="253"/>
      <c r="E15" s="169"/>
      <c r="F15" s="162"/>
      <c r="G15" s="253"/>
      <c r="H15" s="253"/>
      <c r="I15" s="169"/>
      <c r="J15" s="252"/>
      <c r="K15" s="252"/>
      <c r="L15" s="164"/>
      <c r="M15" s="164"/>
      <c r="N15" s="164"/>
      <c r="O15" s="164"/>
      <c r="P15" s="164"/>
      <c r="Q15" s="164"/>
      <c r="R15" s="164"/>
    </row>
    <row r="16" ht="22.2" customHeight="1" spans="1:18" x14ac:dyDescent="0.25">
      <c r="A16" s="252"/>
      <c r="B16" s="252"/>
      <c r="C16" s="162"/>
      <c r="D16" s="253"/>
      <c r="E16" s="169"/>
      <c r="F16" s="162"/>
      <c r="G16" s="253"/>
      <c r="H16" s="253"/>
      <c r="I16" s="169"/>
      <c r="J16" s="252"/>
      <c r="K16" s="252"/>
      <c r="L16" s="164"/>
      <c r="M16" s="164"/>
      <c r="N16" s="164"/>
      <c r="O16" s="164"/>
      <c r="P16" s="164"/>
      <c r="Q16" s="164"/>
      <c r="R16" s="164"/>
    </row>
    <row r="17" ht="22.2" customHeight="1" spans="1:18" x14ac:dyDescent="0.25">
      <c r="A17" s="252"/>
      <c r="B17" s="252"/>
      <c r="C17" s="162"/>
      <c r="D17" s="253"/>
      <c r="E17" s="169"/>
      <c r="F17" s="162"/>
      <c r="G17" s="253"/>
      <c r="H17" s="253"/>
      <c r="I17" s="169"/>
      <c r="J17" s="252"/>
      <c r="K17" s="252"/>
      <c r="L17" s="164"/>
      <c r="M17" s="164"/>
      <c r="N17" s="164"/>
      <c r="O17" s="164"/>
      <c r="P17" s="164"/>
      <c r="Q17" s="164"/>
      <c r="R17" s="164"/>
    </row>
    <row r="18" ht="22.2" customHeight="1" spans="1:18" x14ac:dyDescent="0.25">
      <c r="A18" s="252"/>
      <c r="B18" s="252"/>
      <c r="C18" s="162"/>
      <c r="D18" s="253"/>
      <c r="E18" s="169"/>
      <c r="F18" s="162"/>
      <c r="G18" s="253"/>
      <c r="H18" s="253"/>
      <c r="I18" s="169"/>
      <c r="J18" s="252"/>
      <c r="K18" s="252"/>
      <c r="L18" s="164"/>
      <c r="M18" s="164"/>
      <c r="N18" s="164"/>
      <c r="O18" s="164"/>
      <c r="P18" s="164"/>
      <c r="Q18" s="164"/>
      <c r="R18" s="164"/>
    </row>
    <row r="19" ht="22.2" customHeight="1" spans="1:18" x14ac:dyDescent="0.25">
      <c r="A19" s="252"/>
      <c r="B19" s="252"/>
      <c r="C19" s="162"/>
      <c r="D19" s="253"/>
      <c r="E19" s="169"/>
      <c r="F19" s="162"/>
      <c r="G19" s="253"/>
      <c r="H19" s="253"/>
      <c r="I19" s="169"/>
      <c r="J19" s="252"/>
      <c r="K19" s="252"/>
      <c r="L19" s="164"/>
      <c r="M19" s="164"/>
      <c r="N19" s="164"/>
      <c r="O19" s="164"/>
      <c r="P19" s="164"/>
      <c r="Q19" s="164"/>
      <c r="R19" s="164"/>
    </row>
    <row r="20" ht="22.2" customHeight="1" spans="1:18" x14ac:dyDescent="0.25">
      <c r="A20" s="252"/>
      <c r="B20" s="252"/>
      <c r="C20" s="162"/>
      <c r="D20" s="253"/>
      <c r="E20" s="169"/>
      <c r="F20" s="162"/>
      <c r="G20" s="253"/>
      <c r="H20" s="253"/>
      <c r="I20" s="169"/>
      <c r="J20" s="252"/>
      <c r="K20" s="252"/>
      <c r="L20" s="164"/>
      <c r="M20" s="164"/>
      <c r="N20" s="164"/>
      <c r="O20" s="164"/>
      <c r="P20" s="164"/>
      <c r="Q20" s="164"/>
      <c r="R20" s="164"/>
    </row>
    <row r="21" ht="22.2" customHeight="1" spans="1:18" x14ac:dyDescent="0.25">
      <c r="A21" s="252"/>
      <c r="B21" s="252"/>
      <c r="C21" s="162"/>
      <c r="D21" s="253"/>
      <c r="E21" s="169"/>
      <c r="F21" s="162"/>
      <c r="G21" s="253"/>
      <c r="H21" s="253"/>
      <c r="I21" s="169"/>
      <c r="J21" s="252"/>
      <c r="K21" s="252"/>
      <c r="L21" s="164"/>
      <c r="M21" s="164"/>
      <c r="N21" s="164"/>
      <c r="O21" s="164"/>
      <c r="P21" s="164"/>
      <c r="Q21" s="164"/>
      <c r="R21" s="164"/>
    </row>
    <row r="22" ht="22.2" customHeight="1" spans="1:18" x14ac:dyDescent="0.25">
      <c r="A22" s="252"/>
      <c r="B22" s="252"/>
      <c r="C22" s="162"/>
      <c r="D22" s="253"/>
      <c r="E22" s="169"/>
      <c r="F22" s="162"/>
      <c r="G22" s="253"/>
      <c r="H22" s="253"/>
      <c r="I22" s="169"/>
      <c r="J22" s="252"/>
      <c r="K22" s="252"/>
      <c r="L22" s="164"/>
      <c r="M22" s="164"/>
      <c r="N22" s="164"/>
      <c r="O22" s="164"/>
      <c r="P22" s="164"/>
      <c r="Q22" s="164"/>
      <c r="R22" s="164"/>
    </row>
    <row r="23" ht="22.2" customHeight="1" spans="1:18" x14ac:dyDescent="0.25">
      <c r="A23" s="252"/>
      <c r="B23" s="252"/>
      <c r="C23" s="162"/>
      <c r="D23" s="253"/>
      <c r="E23" s="169"/>
      <c r="F23" s="162"/>
      <c r="G23" s="253"/>
      <c r="H23" s="253"/>
      <c r="I23" s="169"/>
      <c r="J23" s="252"/>
      <c r="K23" s="252"/>
      <c r="L23" s="164"/>
      <c r="M23" s="164"/>
      <c r="N23" s="164"/>
      <c r="O23" s="164"/>
      <c r="P23" s="164"/>
      <c r="Q23" s="164"/>
      <c r="R23" s="164"/>
    </row>
    <row r="24" ht="22.2" customHeight="1" spans="1:18" x14ac:dyDescent="0.25">
      <c r="A24" s="252"/>
      <c r="B24" s="252"/>
      <c r="C24" s="162"/>
      <c r="D24" s="253"/>
      <c r="E24" s="169"/>
      <c r="F24" s="162"/>
      <c r="G24" s="253"/>
      <c r="H24" s="253"/>
      <c r="I24" s="169"/>
      <c r="J24" s="252"/>
      <c r="K24" s="252"/>
      <c r="L24" s="164"/>
      <c r="M24" s="164"/>
      <c r="N24" s="164"/>
      <c r="O24" s="164"/>
      <c r="P24" s="164"/>
      <c r="Q24" s="164"/>
      <c r="R24" s="164"/>
    </row>
    <row r="25" ht="22.2" customHeight="1" spans="1:18" x14ac:dyDescent="0.25">
      <c r="A25" s="252"/>
      <c r="B25" s="252"/>
      <c r="C25" s="162"/>
      <c r="D25" s="253"/>
      <c r="E25" s="169"/>
      <c r="F25" s="162"/>
      <c r="G25" s="253"/>
      <c r="H25" s="253"/>
      <c r="I25" s="169"/>
      <c r="J25" s="252"/>
      <c r="K25" s="252"/>
      <c r="L25" s="164"/>
      <c r="M25" s="164"/>
      <c r="N25" s="164"/>
      <c r="O25" s="164"/>
      <c r="P25" s="164"/>
      <c r="Q25" s="164"/>
      <c r="R25" s="164"/>
    </row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spans="1:18" x14ac:dyDescent="0.25">
      <c r="A30" s="188"/>
      <c r="B30" s="188"/>
      <c r="C30" s="188"/>
      <c r="D30" s="188"/>
      <c r="I30" s="188"/>
      <c r="J30" s="188"/>
      <c r="K30" s="188"/>
      <c r="O30" s="188"/>
      <c r="P30" s="188"/>
      <c r="Q30" s="188"/>
      <c r="R30" s="188"/>
    </row>
    <row r="31" spans="1:18" x14ac:dyDescent="0.25">
      <c r="A31" s="189" t="s">
        <v>22</v>
      </c>
      <c r="B31" s="189"/>
      <c r="C31" s="189"/>
      <c r="D31" s="189"/>
      <c r="I31" s="189" t="s">
        <v>57</v>
      </c>
      <c r="J31" s="189"/>
      <c r="K31" s="189"/>
      <c r="O31" s="189" t="s">
        <v>23</v>
      </c>
      <c r="P31" s="189"/>
      <c r="Q31" s="189"/>
      <c r="R31" s="189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6"/>
  <sheetViews>
    <sheetView workbookViewId="0" zoomScale="100" zoomScaleNormal="100">
      <selection activeCell="B2" sqref="B2"/>
    </sheetView>
  </sheetViews>
  <sheetFormatPr defaultRowHeight="19.2" outlineLevelRow="0" outlineLevelCol="0" x14ac:dyDescent="0" customHeight="1"/>
  <cols>
    <col min="1" max="1" width="7.69921875" style="1" customWidth="1"/>
    <col min="2" max="2" width="7" style="1" customWidth="1"/>
    <col min="3" max="3" width="7.59765625" style="1" customWidth="1"/>
    <col min="4" max="4" width="5.3984375" style="2" customWidth="1"/>
    <col min="5" max="15" width="5.3984375" style="1" customWidth="1"/>
    <col min="16" max="195" width="9" style="1" customWidth="1"/>
    <col min="196" max="197" width="7" style="1" customWidth="1"/>
    <col min="198" max="198" width="9.09765625" style="1" customWidth="1"/>
    <col min="199" max="207" width="7.09765625" style="1" customWidth="1"/>
    <col min="208" max="451" width="9" style="1" customWidth="1"/>
    <col min="452" max="453" width="7" style="1" customWidth="1"/>
    <col min="454" max="454" width="9.09765625" style="1" customWidth="1"/>
    <col min="455" max="463" width="7.09765625" style="1" customWidth="1"/>
    <col min="464" max="707" width="9" style="1" customWidth="1"/>
    <col min="708" max="709" width="7" style="1" customWidth="1"/>
    <col min="710" max="710" width="9.09765625" style="1" customWidth="1"/>
    <col min="711" max="719" width="7.09765625" style="1" customWidth="1"/>
    <col min="720" max="963" width="9" style="1" customWidth="1"/>
    <col min="964" max="965" width="7" style="1" customWidth="1"/>
    <col min="966" max="966" width="9.09765625" style="1" customWidth="1"/>
    <col min="967" max="975" width="7.09765625" style="1" customWidth="1"/>
    <col min="976" max="1219" width="9" style="1" customWidth="1"/>
    <col min="1220" max="1221" width="7" style="1" customWidth="1"/>
    <col min="1222" max="1222" width="9.09765625" style="1" customWidth="1"/>
    <col min="1223" max="1231" width="7.09765625" style="1" customWidth="1"/>
    <col min="1232" max="1475" width="9" style="1" customWidth="1"/>
    <col min="1476" max="1477" width="7" style="1" customWidth="1"/>
    <col min="1478" max="1478" width="9.09765625" style="1" customWidth="1"/>
    <col min="1479" max="1487" width="7.09765625" style="1" customWidth="1"/>
    <col min="1488" max="1731" width="9" style="1" customWidth="1"/>
    <col min="1732" max="1733" width="7" style="1" customWidth="1"/>
    <col min="1734" max="1734" width="9.09765625" style="1" customWidth="1"/>
    <col min="1735" max="1743" width="7.09765625" style="1" customWidth="1"/>
    <col min="1744" max="1987" width="9" style="1" customWidth="1"/>
    <col min="1988" max="1989" width="7" style="1" customWidth="1"/>
    <col min="1990" max="1990" width="9.09765625" style="1" customWidth="1"/>
    <col min="1991" max="1999" width="7.09765625" style="1" customWidth="1"/>
    <col min="2000" max="2243" width="9" style="1" customWidth="1"/>
    <col min="2244" max="2245" width="7" style="1" customWidth="1"/>
    <col min="2246" max="2246" width="9.09765625" style="1" customWidth="1"/>
    <col min="2247" max="2255" width="7.09765625" style="1" customWidth="1"/>
    <col min="2256" max="2499" width="9" style="1" customWidth="1"/>
    <col min="2500" max="2501" width="7" style="1" customWidth="1"/>
    <col min="2502" max="2502" width="9.09765625" style="1" customWidth="1"/>
    <col min="2503" max="2511" width="7.09765625" style="1" customWidth="1"/>
    <col min="2512" max="2755" width="9" style="1" customWidth="1"/>
    <col min="2756" max="2757" width="7" style="1" customWidth="1"/>
    <col min="2758" max="2758" width="9.09765625" style="1" customWidth="1"/>
    <col min="2759" max="2767" width="7.09765625" style="1" customWidth="1"/>
    <col min="2768" max="3011" width="9" style="1" customWidth="1"/>
    <col min="3012" max="3013" width="7" style="1" customWidth="1"/>
    <col min="3014" max="3014" width="9.09765625" style="1" customWidth="1"/>
    <col min="3015" max="3023" width="7.09765625" style="1" customWidth="1"/>
    <col min="3024" max="3267" width="9" style="1" customWidth="1"/>
    <col min="3268" max="3269" width="7" style="1" customWidth="1"/>
    <col min="3270" max="3270" width="9.09765625" style="1" customWidth="1"/>
    <col min="3271" max="3279" width="7.09765625" style="1" customWidth="1"/>
    <col min="3280" max="3523" width="9" style="1" customWidth="1"/>
    <col min="3524" max="3525" width="7" style="1" customWidth="1"/>
    <col min="3526" max="3526" width="9.09765625" style="1" customWidth="1"/>
    <col min="3527" max="3535" width="7.09765625" style="1" customWidth="1"/>
    <col min="3536" max="3779" width="9" style="1" customWidth="1"/>
    <col min="3780" max="3781" width="7" style="1" customWidth="1"/>
    <col min="3782" max="3782" width="9.09765625" style="1" customWidth="1"/>
    <col min="3783" max="3791" width="7.09765625" style="1" customWidth="1"/>
    <col min="3792" max="4035" width="9" style="1" customWidth="1"/>
    <col min="4036" max="4037" width="7" style="1" customWidth="1"/>
    <col min="4038" max="4038" width="9.09765625" style="1" customWidth="1"/>
    <col min="4039" max="4047" width="7.09765625" style="1" customWidth="1"/>
    <col min="4048" max="4291" width="9" style="1" customWidth="1"/>
    <col min="4292" max="4293" width="7" style="1" customWidth="1"/>
    <col min="4294" max="4294" width="9.09765625" style="1" customWidth="1"/>
    <col min="4295" max="4303" width="7.09765625" style="1" customWidth="1"/>
    <col min="4304" max="4547" width="9" style="1" customWidth="1"/>
    <col min="4548" max="4549" width="7" style="1" customWidth="1"/>
    <col min="4550" max="4550" width="9.09765625" style="1" customWidth="1"/>
    <col min="4551" max="4559" width="7.09765625" style="1" customWidth="1"/>
    <col min="4560" max="4803" width="9" style="1" customWidth="1"/>
    <col min="4804" max="4805" width="7" style="1" customWidth="1"/>
    <col min="4806" max="4806" width="9.09765625" style="1" customWidth="1"/>
    <col min="4807" max="4815" width="7.09765625" style="1" customWidth="1"/>
    <col min="4816" max="5059" width="9" style="1" customWidth="1"/>
    <col min="5060" max="5061" width="7" style="1" customWidth="1"/>
    <col min="5062" max="5062" width="9.09765625" style="1" customWidth="1"/>
    <col min="5063" max="5071" width="7.09765625" style="1" customWidth="1"/>
    <col min="5072" max="5315" width="9" style="1" customWidth="1"/>
    <col min="5316" max="5317" width="7" style="1" customWidth="1"/>
    <col min="5318" max="5318" width="9.09765625" style="1" customWidth="1"/>
    <col min="5319" max="5327" width="7.09765625" style="1" customWidth="1"/>
    <col min="5328" max="5571" width="9" style="1" customWidth="1"/>
    <col min="5572" max="5573" width="7" style="1" customWidth="1"/>
    <col min="5574" max="5574" width="9.09765625" style="1" customWidth="1"/>
    <col min="5575" max="5583" width="7.09765625" style="1" customWidth="1"/>
    <col min="5584" max="5827" width="9" style="1" customWidth="1"/>
    <col min="5828" max="5829" width="7" style="1" customWidth="1"/>
    <col min="5830" max="5830" width="9.09765625" style="1" customWidth="1"/>
    <col min="5831" max="5839" width="7.09765625" style="1" customWidth="1"/>
    <col min="5840" max="6083" width="9" style="1" customWidth="1"/>
    <col min="6084" max="6085" width="7" style="1" customWidth="1"/>
    <col min="6086" max="6086" width="9.09765625" style="1" customWidth="1"/>
    <col min="6087" max="6095" width="7.09765625" style="1" customWidth="1"/>
    <col min="6096" max="6339" width="9" style="1" customWidth="1"/>
    <col min="6340" max="6341" width="7" style="1" customWidth="1"/>
    <col min="6342" max="6342" width="9.09765625" style="1" customWidth="1"/>
    <col min="6343" max="6351" width="7.09765625" style="1" customWidth="1"/>
    <col min="6352" max="6595" width="9" style="1" customWidth="1"/>
    <col min="6596" max="6597" width="7" style="1" customWidth="1"/>
    <col min="6598" max="6598" width="9.09765625" style="1" customWidth="1"/>
    <col min="6599" max="6607" width="7.09765625" style="1" customWidth="1"/>
    <col min="6608" max="6851" width="9" style="1" customWidth="1"/>
    <col min="6852" max="6853" width="7" style="1" customWidth="1"/>
    <col min="6854" max="6854" width="9.09765625" style="1" customWidth="1"/>
    <col min="6855" max="6863" width="7.09765625" style="1" customWidth="1"/>
    <col min="6864" max="7107" width="9" style="1" customWidth="1"/>
    <col min="7108" max="7109" width="7" style="1" customWidth="1"/>
    <col min="7110" max="7110" width="9.09765625" style="1" customWidth="1"/>
    <col min="7111" max="7119" width="7.09765625" style="1" customWidth="1"/>
    <col min="7120" max="7363" width="9" style="1" customWidth="1"/>
    <col min="7364" max="7365" width="7" style="1" customWidth="1"/>
    <col min="7366" max="7366" width="9.09765625" style="1" customWidth="1"/>
    <col min="7367" max="7375" width="7.09765625" style="1" customWidth="1"/>
    <col min="7376" max="7619" width="9" style="1" customWidth="1"/>
    <col min="7620" max="7621" width="7" style="1" customWidth="1"/>
    <col min="7622" max="7622" width="9.09765625" style="1" customWidth="1"/>
    <col min="7623" max="7631" width="7.09765625" style="1" customWidth="1"/>
    <col min="7632" max="7875" width="9" style="1" customWidth="1"/>
    <col min="7876" max="7877" width="7" style="1" customWidth="1"/>
    <col min="7878" max="7878" width="9.09765625" style="1" customWidth="1"/>
    <col min="7879" max="7887" width="7.09765625" style="1" customWidth="1"/>
    <col min="7888" max="8131" width="9" style="1" customWidth="1"/>
    <col min="8132" max="8133" width="7" style="1" customWidth="1"/>
    <col min="8134" max="8134" width="9.09765625" style="1" customWidth="1"/>
    <col min="8135" max="8143" width="7.09765625" style="1" customWidth="1"/>
    <col min="8144" max="8387" width="9" style="1" customWidth="1"/>
    <col min="8388" max="8389" width="7" style="1" customWidth="1"/>
    <col min="8390" max="8390" width="9.09765625" style="1" customWidth="1"/>
    <col min="8391" max="8399" width="7.09765625" style="1" customWidth="1"/>
    <col min="8400" max="8643" width="9" style="1" customWidth="1"/>
    <col min="8644" max="8645" width="7" style="1" customWidth="1"/>
    <col min="8646" max="8646" width="9.09765625" style="1" customWidth="1"/>
    <col min="8647" max="8655" width="7.09765625" style="1" customWidth="1"/>
    <col min="8656" max="8899" width="9" style="1" customWidth="1"/>
    <col min="8900" max="8901" width="7" style="1" customWidth="1"/>
    <col min="8902" max="8902" width="9.09765625" style="1" customWidth="1"/>
    <col min="8903" max="8911" width="7.09765625" style="1" customWidth="1"/>
    <col min="8912" max="9155" width="9" style="1" customWidth="1"/>
    <col min="9156" max="9157" width="7" style="1" customWidth="1"/>
    <col min="9158" max="9158" width="9.09765625" style="1" customWidth="1"/>
    <col min="9159" max="9167" width="7.09765625" style="1" customWidth="1"/>
    <col min="9168" max="9411" width="9" style="1" customWidth="1"/>
    <col min="9412" max="9413" width="7" style="1" customWidth="1"/>
    <col min="9414" max="9414" width="9.09765625" style="1" customWidth="1"/>
    <col min="9415" max="9423" width="7.09765625" style="1" customWidth="1"/>
    <col min="9424" max="9667" width="9" style="1" customWidth="1"/>
    <col min="9668" max="9669" width="7" style="1" customWidth="1"/>
    <col min="9670" max="9670" width="9.09765625" style="1" customWidth="1"/>
    <col min="9671" max="9679" width="7.09765625" style="1" customWidth="1"/>
    <col min="9680" max="9923" width="9" style="1" customWidth="1"/>
    <col min="9924" max="9925" width="7" style="1" customWidth="1"/>
    <col min="9926" max="9926" width="9.09765625" style="1" customWidth="1"/>
    <col min="9927" max="9935" width="7.09765625" style="1" customWidth="1"/>
    <col min="9936" max="10179" width="9" style="1" customWidth="1"/>
    <col min="10180" max="10181" width="7" style="1" customWidth="1"/>
    <col min="10182" max="10182" width="9.09765625" style="1" customWidth="1"/>
    <col min="10183" max="10191" width="7.09765625" style="1" customWidth="1"/>
    <col min="10192" max="10435" width="9" style="1" customWidth="1"/>
    <col min="10436" max="10437" width="7" style="1" customWidth="1"/>
    <col min="10438" max="10438" width="9.09765625" style="1" customWidth="1"/>
    <col min="10439" max="10447" width="7.09765625" style="1" customWidth="1"/>
    <col min="10448" max="10691" width="9" style="1" customWidth="1"/>
    <col min="10692" max="10693" width="7" style="1" customWidth="1"/>
    <col min="10694" max="10694" width="9.09765625" style="1" customWidth="1"/>
    <col min="10695" max="10703" width="7.09765625" style="1" customWidth="1"/>
    <col min="10704" max="10947" width="9" style="1" customWidth="1"/>
    <col min="10948" max="10949" width="7" style="1" customWidth="1"/>
    <col min="10950" max="10950" width="9.09765625" style="1" customWidth="1"/>
    <col min="10951" max="10959" width="7.09765625" style="1" customWidth="1"/>
    <col min="10960" max="11203" width="9" style="1" customWidth="1"/>
    <col min="11204" max="11205" width="7" style="1" customWidth="1"/>
    <col min="11206" max="11206" width="9.09765625" style="1" customWidth="1"/>
    <col min="11207" max="11215" width="7.09765625" style="1" customWidth="1"/>
    <col min="11216" max="11459" width="9" style="1" customWidth="1"/>
    <col min="11460" max="11461" width="7" style="1" customWidth="1"/>
    <col min="11462" max="11462" width="9.09765625" style="1" customWidth="1"/>
    <col min="11463" max="11471" width="7.09765625" style="1" customWidth="1"/>
    <col min="11472" max="11715" width="9" style="1" customWidth="1"/>
    <col min="11716" max="11717" width="7" style="1" customWidth="1"/>
    <col min="11718" max="11718" width="9.09765625" style="1" customWidth="1"/>
    <col min="11719" max="11727" width="7.09765625" style="1" customWidth="1"/>
    <col min="11728" max="11971" width="9" style="1" customWidth="1"/>
    <col min="11972" max="11973" width="7" style="1" customWidth="1"/>
    <col min="11974" max="11974" width="9.09765625" style="1" customWidth="1"/>
    <col min="11975" max="11983" width="7.09765625" style="1" customWidth="1"/>
    <col min="11984" max="12227" width="9" style="1" customWidth="1"/>
    <col min="12228" max="12229" width="7" style="1" customWidth="1"/>
    <col min="12230" max="12230" width="9.09765625" style="1" customWidth="1"/>
    <col min="12231" max="12239" width="7.09765625" style="1" customWidth="1"/>
    <col min="12240" max="12483" width="9" style="1" customWidth="1"/>
    <col min="12484" max="12485" width="7" style="1" customWidth="1"/>
    <col min="12486" max="12486" width="9.09765625" style="1" customWidth="1"/>
    <col min="12487" max="12495" width="7.09765625" style="1" customWidth="1"/>
    <col min="12496" max="12739" width="9" style="1" customWidth="1"/>
    <col min="12740" max="12741" width="7" style="1" customWidth="1"/>
    <col min="12742" max="12742" width="9.09765625" style="1" customWidth="1"/>
    <col min="12743" max="12751" width="7.09765625" style="1" customWidth="1"/>
    <col min="12752" max="12995" width="9" style="1" customWidth="1"/>
    <col min="12996" max="12997" width="7" style="1" customWidth="1"/>
    <col min="12998" max="12998" width="9.09765625" style="1" customWidth="1"/>
    <col min="12999" max="13007" width="7.09765625" style="1" customWidth="1"/>
    <col min="13008" max="13251" width="9" style="1" customWidth="1"/>
    <col min="13252" max="13253" width="7" style="1" customWidth="1"/>
    <col min="13254" max="13254" width="9.09765625" style="1" customWidth="1"/>
    <col min="13255" max="13263" width="7.09765625" style="1" customWidth="1"/>
    <col min="13264" max="13507" width="9" style="1" customWidth="1"/>
    <col min="13508" max="13509" width="7" style="1" customWidth="1"/>
    <col min="13510" max="13510" width="9.09765625" style="1" customWidth="1"/>
    <col min="13511" max="13519" width="7.09765625" style="1" customWidth="1"/>
    <col min="13520" max="13763" width="9" style="1" customWidth="1"/>
    <col min="13764" max="13765" width="7" style="1" customWidth="1"/>
    <col min="13766" max="13766" width="9.09765625" style="1" customWidth="1"/>
    <col min="13767" max="13775" width="7.09765625" style="1" customWidth="1"/>
    <col min="13776" max="14019" width="9" style="1" customWidth="1"/>
    <col min="14020" max="14021" width="7" style="1" customWidth="1"/>
    <col min="14022" max="14022" width="9.09765625" style="1" customWidth="1"/>
    <col min="14023" max="14031" width="7.09765625" style="1" customWidth="1"/>
    <col min="14032" max="14275" width="9" style="1" customWidth="1"/>
    <col min="14276" max="14277" width="7" style="1" customWidth="1"/>
    <col min="14278" max="14278" width="9.09765625" style="1" customWidth="1"/>
    <col min="14279" max="14287" width="7.09765625" style="1" customWidth="1"/>
    <col min="14288" max="14531" width="9" style="1" customWidth="1"/>
    <col min="14532" max="14533" width="7" style="1" customWidth="1"/>
    <col min="14534" max="14534" width="9.09765625" style="1" customWidth="1"/>
    <col min="14535" max="14543" width="7.09765625" style="1" customWidth="1"/>
    <col min="14544" max="14787" width="9" style="1" customWidth="1"/>
    <col min="14788" max="14789" width="7" style="1" customWidth="1"/>
    <col min="14790" max="14790" width="9.09765625" style="1" customWidth="1"/>
    <col min="14791" max="14799" width="7.09765625" style="1" customWidth="1"/>
    <col min="14800" max="15043" width="9" style="1" customWidth="1"/>
    <col min="15044" max="15045" width="7" style="1" customWidth="1"/>
    <col min="15046" max="15046" width="9.09765625" style="1" customWidth="1"/>
    <col min="15047" max="15055" width="7.09765625" style="1" customWidth="1"/>
    <col min="15056" max="15299" width="9" style="1" customWidth="1"/>
    <col min="15300" max="15301" width="7" style="1" customWidth="1"/>
    <col min="15302" max="15302" width="9.09765625" style="1" customWidth="1"/>
    <col min="15303" max="15311" width="7.09765625" style="1" customWidth="1"/>
    <col min="15312" max="15555" width="9" style="1" customWidth="1"/>
    <col min="15556" max="15557" width="7" style="1" customWidth="1"/>
    <col min="15558" max="15558" width="9.09765625" style="1" customWidth="1"/>
    <col min="15559" max="15567" width="7.09765625" style="1" customWidth="1"/>
    <col min="15568" max="15811" width="9" style="1" customWidth="1"/>
    <col min="15812" max="15813" width="7" style="1" customWidth="1"/>
    <col min="15814" max="15814" width="9.09765625" style="1" customWidth="1"/>
    <col min="15815" max="15823" width="7.09765625" style="1" customWidth="1"/>
    <col min="15824" max="16067" width="9" style="1" customWidth="1"/>
    <col min="16068" max="16069" width="7" style="1" customWidth="1"/>
    <col min="16070" max="16070" width="9.09765625" style="1" customWidth="1"/>
    <col min="16071" max="16079" width="7.09765625" style="1" customWidth="1"/>
    <col min="16080" max="16384" width="9" style="1" customWidth="1"/>
  </cols>
  <sheetData>
    <row r="1" ht="33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.7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spans="1:15" x14ac:dyDescent="0.25">
      <c r="A4" s="8" t="s">
        <v>2</v>
      </c>
      <c r="B4" s="9" t="s">
        <v>3</v>
      </c>
      <c r="E4" s="10"/>
      <c r="F4" s="11" t="s">
        <v>4</v>
      </c>
      <c r="G4" s="12"/>
      <c r="H4" s="12"/>
      <c r="I4" s="12"/>
      <c r="K4" s="13" t="s">
        <v>5</v>
      </c>
      <c r="L4" s="14"/>
      <c r="M4" s="15"/>
      <c r="N4" s="15"/>
      <c r="O4" s="15"/>
    </row>
    <row r="5" ht="9.75" customHeight="1" spans="1:4" x14ac:dyDescent="0.25">
      <c r="A5" s="16"/>
      <c r="D5" s="17"/>
    </row>
    <row r="6" spans="1:15" x14ac:dyDescent="0.25">
      <c r="A6" s="8" t="s">
        <v>6</v>
      </c>
      <c r="B6" s="18"/>
      <c r="E6" s="19"/>
      <c r="F6" s="11" t="s">
        <v>7</v>
      </c>
      <c r="G6" s="12"/>
      <c r="H6" s="12"/>
      <c r="I6" s="12"/>
      <c r="K6" s="13" t="s">
        <v>8</v>
      </c>
      <c r="L6" s="20" t="s">
        <v>9</v>
      </c>
      <c r="M6" s="20"/>
      <c r="N6" s="20"/>
      <c r="O6" s="20"/>
    </row>
    <row r="7" ht="11.25" customHeight="1" spans="1:7" x14ac:dyDescent="0.25">
      <c r="A7" s="21"/>
      <c r="B7" s="21"/>
      <c r="C7" s="21"/>
      <c r="D7" s="22"/>
      <c r="E7" s="21"/>
      <c r="F7" s="21"/>
      <c r="G7" s="21"/>
    </row>
    <row r="8" ht="15" customHeight="1" spans="1:15" s="18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(502)</v>
      </c>
      <c r="E8" s="27"/>
      <c r="F8" s="27"/>
      <c r="G8" s="27"/>
      <c r="H8" s="26" t="str">
        <f>+"LOAD ("&amp;H70+I70+J70+K70+H71+I71+J71+K71&amp;")"</f>
        <v>LOAD (268)</v>
      </c>
      <c r="I8" s="27"/>
      <c r="J8" s="27"/>
      <c r="K8" s="28"/>
      <c r="L8" s="29" t="str">
        <f>+"SHIFT (2 TIMES) ("&amp;L70+M70+N70+O70+L71+M71+N71+O71&amp;")"</f>
        <v>SHIFT (2 TIMES) (0)</v>
      </c>
      <c r="M8" s="30"/>
      <c r="N8" s="31"/>
      <c r="O8" s="32"/>
    </row>
    <row r="9" ht="15" customHeight="1" spans="1:1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</row>
    <row r="10" ht="16.95" customHeight="1" spans="1:1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</row>
    <row r="11" ht="16.95" customHeight="1" spans="1:15" s="42" customFormat="1" x14ac:dyDescent="0.25">
      <c r="A11" s="42"/>
      <c r="B11" s="42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</row>
    <row r="12" ht="16.95" customHeight="1" spans="1:15" s="42" customFormat="1" x14ac:dyDescent="0.25">
      <c r="A12" s="42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</row>
    <row r="13" ht="16.95" customHeight="1" spans="1:15" s="42" customFormat="1" x14ac:dyDescent="0.25">
      <c r="A13" s="42"/>
      <c r="B13" s="42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</row>
    <row r="14" ht="16.95" customHeight="1" hidden="1" spans="1:15" s="42" customFormat="1" x14ac:dyDescent="0.25">
      <c r="A14" s="42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</row>
    <row r="15" ht="16.95" customHeight="1" hidden="1" spans="1:15" s="42" customFormat="1" x14ac:dyDescent="0.25">
      <c r="A15" s="42"/>
      <c r="B15" s="42"/>
      <c r="C15" s="66" t="s">
        <v>18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</row>
    <row r="16" ht="16.95" customHeight="1" hidden="1" spans="1:15" s="42" customFormat="1" x14ac:dyDescent="0.25">
      <c r="A16" s="42"/>
      <c r="B16" s="64"/>
      <c r="C16" s="67" t="s">
        <v>17</v>
      </c>
      <c r="D16" s="68"/>
      <c r="E16" s="69"/>
      <c r="F16" s="69"/>
      <c r="G16" s="70"/>
      <c r="H16" s="68"/>
      <c r="I16" s="69"/>
      <c r="J16" s="69"/>
      <c r="K16" s="71"/>
      <c r="L16" s="72"/>
      <c r="M16" s="69"/>
      <c r="N16" s="69"/>
      <c r="O16" s="71"/>
    </row>
    <row r="17" ht="16.95" customHeight="1" hidden="1" spans="1:15" s="42" customFormat="1" x14ac:dyDescent="0.25">
      <c r="A17" s="42"/>
      <c r="B17" s="42"/>
      <c r="C17" s="73" t="s">
        <v>18</v>
      </c>
      <c r="D17" s="74"/>
      <c r="E17" s="75"/>
      <c r="F17" s="75"/>
      <c r="G17" s="76"/>
      <c r="H17" s="74"/>
      <c r="I17" s="75"/>
      <c r="J17" s="75"/>
      <c r="K17" s="77"/>
      <c r="L17" s="78"/>
      <c r="M17" s="75"/>
      <c r="N17" s="75"/>
      <c r="O17" s="77"/>
    </row>
    <row r="18" ht="16.95" customHeight="1" spans="1:15" s="42" customFormat="1" x14ac:dyDescent="0.25">
      <c r="A18" s="79"/>
      <c r="B18" s="80"/>
      <c r="C18" s="81" t="s">
        <v>17</v>
      </c>
      <c r="D18" s="82"/>
      <c r="E18" s="83"/>
      <c r="F18" s="83"/>
      <c r="G18" s="84"/>
      <c r="H18" s="82"/>
      <c r="I18" s="83"/>
      <c r="J18" s="83"/>
      <c r="K18" s="85"/>
      <c r="L18" s="86"/>
      <c r="M18" s="83"/>
      <c r="N18" s="83"/>
      <c r="O18" s="85"/>
    </row>
    <row r="19" ht="16.95" customHeight="1" spans="1:15" s="42" customFormat="1" x14ac:dyDescent="0.25">
      <c r="A19" s="42"/>
      <c r="B19" s="42"/>
      <c r="C19" s="87" t="s">
        <v>18</v>
      </c>
      <c r="D19" s="88"/>
      <c r="E19" s="89"/>
      <c r="F19" s="89"/>
      <c r="G19" s="90"/>
      <c r="H19" s="88"/>
      <c r="I19" s="89"/>
      <c r="J19" s="89"/>
      <c r="K19" s="91"/>
      <c r="L19" s="92"/>
      <c r="M19" s="89"/>
      <c r="N19" s="89"/>
      <c r="O19" s="91"/>
    </row>
    <row r="20" ht="16.95" customHeight="1" spans="1:15" s="42" customFormat="1" x14ac:dyDescent="0.25">
      <c r="A20" s="42"/>
      <c r="B20" s="80"/>
      <c r="C20" s="81" t="s">
        <v>17</v>
      </c>
      <c r="D20" s="82"/>
      <c r="E20" s="83"/>
      <c r="F20" s="83"/>
      <c r="G20" s="84"/>
      <c r="H20" s="82"/>
      <c r="I20" s="83"/>
      <c r="J20" s="83"/>
      <c r="K20" s="85"/>
      <c r="L20" s="86"/>
      <c r="M20" s="83"/>
      <c r="N20" s="83"/>
      <c r="O20" s="85"/>
    </row>
    <row r="21" ht="16.95" customHeight="1" spans="1:15" s="42" customFormat="1" x14ac:dyDescent="0.25">
      <c r="A21" s="42"/>
      <c r="B21" s="42"/>
      <c r="C21" s="73" t="s">
        <v>18</v>
      </c>
      <c r="D21" s="74"/>
      <c r="E21" s="75"/>
      <c r="F21" s="75"/>
      <c r="G21" s="76"/>
      <c r="H21" s="74"/>
      <c r="I21" s="75"/>
      <c r="J21" s="75"/>
      <c r="K21" s="77"/>
      <c r="L21" s="78"/>
      <c r="M21" s="75"/>
      <c r="N21" s="75"/>
      <c r="O21" s="77"/>
    </row>
    <row r="22" ht="16.95" customHeight="1" spans="1:15" s="42" customFormat="1" x14ac:dyDescent="0.25">
      <c r="A22" s="93"/>
      <c r="B22" s="94"/>
      <c r="C22" s="95" t="s">
        <v>17</v>
      </c>
      <c r="D22" s="68"/>
      <c r="E22" s="69"/>
      <c r="F22" s="69"/>
      <c r="G22" s="71"/>
      <c r="H22" s="68"/>
      <c r="I22" s="69"/>
      <c r="J22" s="69"/>
      <c r="K22" s="71"/>
      <c r="L22" s="72"/>
      <c r="M22" s="69"/>
      <c r="N22" s="69"/>
      <c r="O22" s="71"/>
    </row>
    <row r="23" ht="16.95" customHeight="1" spans="1:15" s="42" customFormat="1" x14ac:dyDescent="0.25">
      <c r="A23" s="42"/>
      <c r="B23" s="42"/>
      <c r="C23" s="51" t="s">
        <v>18</v>
      </c>
      <c r="D23" s="52"/>
      <c r="E23" s="53"/>
      <c r="F23" s="53"/>
      <c r="G23" s="55"/>
      <c r="H23" s="52"/>
      <c r="I23" s="53"/>
      <c r="J23" s="53"/>
      <c r="K23" s="55"/>
      <c r="L23" s="56"/>
      <c r="M23" s="53"/>
      <c r="N23" s="53"/>
      <c r="O23" s="55"/>
    </row>
    <row r="24" ht="16.95" customHeight="1" spans="1:15" s="42" customFormat="1" x14ac:dyDescent="0.25">
      <c r="A24" s="42"/>
      <c r="B24" s="94"/>
      <c r="C24" s="67" t="s">
        <v>17</v>
      </c>
      <c r="D24" s="68"/>
      <c r="E24" s="69"/>
      <c r="F24" s="69"/>
      <c r="G24" s="71"/>
      <c r="H24" s="68"/>
      <c r="I24" s="69"/>
      <c r="J24" s="69"/>
      <c r="K24" s="71"/>
      <c r="L24" s="72"/>
      <c r="M24" s="69"/>
      <c r="N24" s="69"/>
      <c r="O24" s="71"/>
    </row>
    <row r="25" ht="16.95" customHeight="1" spans="1:15" s="42" customFormat="1" x14ac:dyDescent="0.25">
      <c r="A25" s="42"/>
      <c r="B25" s="42"/>
      <c r="C25" s="73" t="s">
        <v>18</v>
      </c>
      <c r="D25" s="74"/>
      <c r="E25" s="75"/>
      <c r="F25" s="75"/>
      <c r="G25" s="77"/>
      <c r="H25" s="74"/>
      <c r="I25" s="75"/>
      <c r="J25" s="75"/>
      <c r="K25" s="77"/>
      <c r="L25" s="78"/>
      <c r="M25" s="75"/>
      <c r="N25" s="75"/>
      <c r="O25" s="77"/>
    </row>
    <row r="26" ht="16.95" customHeight="1" spans="1:15" s="42" customFormat="1" x14ac:dyDescent="0.25">
      <c r="A26" s="93"/>
      <c r="B26" s="94"/>
      <c r="C26" s="67" t="s">
        <v>17</v>
      </c>
      <c r="D26" s="68"/>
      <c r="E26" s="69"/>
      <c r="F26" s="69"/>
      <c r="G26" s="70"/>
      <c r="H26" s="68"/>
      <c r="I26" s="69"/>
      <c r="J26" s="69"/>
      <c r="K26" s="71"/>
      <c r="L26" s="72"/>
      <c r="M26" s="69"/>
      <c r="N26" s="69"/>
      <c r="O26" s="71"/>
    </row>
    <row r="27" ht="16.95" customHeight="1" spans="1:15" s="42" customFormat="1" x14ac:dyDescent="0.25">
      <c r="A27" s="42"/>
      <c r="B27" s="42"/>
      <c r="C27" s="66" t="s">
        <v>18</v>
      </c>
      <c r="D27" s="52"/>
      <c r="E27" s="53"/>
      <c r="F27" s="53"/>
      <c r="G27" s="54"/>
      <c r="H27" s="52"/>
      <c r="I27" s="53"/>
      <c r="J27" s="53"/>
      <c r="K27" s="55"/>
      <c r="L27" s="56"/>
      <c r="M27" s="53"/>
      <c r="N27" s="53"/>
      <c r="O27" s="55"/>
    </row>
    <row r="28" ht="16.95" customHeight="1" spans="1:15" s="42" customFormat="1" x14ac:dyDescent="0.25">
      <c r="A28" s="42"/>
      <c r="B28" s="64"/>
      <c r="C28" s="65" t="s">
        <v>17</v>
      </c>
      <c r="D28" s="59"/>
      <c r="E28" s="60"/>
      <c r="F28" s="60"/>
      <c r="G28" s="61"/>
      <c r="H28" s="59"/>
      <c r="I28" s="60"/>
      <c r="J28" s="60"/>
      <c r="K28" s="62"/>
      <c r="L28" s="63"/>
      <c r="M28" s="60"/>
      <c r="N28" s="60"/>
      <c r="O28" s="62"/>
    </row>
    <row r="29" ht="16.95" customHeight="1" spans="1:15" s="42" customFormat="1" x14ac:dyDescent="0.25">
      <c r="A29" s="42"/>
      <c r="B29" s="42"/>
      <c r="C29" s="73" t="s">
        <v>18</v>
      </c>
      <c r="D29" s="74"/>
      <c r="E29" s="75"/>
      <c r="F29" s="75"/>
      <c r="G29" s="76"/>
      <c r="H29" s="74"/>
      <c r="I29" s="75"/>
      <c r="J29" s="75"/>
      <c r="K29" s="77"/>
      <c r="L29" s="78"/>
      <c r="M29" s="75"/>
      <c r="N29" s="75"/>
      <c r="O29" s="77"/>
    </row>
    <row r="30" ht="16.95" customHeight="1" spans="1:15" s="42" customFormat="1" x14ac:dyDescent="0.25">
      <c r="A30" s="93"/>
      <c r="B30" s="64"/>
      <c r="C30" s="87" t="s">
        <v>17</v>
      </c>
      <c r="D30" s="88"/>
      <c r="E30" s="89"/>
      <c r="F30" s="89"/>
      <c r="G30" s="91"/>
      <c r="H30" s="88"/>
      <c r="I30" s="89"/>
      <c r="J30" s="89"/>
      <c r="K30" s="91"/>
      <c r="L30" s="92"/>
      <c r="M30" s="89"/>
      <c r="N30" s="89"/>
      <c r="O30" s="91"/>
    </row>
    <row r="31" ht="16.95" customHeight="1" spans="1:15" s="42" customFormat="1" x14ac:dyDescent="0.25">
      <c r="A31" s="42"/>
      <c r="B31" s="42"/>
      <c r="C31" s="96" t="s">
        <v>18</v>
      </c>
      <c r="D31" s="97"/>
      <c r="E31" s="98"/>
      <c r="F31" s="98"/>
      <c r="G31" s="99"/>
      <c r="H31" s="97"/>
      <c r="I31" s="98"/>
      <c r="J31" s="98"/>
      <c r="K31" s="99"/>
      <c r="L31" s="100"/>
      <c r="M31" s="98"/>
      <c r="N31" s="98"/>
      <c r="O31" s="99"/>
    </row>
    <row r="32" ht="16.95" customHeight="1" spans="1:15" s="42" customFormat="1" x14ac:dyDescent="0.25">
      <c r="A32" s="42"/>
      <c r="B32" s="64"/>
      <c r="C32" s="65" t="s">
        <v>17</v>
      </c>
      <c r="D32" s="59"/>
      <c r="E32" s="60"/>
      <c r="F32" s="60"/>
      <c r="G32" s="62"/>
      <c r="H32" s="59"/>
      <c r="I32" s="60"/>
      <c r="J32" s="60"/>
      <c r="K32" s="62"/>
      <c r="L32" s="63"/>
      <c r="M32" s="60"/>
      <c r="N32" s="60"/>
      <c r="O32" s="62"/>
    </row>
    <row r="33" ht="16.95" customHeight="1" spans="1:15" s="42" customFormat="1" x14ac:dyDescent="0.25">
      <c r="A33" s="42"/>
      <c r="B33" s="42"/>
      <c r="C33" s="73" t="s">
        <v>18</v>
      </c>
      <c r="D33" s="74"/>
      <c r="E33" s="75"/>
      <c r="F33" s="75"/>
      <c r="G33" s="77"/>
      <c r="H33" s="74"/>
      <c r="I33" s="75"/>
      <c r="J33" s="75"/>
      <c r="K33" s="77"/>
      <c r="L33" s="78"/>
      <c r="M33" s="75"/>
      <c r="N33" s="75"/>
      <c r="O33" s="77"/>
    </row>
    <row r="34" ht="16.95" customHeight="1" spans="1:15" s="42" customFormat="1" x14ac:dyDescent="0.25">
      <c r="A34" s="93"/>
      <c r="B34" s="64"/>
      <c r="C34" s="87" t="s">
        <v>17</v>
      </c>
      <c r="D34" s="88"/>
      <c r="E34" s="89"/>
      <c r="F34" s="89"/>
      <c r="G34" s="91"/>
      <c r="H34" s="88"/>
      <c r="I34" s="89"/>
      <c r="J34" s="89"/>
      <c r="K34" s="91"/>
      <c r="L34" s="92"/>
      <c r="M34" s="89"/>
      <c r="N34" s="89"/>
      <c r="O34" s="91"/>
    </row>
    <row r="35" ht="16.95" customHeight="1" spans="1:15" s="42" customFormat="1" x14ac:dyDescent="0.25">
      <c r="A35" s="42"/>
      <c r="B35" s="42"/>
      <c r="C35" s="96" t="s">
        <v>18</v>
      </c>
      <c r="D35" s="97"/>
      <c r="E35" s="98"/>
      <c r="F35" s="98"/>
      <c r="G35" s="99"/>
      <c r="H35" s="97"/>
      <c r="I35" s="98"/>
      <c r="J35" s="98"/>
      <c r="K35" s="99"/>
      <c r="L35" s="100"/>
      <c r="M35" s="98"/>
      <c r="N35" s="98"/>
      <c r="O35" s="99"/>
    </row>
    <row r="36" ht="16.95" customHeight="1" spans="1:15" s="42" customFormat="1" x14ac:dyDescent="0.25">
      <c r="A36" s="42"/>
      <c r="B36" s="64"/>
      <c r="C36" s="67" t="s">
        <v>17</v>
      </c>
      <c r="D36" s="68"/>
      <c r="E36" s="69"/>
      <c r="F36" s="69"/>
      <c r="G36" s="71"/>
      <c r="H36" s="68"/>
      <c r="I36" s="69"/>
      <c r="J36" s="69"/>
      <c r="K36" s="71"/>
      <c r="L36" s="72"/>
      <c r="M36" s="69"/>
      <c r="N36" s="69"/>
      <c r="O36" s="71"/>
    </row>
    <row r="37" ht="16.95" customHeight="1" spans="1:15" s="42" customFormat="1" x14ac:dyDescent="0.25">
      <c r="A37" s="42"/>
      <c r="B37" s="42"/>
      <c r="C37" s="73" t="s">
        <v>18</v>
      </c>
      <c r="D37" s="74"/>
      <c r="E37" s="75"/>
      <c r="F37" s="75"/>
      <c r="G37" s="77"/>
      <c r="H37" s="74"/>
      <c r="I37" s="75"/>
      <c r="J37" s="75"/>
      <c r="K37" s="77"/>
      <c r="L37" s="78"/>
      <c r="M37" s="75"/>
      <c r="N37" s="75"/>
      <c r="O37" s="77"/>
    </row>
    <row r="38" ht="16.95" customHeight="1" hidden="1" spans="1:15" s="42" customFormat="1" x14ac:dyDescent="0.25">
      <c r="A38" s="93"/>
      <c r="B38" s="64"/>
      <c r="C38" s="67"/>
      <c r="D38" s="68"/>
      <c r="E38" s="69"/>
      <c r="F38" s="69"/>
      <c r="G38" s="70"/>
      <c r="H38" s="68"/>
      <c r="I38" s="69"/>
      <c r="J38" s="69"/>
      <c r="K38" s="71"/>
      <c r="L38" s="72"/>
      <c r="M38" s="69"/>
      <c r="N38" s="69"/>
      <c r="O38" s="71"/>
    </row>
    <row r="39" ht="16.95" customHeight="1" hidden="1" spans="1:15" s="42" customFormat="1" x14ac:dyDescent="0.25">
      <c r="A39" s="42"/>
      <c r="B39" s="42"/>
      <c r="C39" s="66"/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</row>
    <row r="40" ht="16.95" customHeight="1" hidden="1" spans="1:15" s="42" customFormat="1" x14ac:dyDescent="0.25">
      <c r="A40" s="42"/>
      <c r="B40" s="94"/>
      <c r="C40" s="65"/>
      <c r="D40" s="59"/>
      <c r="E40" s="60"/>
      <c r="F40" s="60"/>
      <c r="G40" s="61"/>
      <c r="H40" s="59"/>
      <c r="I40" s="60"/>
      <c r="J40" s="60"/>
      <c r="K40" s="62"/>
      <c r="L40" s="63"/>
      <c r="M40" s="60"/>
      <c r="N40" s="60"/>
      <c r="O40" s="62"/>
    </row>
    <row r="41" ht="16.95" customHeight="1" hidden="1" spans="1:15" s="42" customFormat="1" x14ac:dyDescent="0.25">
      <c r="A41" s="42"/>
      <c r="B41" s="42"/>
      <c r="C41" s="66"/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</row>
    <row r="42" ht="16.95" customHeight="1" hidden="1" spans="1:15" s="42" customFormat="1" x14ac:dyDescent="0.25">
      <c r="A42" s="93"/>
      <c r="B42" s="64"/>
      <c r="C42" s="65" t="s">
        <v>17</v>
      </c>
      <c r="D42" s="59"/>
      <c r="E42" s="60"/>
      <c r="F42" s="60"/>
      <c r="G42" s="61"/>
      <c r="H42" s="59"/>
      <c r="I42" s="60"/>
      <c r="J42" s="60"/>
      <c r="K42" s="62"/>
      <c r="L42" s="63"/>
      <c r="M42" s="60"/>
      <c r="N42" s="60"/>
      <c r="O42" s="62"/>
    </row>
    <row r="43" ht="16.95" customHeight="1" hidden="1" spans="1:15" s="42" customFormat="1" x14ac:dyDescent="0.25">
      <c r="A43" s="42"/>
      <c r="B43" s="42"/>
      <c r="C43" s="66" t="s">
        <v>18</v>
      </c>
      <c r="D43" s="52"/>
      <c r="E43" s="53"/>
      <c r="F43" s="53"/>
      <c r="G43" s="54"/>
      <c r="H43" s="52"/>
      <c r="I43" s="53"/>
      <c r="J43" s="53"/>
      <c r="K43" s="55"/>
      <c r="L43" s="56"/>
      <c r="M43" s="53"/>
      <c r="N43" s="53"/>
      <c r="O43" s="55"/>
    </row>
    <row r="44" ht="16.95" customHeight="1" hidden="1" spans="1:15" s="42" customFormat="1" x14ac:dyDescent="0.25">
      <c r="A44" s="93"/>
      <c r="B44" s="64"/>
      <c r="C44" s="65" t="s">
        <v>17</v>
      </c>
      <c r="D44" s="59"/>
      <c r="E44" s="60"/>
      <c r="F44" s="60"/>
      <c r="G44" s="62"/>
      <c r="H44" s="59"/>
      <c r="I44" s="60"/>
      <c r="J44" s="60"/>
      <c r="K44" s="62"/>
      <c r="L44" s="63"/>
      <c r="M44" s="60"/>
      <c r="N44" s="60"/>
      <c r="O44" s="62"/>
    </row>
    <row r="45" ht="16.95" customHeight="1" hidden="1" spans="1:15" s="42" customFormat="1" x14ac:dyDescent="0.25">
      <c r="A45" s="42"/>
      <c r="B45" s="42"/>
      <c r="C45" s="66" t="s">
        <v>18</v>
      </c>
      <c r="D45" s="52"/>
      <c r="E45" s="53"/>
      <c r="F45" s="53"/>
      <c r="G45" s="55"/>
      <c r="H45" s="52"/>
      <c r="I45" s="53"/>
      <c r="J45" s="53"/>
      <c r="K45" s="55"/>
      <c r="L45" s="56"/>
      <c r="M45" s="53"/>
      <c r="N45" s="53"/>
      <c r="O45" s="55"/>
    </row>
    <row r="46" ht="16.95" customHeight="1" hidden="1" spans="1:15" s="42" customFormat="1" x14ac:dyDescent="0.25">
      <c r="A46" s="93"/>
      <c r="B46" s="64"/>
      <c r="C46" s="65" t="s">
        <v>17</v>
      </c>
      <c r="D46" s="59"/>
      <c r="E46" s="60"/>
      <c r="F46" s="60"/>
      <c r="G46" s="62"/>
      <c r="H46" s="59"/>
      <c r="I46" s="60"/>
      <c r="J46" s="60"/>
      <c r="K46" s="62"/>
      <c r="L46" s="63"/>
      <c r="M46" s="60"/>
      <c r="N46" s="60"/>
      <c r="O46" s="62"/>
    </row>
    <row r="47" ht="16.95" customHeight="1" hidden="1" spans="1:15" s="42" customFormat="1" x14ac:dyDescent="0.25">
      <c r="A47" s="42"/>
      <c r="B47" s="42"/>
      <c r="C47" s="66" t="s">
        <v>18</v>
      </c>
      <c r="D47" s="52"/>
      <c r="E47" s="53"/>
      <c r="F47" s="53"/>
      <c r="G47" s="55"/>
      <c r="H47" s="52"/>
      <c r="I47" s="53"/>
      <c r="J47" s="53"/>
      <c r="K47" s="55"/>
      <c r="L47" s="56"/>
      <c r="M47" s="53"/>
      <c r="N47" s="53"/>
      <c r="O47" s="55"/>
    </row>
    <row r="48" ht="16.95" customHeight="1" hidden="1" spans="1:15" s="42" customFormat="1" x14ac:dyDescent="0.25">
      <c r="A48" s="93"/>
      <c r="B48" s="64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</row>
    <row r="49" ht="16.95" customHeight="1" hidden="1" spans="1:15" s="42" customFormat="1" x14ac:dyDescent="0.25">
      <c r="A49" s="42"/>
      <c r="B49" s="42"/>
      <c r="C49" s="66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</row>
    <row r="50" ht="16.95" customHeight="1" hidden="1" spans="1:15" s="42" customFormat="1" x14ac:dyDescent="0.25">
      <c r="A50" s="93"/>
      <c r="B50" s="64"/>
      <c r="C50" s="67" t="s">
        <v>17</v>
      </c>
      <c r="D50" s="68"/>
      <c r="E50" s="69"/>
      <c r="F50" s="69"/>
      <c r="G50" s="71"/>
      <c r="H50" s="68"/>
      <c r="I50" s="69"/>
      <c r="J50" s="69"/>
      <c r="K50" s="71"/>
      <c r="L50" s="72"/>
      <c r="M50" s="69"/>
      <c r="N50" s="69"/>
      <c r="O50" s="71"/>
    </row>
    <row r="51" ht="16.95" customHeight="1" hidden="1" spans="1:15" s="42" customFormat="1" x14ac:dyDescent="0.25">
      <c r="A51" s="42"/>
      <c r="B51" s="42"/>
      <c r="C51" s="66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</row>
    <row r="52" ht="16.95" customHeight="1" hidden="1" spans="1:15" s="42" customFormat="1" x14ac:dyDescent="0.25">
      <c r="A52" s="101"/>
      <c r="B52" s="57"/>
      <c r="C52" s="65" t="s">
        <v>17</v>
      </c>
      <c r="D52" s="59"/>
      <c r="E52" s="60"/>
      <c r="F52" s="60"/>
      <c r="G52" s="61"/>
      <c r="H52" s="59"/>
      <c r="I52" s="60"/>
      <c r="J52" s="60"/>
      <c r="K52" s="62"/>
      <c r="L52" s="63"/>
      <c r="M52" s="60"/>
      <c r="N52" s="60"/>
      <c r="O52" s="62"/>
    </row>
    <row r="53" ht="16.95" customHeight="1" hidden="1" spans="1:15" s="42" customFormat="1" x14ac:dyDescent="0.25">
      <c r="A53" s="42"/>
      <c r="B53" s="42"/>
      <c r="C53" s="66" t="s">
        <v>18</v>
      </c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</row>
    <row r="54" ht="16.95" customHeight="1" hidden="1" spans="1:15" s="42" customFormat="1" x14ac:dyDescent="0.25">
      <c r="A54" s="101"/>
      <c r="B54" s="94"/>
      <c r="C54" s="65" t="s">
        <v>17</v>
      </c>
      <c r="D54" s="59"/>
      <c r="E54" s="60"/>
      <c r="F54" s="60"/>
      <c r="G54" s="61"/>
      <c r="H54" s="59"/>
      <c r="I54" s="60"/>
      <c r="J54" s="60"/>
      <c r="K54" s="62"/>
      <c r="L54" s="63"/>
      <c r="M54" s="60"/>
      <c r="N54" s="60"/>
      <c r="O54" s="62"/>
    </row>
    <row r="55" ht="16.95" customHeight="1" hidden="1" spans="1:15" s="42" customFormat="1" x14ac:dyDescent="0.25">
      <c r="A55" s="42"/>
      <c r="B55" s="42"/>
      <c r="C55" s="66" t="s">
        <v>18</v>
      </c>
      <c r="D55" s="52"/>
      <c r="E55" s="53"/>
      <c r="F55" s="53"/>
      <c r="G55" s="54"/>
      <c r="H55" s="52"/>
      <c r="I55" s="53"/>
      <c r="J55" s="53"/>
      <c r="K55" s="55"/>
      <c r="L55" s="56"/>
      <c r="M55" s="53"/>
      <c r="N55" s="53"/>
      <c r="O55" s="55"/>
    </row>
    <row r="56" ht="16.95" customHeight="1" hidden="1" spans="1:15" s="42" customFormat="1" x14ac:dyDescent="0.25">
      <c r="A56" s="93"/>
      <c r="B56" s="6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</row>
    <row r="57" ht="16.95" customHeight="1" hidden="1" spans="1:15" s="42" customFormat="1" x14ac:dyDescent="0.25">
      <c r="A57" s="42"/>
      <c r="B57" s="42"/>
      <c r="C57" s="66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</row>
    <row r="58" ht="16.95" customHeight="1" hidden="1" spans="1:15" s="42" customFormat="1" x14ac:dyDescent="0.25">
      <c r="A58" s="93"/>
      <c r="B58" s="64"/>
      <c r="C58" s="65" t="s">
        <v>17</v>
      </c>
      <c r="D58" s="59"/>
      <c r="E58" s="60"/>
      <c r="F58" s="60"/>
      <c r="G58" s="62"/>
      <c r="H58" s="59"/>
      <c r="I58" s="60"/>
      <c r="J58" s="60"/>
      <c r="K58" s="62"/>
      <c r="L58" s="63"/>
      <c r="M58" s="60"/>
      <c r="N58" s="60"/>
      <c r="O58" s="62"/>
    </row>
    <row r="59" ht="16.95" customHeight="1" hidden="1" spans="1:15" s="42" customFormat="1" x14ac:dyDescent="0.25">
      <c r="A59" s="42"/>
      <c r="B59" s="42"/>
      <c r="C59" s="66" t="s">
        <v>18</v>
      </c>
      <c r="D59" s="52"/>
      <c r="E59" s="53"/>
      <c r="F59" s="53"/>
      <c r="G59" s="55"/>
      <c r="H59" s="52"/>
      <c r="I59" s="53"/>
      <c r="J59" s="53"/>
      <c r="K59" s="55"/>
      <c r="L59" s="56"/>
      <c r="M59" s="53"/>
      <c r="N59" s="53"/>
      <c r="O59" s="55"/>
    </row>
    <row r="60" ht="16.95" customHeight="1" hidden="1" spans="1:15" s="42" customFormat="1" x14ac:dyDescent="0.25">
      <c r="A60" s="93"/>
      <c r="B60" s="64"/>
      <c r="C60" s="65" t="s">
        <v>17</v>
      </c>
      <c r="D60" s="59"/>
      <c r="E60" s="60"/>
      <c r="F60" s="60"/>
      <c r="G60" s="62"/>
      <c r="H60" s="59"/>
      <c r="I60" s="60"/>
      <c r="J60" s="60"/>
      <c r="K60" s="62"/>
      <c r="L60" s="63"/>
      <c r="M60" s="60"/>
      <c r="N60" s="60"/>
      <c r="O60" s="62"/>
    </row>
    <row r="61" ht="16.95" customHeight="1" hidden="1" spans="1:15" s="42" customFormat="1" x14ac:dyDescent="0.25">
      <c r="A61" s="42"/>
      <c r="B61" s="42"/>
      <c r="C61" s="66" t="s">
        <v>18</v>
      </c>
      <c r="D61" s="52"/>
      <c r="E61" s="53"/>
      <c r="F61" s="53"/>
      <c r="G61" s="55"/>
      <c r="H61" s="52"/>
      <c r="I61" s="53"/>
      <c r="J61" s="53"/>
      <c r="K61" s="55"/>
      <c r="L61" s="56"/>
      <c r="M61" s="53"/>
      <c r="N61" s="53"/>
      <c r="O61" s="55"/>
    </row>
    <row r="62" ht="16.95" customHeight="1" hidden="1" spans="1:15" s="42" customFormat="1" x14ac:dyDescent="0.25">
      <c r="A62" s="93"/>
      <c r="B62" s="6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</row>
    <row r="63" ht="16.95" customHeight="1" hidden="1" spans="1:15" s="42" customFormat="1" x14ac:dyDescent="0.25">
      <c r="A63" s="42"/>
      <c r="B63" s="42"/>
      <c r="C63" s="66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</row>
    <row r="64" ht="16.95" customHeight="1" hidden="1" spans="1:15" s="42" customFormat="1" x14ac:dyDescent="0.25">
      <c r="A64" s="93"/>
      <c r="B64" s="64"/>
      <c r="C64" s="67" t="s">
        <v>17</v>
      </c>
      <c r="D64" s="68"/>
      <c r="E64" s="69"/>
      <c r="F64" s="69"/>
      <c r="G64" s="71"/>
      <c r="H64" s="68"/>
      <c r="I64" s="69"/>
      <c r="J64" s="69"/>
      <c r="K64" s="71"/>
      <c r="L64" s="72"/>
      <c r="M64" s="69"/>
      <c r="N64" s="69"/>
      <c r="O64" s="71"/>
    </row>
    <row r="65" ht="16.95" customHeight="1" hidden="1" spans="1:15" s="42" customFormat="1" x14ac:dyDescent="0.25">
      <c r="A65" s="42"/>
      <c r="B65" s="42"/>
      <c r="C65" s="66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</row>
    <row r="66" ht="16.95" customHeight="1" hidden="1" spans="1:15" s="42" customFormat="1" x14ac:dyDescent="0.25">
      <c r="A66" s="101"/>
      <c r="B66" s="57"/>
      <c r="C66" s="65" t="s">
        <v>17</v>
      </c>
      <c r="D66" s="59"/>
      <c r="E66" s="60"/>
      <c r="F66" s="60"/>
      <c r="G66" s="61"/>
      <c r="H66" s="59"/>
      <c r="I66" s="60"/>
      <c r="J66" s="60"/>
      <c r="K66" s="62"/>
      <c r="L66" s="63"/>
      <c r="M66" s="60"/>
      <c r="N66" s="60"/>
      <c r="O66" s="62"/>
    </row>
    <row r="67" ht="16.95" customHeight="1" hidden="1" spans="1:15" s="42" customFormat="1" x14ac:dyDescent="0.25">
      <c r="A67" s="42"/>
      <c r="B67" s="42"/>
      <c r="C67" s="66" t="s">
        <v>18</v>
      </c>
      <c r="D67" s="52"/>
      <c r="E67" s="53"/>
      <c r="F67" s="53"/>
      <c r="G67" s="54"/>
      <c r="H67" s="52"/>
      <c r="I67" s="53"/>
      <c r="J67" s="53"/>
      <c r="K67" s="55"/>
      <c r="L67" s="56"/>
      <c r="M67" s="53"/>
      <c r="N67" s="53"/>
      <c r="O67" s="55"/>
    </row>
    <row r="68" ht="16.95" customHeight="1" hidden="1" spans="1:15" s="42" customFormat="1" x14ac:dyDescent="0.25">
      <c r="A68" s="93"/>
      <c r="B68" s="57"/>
      <c r="C68" s="65" t="s">
        <v>17</v>
      </c>
      <c r="D68" s="59"/>
      <c r="E68" s="60"/>
      <c r="F68" s="60"/>
      <c r="G68" s="61"/>
      <c r="H68" s="59"/>
      <c r="I68" s="60"/>
      <c r="J68" s="60"/>
      <c r="K68" s="62"/>
      <c r="L68" s="63"/>
      <c r="M68" s="60"/>
      <c r="N68" s="60"/>
      <c r="O68" s="62"/>
    </row>
    <row r="69" ht="16.95" customHeight="1" hidden="1" spans="1:15" s="42" customFormat="1" x14ac:dyDescent="0.25">
      <c r="A69" s="42"/>
      <c r="B69" s="42"/>
      <c r="C69" s="102" t="s">
        <v>18</v>
      </c>
      <c r="D69" s="103"/>
      <c r="E69" s="34"/>
      <c r="F69" s="34"/>
      <c r="G69" s="104"/>
      <c r="H69" s="103"/>
      <c r="I69" s="34"/>
      <c r="J69" s="34"/>
      <c r="K69" s="105"/>
      <c r="L69" s="106"/>
      <c r="M69" s="34"/>
      <c r="N69" s="34"/>
      <c r="O69" s="105"/>
    </row>
    <row r="70" ht="16.95" customHeight="1" spans="1:15" s="42" customFormat="1" x14ac:dyDescent="0.25">
      <c r="A70" s="107" t="s">
        <v>19</v>
      </c>
      <c r="B70" s="108"/>
      <c r="C70" s="109"/>
      <c r="D70" s="110">
        <f>SUM(D10,D12,D14,D16,D18,D20,D22,D24,D26,D28,D30,D32,D34,D36,D38,D40,D42,D44,D46,D48,D50,D52,D54,D56,D58,D60,D62,D64,D66,D68)</f>
        <v>207</v>
      </c>
      <c r="E70" s="111">
        <f t="shared" ref="E70:O70" si="0">SUM(E10,E12,E14,E16,E18,E20,E22,E24,E26,E28,E30,E32,E34,E36,E38,E40,E42,E44,E46,E48,E50,E52,E54,E56,E58,E60,E62,E64,E66,E68)</f>
        <v>4</v>
      </c>
      <c r="F70" s="111">
        <f t="shared" si="0"/>
        <v>291</v>
      </c>
      <c r="G70" s="112">
        <f t="shared" si="0"/>
        <v>0</v>
      </c>
      <c r="H70" s="110">
        <f t="shared" si="0"/>
        <v>14</v>
      </c>
      <c r="I70" s="111">
        <f t="shared" si="0"/>
        <v>0</v>
      </c>
      <c r="J70" s="111">
        <f t="shared" si="0"/>
        <v>92</v>
      </c>
      <c r="K70" s="113">
        <f t="shared" si="0"/>
        <v>0</v>
      </c>
      <c r="L70" s="114">
        <f t="shared" si="0"/>
        <v>0</v>
      </c>
      <c r="M70" s="111">
        <f t="shared" si="0"/>
        <v>0</v>
      </c>
      <c r="N70" s="111">
        <f t="shared" si="0"/>
        <v>0</v>
      </c>
      <c r="O70" s="113">
        <f t="shared" si="0"/>
        <v>0</v>
      </c>
    </row>
    <row r="71" ht="16.95" customHeight="1" spans="1:15" s="42" customFormat="1" x14ac:dyDescent="0.25">
      <c r="A71" s="115"/>
      <c r="B71" s="116"/>
      <c r="C71" s="117"/>
      <c r="D71" s="118">
        <f>SUM(D11,D13,D15,D17,D19,D21,D23,D25,D27,D29,D31,D33,D35,D37,D39,D41,D43,D45,D47,D49,D51,D53,D55,D57,D59,D61,D63,D65,D67,D69)</f>
        <v>0</v>
      </c>
      <c r="E71" s="119">
        <f t="shared" ref="E71:O71" si="1">SUM(E11,E13,E15,E17,E19,E21,E23,E25,E27,E29,E31,E33,E35,E37,E39,E41,E43,E45,E47,E49,E51,E53,E55,E57,E59,E61,E63,E65,E67,E69)</f>
        <v>0</v>
      </c>
      <c r="F71" s="119">
        <f t="shared" si="1"/>
        <v>0</v>
      </c>
      <c r="G71" s="120">
        <f t="shared" si="1"/>
        <v>0</v>
      </c>
      <c r="H71" s="118">
        <f t="shared" si="1"/>
        <v>31</v>
      </c>
      <c r="I71" s="119">
        <f t="shared" si="1"/>
        <v>1</v>
      </c>
      <c r="J71" s="119">
        <f t="shared" si="1"/>
        <v>130</v>
      </c>
      <c r="K71" s="121">
        <f t="shared" si="1"/>
        <v>0</v>
      </c>
      <c r="L71" s="122">
        <f t="shared" si="1"/>
        <v>0</v>
      </c>
      <c r="M71" s="119">
        <f t="shared" si="1"/>
        <v>0</v>
      </c>
      <c r="N71" s="119">
        <f t="shared" si="1"/>
        <v>0</v>
      </c>
      <c r="O71" s="121">
        <f t="shared" si="1"/>
        <v>0</v>
      </c>
    </row>
    <row r="72" ht="9.75" customHeight="1" spans="1:15" x14ac:dyDescent="0.25">
      <c r="A72" s="123"/>
      <c r="B72" s="123"/>
      <c r="C72" s="90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</row>
    <row r="73" ht="13.5" customHeight="1" spans="1:15" x14ac:dyDescent="0.25">
      <c r="A73" s="125" t="s">
        <v>20</v>
      </c>
      <c r="B73" s="126"/>
      <c r="C73" s="126"/>
      <c r="D73" s="126"/>
      <c r="E73" s="126"/>
      <c r="F73" s="126"/>
      <c r="G73" s="127"/>
      <c r="H73" s="128" t="s">
        <v>21</v>
      </c>
      <c r="I73" s="129"/>
      <c r="J73" s="129"/>
      <c r="K73" s="129"/>
      <c r="L73" s="129"/>
      <c r="M73" s="129"/>
      <c r="N73" s="129"/>
      <c r="O73" s="130"/>
    </row>
    <row r="74" ht="15" customHeight="1" spans="1:15" x14ac:dyDescent="0.25">
      <c r="A74" s="131"/>
      <c r="B74" s="132"/>
      <c r="C74" s="132"/>
      <c r="D74" s="132"/>
      <c r="E74" s="132"/>
      <c r="F74" s="132"/>
      <c r="G74" s="133"/>
      <c r="H74" s="131"/>
      <c r="I74" s="132"/>
      <c r="J74" s="132"/>
      <c r="K74" s="132"/>
      <c r="L74" s="132"/>
      <c r="M74" s="132"/>
      <c r="N74" s="132"/>
      <c r="O74" s="133"/>
    </row>
    <row r="75" ht="15" customHeight="1" spans="1:15" x14ac:dyDescent="0.25">
      <c r="A75" s="134"/>
      <c r="B75" s="135"/>
      <c r="C75" s="135"/>
      <c r="D75" s="135"/>
      <c r="E75" s="135"/>
      <c r="F75" s="135"/>
      <c r="G75" s="136"/>
      <c r="H75" s="134"/>
      <c r="I75" s="135"/>
      <c r="J75" s="135"/>
      <c r="K75" s="135"/>
      <c r="L75" s="135"/>
      <c r="M75" s="135"/>
      <c r="N75" s="135"/>
      <c r="O75" s="136"/>
    </row>
    <row r="76" ht="15" customHeight="1" spans="1:15" x14ac:dyDescent="0.25">
      <c r="A76" s="131"/>
      <c r="B76" s="132"/>
      <c r="C76" s="132"/>
      <c r="D76" s="132"/>
      <c r="E76" s="132"/>
      <c r="F76" s="132"/>
      <c r="G76" s="133"/>
      <c r="H76" s="131"/>
      <c r="I76" s="132"/>
      <c r="J76" s="132"/>
      <c r="K76" s="132"/>
      <c r="L76" s="132"/>
      <c r="M76" s="132"/>
      <c r="N76" s="132"/>
      <c r="O76" s="133"/>
    </row>
    <row r="77" ht="15" customHeight="1" spans="1:15" x14ac:dyDescent="0.25">
      <c r="A77" s="134"/>
      <c r="B77" s="135"/>
      <c r="C77" s="135"/>
      <c r="D77" s="135"/>
      <c r="E77" s="135"/>
      <c r="F77" s="135"/>
      <c r="G77" s="136"/>
      <c r="H77" s="134"/>
      <c r="I77" s="135"/>
      <c r="J77" s="135"/>
      <c r="K77" s="135"/>
      <c r="L77" s="135"/>
      <c r="M77" s="135"/>
      <c r="N77" s="135"/>
      <c r="O77" s="136"/>
    </row>
    <row r="78" ht="15" customHeight="1" spans="1:15" x14ac:dyDescent="0.25">
      <c r="A78" s="131"/>
      <c r="B78" s="132"/>
      <c r="C78" s="132"/>
      <c r="D78" s="132"/>
      <c r="E78" s="132"/>
      <c r="F78" s="132"/>
      <c r="G78" s="133"/>
      <c r="H78" s="131"/>
      <c r="I78" s="132"/>
      <c r="J78" s="132"/>
      <c r="K78" s="132"/>
      <c r="L78" s="132"/>
      <c r="M78" s="132"/>
      <c r="N78" s="132"/>
      <c r="O78" s="133"/>
    </row>
    <row r="79" ht="15" customHeight="1" spans="1:15" x14ac:dyDescent="0.25">
      <c r="A79" s="134"/>
      <c r="B79" s="135"/>
      <c r="C79" s="135"/>
      <c r="D79" s="135"/>
      <c r="E79" s="135"/>
      <c r="F79" s="135"/>
      <c r="G79" s="136"/>
      <c r="H79" s="137"/>
      <c r="I79" s="138"/>
      <c r="J79" s="138"/>
      <c r="K79" s="138"/>
      <c r="L79" s="138"/>
      <c r="M79" s="138"/>
      <c r="N79" s="138"/>
      <c r="O79" s="139"/>
    </row>
    <row r="80" ht="15" customHeight="1" spans="1:15" x14ac:dyDescent="0.25">
      <c r="A80" s="140"/>
      <c r="B80" s="141"/>
      <c r="C80" s="141"/>
      <c r="D80" s="141"/>
      <c r="E80" s="141"/>
      <c r="F80" s="141"/>
      <c r="G80" s="142"/>
      <c r="H80" s="140"/>
      <c r="I80" s="141"/>
      <c r="J80" s="141"/>
      <c r="K80" s="141"/>
      <c r="L80" s="141"/>
      <c r="M80" s="141"/>
      <c r="N80" s="141"/>
      <c r="O80" s="142"/>
    </row>
    <row r="81" ht="15" customHeight="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" customHeight="1" hidden="1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" customHeight="1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" customHeight="1" spans="1:1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" customHeight="1" spans="1:15" x14ac:dyDescent="0.25">
      <c r="A85" s="143"/>
      <c r="B85" s="143"/>
      <c r="C85" s="143"/>
      <c r="D85" s="144"/>
      <c r="J85" s="143"/>
      <c r="K85" s="143"/>
      <c r="L85" s="143"/>
      <c r="M85" s="143"/>
      <c r="N85" s="143"/>
      <c r="O85" s="143"/>
    </row>
    <row r="86" ht="19.5" customHeight="1" spans="1:15" x14ac:dyDescent="0.25">
      <c r="A86" s="145" t="s">
        <v>22</v>
      </c>
      <c r="B86" s="145"/>
      <c r="C86" s="145"/>
      <c r="D86" s="145"/>
      <c r="E86" s="146"/>
      <c r="F86" s="146"/>
      <c r="G86" s="146"/>
      <c r="H86" s="146"/>
      <c r="J86" s="145" t="s">
        <v>23</v>
      </c>
      <c r="K86" s="145"/>
      <c r="L86" s="145"/>
      <c r="M86" s="145"/>
      <c r="N86" s="145"/>
      <c r="O86" s="145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6:D86"/>
    <mergeCell ref="J86:O86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13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</row>
    <row r="2" ht="12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9.75" customHeight="1" x14ac:dyDescent="0.25"/>
    <row r="4" ht="20.25" customHeight="1" spans="1:13" x14ac:dyDescent="0.25">
      <c r="A4" s="192" t="s">
        <v>36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</row>
    <row r="5" ht="10.5" customHeight="1" x14ac:dyDescent="0.25"/>
    <row r="6" spans="1:14" x14ac:dyDescent="0.25">
      <c r="A6" s="3" t="s">
        <v>37</v>
      </c>
      <c r="B6" s="3" t="s">
        <v>3</v>
      </c>
      <c r="G6" s="3" t="s">
        <v>38</v>
      </c>
      <c r="H6" s="8"/>
      <c r="I6" s="8"/>
      <c r="K6" s="3" t="s">
        <v>39</v>
      </c>
      <c r="L6" s="193"/>
      <c r="M6" s="8"/>
      <c r="N6" s="1"/>
    </row>
    <row r="7" ht="5.25" customHeight="1" spans="8:9" x14ac:dyDescent="0.25">
      <c r="H7" s="161"/>
      <c r="I7" s="161"/>
    </row>
    <row r="8" spans="1:13" x14ac:dyDescent="0.25">
      <c r="A8" s="194" t="s">
        <v>40</v>
      </c>
      <c r="B8" s="3" t="s">
        <v>25</v>
      </c>
      <c r="G8" s="3" t="s">
        <v>41</v>
      </c>
      <c r="H8" s="8"/>
      <c r="I8" s="8"/>
      <c r="K8" s="194" t="s">
        <v>42</v>
      </c>
      <c r="L8" s="8"/>
      <c r="M8" s="8"/>
    </row>
    <row r="9" ht="8.25" customHeight="1" x14ac:dyDescent="0.25"/>
    <row r="10" ht="14.4" customHeight="1" spans="1:13" x14ac:dyDescent="0.25">
      <c r="A10" s="195" t="s">
        <v>43</v>
      </c>
      <c r="B10" s="196" t="s">
        <v>44</v>
      </c>
      <c r="C10" s="197"/>
      <c r="D10" s="195" t="s">
        <v>45</v>
      </c>
      <c r="E10" s="195"/>
      <c r="F10" s="195"/>
      <c r="G10" s="198" t="s">
        <v>46</v>
      </c>
      <c r="H10" s="195" t="s">
        <v>47</v>
      </c>
      <c r="I10" s="195"/>
      <c r="J10" s="198" t="s">
        <v>48</v>
      </c>
      <c r="K10" s="195" t="s">
        <v>49</v>
      </c>
      <c r="L10" s="195" t="s">
        <v>50</v>
      </c>
      <c r="M10" s="195" t="s">
        <v>51</v>
      </c>
    </row>
    <row r="11" ht="14.4" customHeight="1" spans="1:13" x14ac:dyDescent="0.25">
      <c r="A11" s="199"/>
      <c r="B11" s="200"/>
      <c r="C11" s="201"/>
      <c r="D11" s="199"/>
      <c r="E11" s="199"/>
      <c r="F11" s="199"/>
      <c r="G11" s="202" t="s">
        <v>52</v>
      </c>
      <c r="H11" s="199"/>
      <c r="I11" s="199"/>
      <c r="J11" s="202"/>
      <c r="K11" s="199"/>
      <c r="L11" s="199"/>
      <c r="M11" s="199"/>
    </row>
    <row r="12" ht="30" customHeight="1" spans="1:13" x14ac:dyDescent="0.25">
      <c r="A12" s="203"/>
      <c r="B12" s="204"/>
      <c r="C12" s="3"/>
      <c r="D12" s="204"/>
      <c r="E12" s="205"/>
      <c r="F12" s="206"/>
      <c r="G12" s="203"/>
      <c r="H12" s="207"/>
      <c r="I12" s="3"/>
      <c r="J12" s="208"/>
      <c r="K12" s="203"/>
      <c r="L12" s="203"/>
      <c r="M12" s="209"/>
    </row>
    <row r="13" ht="30" customHeight="1" spans="1:13" x14ac:dyDescent="0.25">
      <c r="A13" s="210"/>
      <c r="B13" s="211"/>
      <c r="C13" s="3"/>
      <c r="D13" s="211"/>
      <c r="E13" s="212"/>
      <c r="F13" s="213"/>
      <c r="G13" s="210"/>
      <c r="H13" s="214"/>
      <c r="I13" s="3"/>
      <c r="J13" s="214"/>
      <c r="K13" s="210"/>
      <c r="L13" s="210"/>
      <c r="M13" s="215"/>
    </row>
    <row r="14" ht="30" customHeight="1" spans="1:13" x14ac:dyDescent="0.25">
      <c r="A14" s="210"/>
      <c r="B14" s="211"/>
      <c r="C14" s="3"/>
      <c r="D14" s="211"/>
      <c r="E14" s="212"/>
      <c r="F14" s="213"/>
      <c r="G14" s="210"/>
      <c r="H14" s="214"/>
      <c r="I14" s="3"/>
      <c r="J14" s="214"/>
      <c r="K14" s="210"/>
      <c r="L14" s="210"/>
      <c r="M14" s="215"/>
    </row>
    <row r="15" ht="30" customHeight="1" spans="1:13" x14ac:dyDescent="0.25">
      <c r="A15" s="216"/>
      <c r="B15" s="217"/>
      <c r="C15" s="218"/>
      <c r="D15" s="219" t="s">
        <v>53</v>
      </c>
      <c r="E15" s="220"/>
      <c r="F15" s="221"/>
      <c r="G15" s="222" t="s">
        <v>54</v>
      </c>
      <c r="H15" s="223">
        <f>SUM(H12:I14)</f>
        <v>502</v>
      </c>
      <c r="I15" s="224"/>
      <c r="J15" s="225">
        <f>SUM(J12:J14)</f>
        <v>502</v>
      </c>
      <c r="K15" s="222" t="s">
        <v>55</v>
      </c>
      <c r="L15" s="222" t="s">
        <v>55</v>
      </c>
      <c r="M15" s="226"/>
    </row>
    <row r="16" ht="30" customHeight="1" hidden="1" spans="1:13" x14ac:dyDescent="0.25">
      <c r="A16" s="210"/>
      <c r="B16" s="211"/>
      <c r="C16" s="213"/>
      <c r="D16" s="211"/>
      <c r="E16" s="227"/>
      <c r="F16" s="228"/>
      <c r="G16" s="210"/>
      <c r="H16" s="214"/>
      <c r="I16" s="214"/>
      <c r="J16" s="214"/>
      <c r="K16" s="210"/>
      <c r="L16" s="210"/>
      <c r="M16" s="229"/>
    </row>
    <row r="17" ht="30" customHeight="1" hidden="1" spans="1:13" x14ac:dyDescent="0.25">
      <c r="A17" s="210"/>
      <c r="B17" s="211"/>
      <c r="C17" s="213"/>
      <c r="D17" s="211"/>
      <c r="E17" s="230"/>
      <c r="F17" s="231"/>
      <c r="G17" s="232"/>
      <c r="H17" s="233"/>
      <c r="I17" s="234"/>
      <c r="J17" s="235"/>
      <c r="K17" s="232"/>
      <c r="L17" s="232"/>
      <c r="M17" s="236"/>
    </row>
    <row r="18" ht="30" customHeight="1" hidden="1" spans="1:13" x14ac:dyDescent="0.25">
      <c r="A18" s="210"/>
      <c r="B18" s="211"/>
      <c r="C18" s="213"/>
      <c r="D18" s="211"/>
      <c r="E18" s="230"/>
      <c r="F18" s="231"/>
      <c r="G18" s="232"/>
      <c r="H18" s="233"/>
      <c r="I18" s="234"/>
      <c r="J18" s="235"/>
      <c r="K18" s="232"/>
      <c r="L18" s="232"/>
      <c r="M18" s="236"/>
    </row>
    <row r="19" ht="30" customHeight="1" spans="1:13" x14ac:dyDescent="0.25">
      <c r="A19" s="210"/>
      <c r="B19" s="211"/>
      <c r="C19" s="213"/>
      <c r="D19" s="211"/>
      <c r="E19" s="227"/>
      <c r="F19" s="228"/>
      <c r="G19" s="210"/>
      <c r="H19" s="214"/>
      <c r="I19" s="214"/>
      <c r="J19" s="214"/>
      <c r="K19" s="210"/>
      <c r="L19" s="210"/>
      <c r="M19" s="229"/>
    </row>
    <row r="20" ht="15.9" customHeight="1" spans="1:13" x14ac:dyDescent="0.25">
      <c r="A20" s="237" t="s">
        <v>56</v>
      </c>
      <c r="B20" s="238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9"/>
    </row>
    <row r="21" ht="15.9" customHeight="1" spans="1:13" x14ac:dyDescent="0.25">
      <c r="A21" s="240"/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2"/>
    </row>
    <row r="22" ht="15.9" customHeight="1" spans="1:13" x14ac:dyDescent="0.25">
      <c r="A22" s="243"/>
      <c r="B22" s="241"/>
      <c r="C22" s="241"/>
      <c r="D22" s="241"/>
      <c r="E22" s="241"/>
      <c r="F22" s="241"/>
      <c r="G22" s="241"/>
      <c r="H22" s="241"/>
      <c r="I22" s="241"/>
      <c r="J22" s="241"/>
      <c r="K22" s="241"/>
      <c r="L22" s="241"/>
      <c r="M22" s="242"/>
    </row>
    <row r="23" ht="15.9" customHeight="1" spans="1:13" x14ac:dyDescent="0.25">
      <c r="A23" s="243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2"/>
    </row>
    <row r="24" ht="15.9" customHeight="1" spans="1:13" x14ac:dyDescent="0.25">
      <c r="A24" s="243"/>
      <c r="B24" s="241"/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2"/>
    </row>
    <row r="25" ht="15.9" customHeight="1" spans="1:13" x14ac:dyDescent="0.25">
      <c r="A25" s="243"/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2"/>
    </row>
    <row r="26" ht="15.9" customHeight="1" spans="1:13" x14ac:dyDescent="0.25">
      <c r="A26" s="243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2"/>
    </row>
    <row r="27" ht="15.9" customHeight="1" spans="1:13" x14ac:dyDescent="0.25">
      <c r="A27" s="244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6"/>
    </row>
    <row r="28" ht="15" customHeight="1" spans="1:13" x14ac:dyDescent="0.25">
      <c r="A28" s="42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</row>
    <row r="29" ht="15" customHeight="1" spans="1:13" x14ac:dyDescent="0.25">
      <c r="A29" s="42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</row>
    <row r="30" ht="15" customHeight="1" spans="1:13" x14ac:dyDescent="0.25">
      <c r="A30" s="42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</row>
    <row r="31" ht="15" customHeight="1" spans="1:8" x14ac:dyDescent="0.25">
      <c r="A31" s="3"/>
      <c r="B31" s="3"/>
      <c r="C31" s="3"/>
      <c r="D31" s="3"/>
      <c r="E31" s="3"/>
      <c r="F31" s="3"/>
      <c r="G31" s="3"/>
      <c r="H31" s="3"/>
    </row>
    <row r="32" ht="15" customHeight="1" spans="1:13" x14ac:dyDescent="0.25">
      <c r="A32" s="188"/>
      <c r="B32" s="188"/>
      <c r="C32" s="188"/>
      <c r="G32" s="188"/>
      <c r="H32" s="188"/>
      <c r="I32" s="188"/>
      <c r="L32" s="188"/>
      <c r="M32" s="188"/>
    </row>
    <row r="33" spans="1:13" x14ac:dyDescent="0.25">
      <c r="A33" s="189" t="s">
        <v>22</v>
      </c>
      <c r="B33" s="189"/>
      <c r="C33" s="189"/>
      <c r="G33" s="189" t="s">
        <v>57</v>
      </c>
      <c r="H33" s="189"/>
      <c r="I33" s="189"/>
      <c r="L33" s="189" t="s">
        <v>23</v>
      </c>
      <c r="M33" s="189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</row>
    <row r="2" ht="12" customHeight="1" spans="1:18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.25" customHeight="1" x14ac:dyDescent="0.25"/>
    <row r="4" ht="20.25" customHeight="1" spans="1:18" x14ac:dyDescent="0.25">
      <c r="A4" s="192" t="s">
        <v>58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ht="4.5" customHeight="1" x14ac:dyDescent="0.25"/>
    <row r="6" ht="17.4" customHeight="1" spans="1:18" x14ac:dyDescent="0.25">
      <c r="A6" s="194" t="s">
        <v>59</v>
      </c>
      <c r="B6" s="3" t="s">
        <v>3</v>
      </c>
      <c r="H6" s="8" t="s">
        <v>38</v>
      </c>
      <c r="I6" s="8"/>
      <c r="J6" s="8" t="s">
        <v>60</v>
      </c>
      <c r="K6" s="8"/>
      <c r="O6" s="194" t="s">
        <v>61</v>
      </c>
      <c r="P6" s="193">
        <v>46224</v>
      </c>
      <c r="Q6" s="8"/>
      <c r="R6" s="8"/>
    </row>
    <row r="7" ht="11.25" customHeight="1" x14ac:dyDescent="0.25"/>
    <row r="8" ht="17.4" customHeight="1" spans="1:18" x14ac:dyDescent="0.25">
      <c r="A8" s="194" t="s">
        <v>62</v>
      </c>
      <c r="B8" s="194" t="s">
        <v>25</v>
      </c>
      <c r="C8" s="194"/>
      <c r="D8" s="194"/>
      <c r="E8" s="194"/>
      <c r="H8" s="8" t="s">
        <v>63</v>
      </c>
      <c r="I8" s="8"/>
      <c r="J8" s="8" t="s">
        <v>64</v>
      </c>
      <c r="K8" s="8"/>
      <c r="O8" s="194" t="s">
        <v>65</v>
      </c>
      <c r="P8" s="8">
        <v>7</v>
      </c>
      <c r="Q8" s="8"/>
      <c r="R8" s="8"/>
    </row>
    <row r="9" ht="6.75" customHeight="1" x14ac:dyDescent="0.25"/>
    <row r="10" ht="12" customHeight="1" spans="1:18" x14ac:dyDescent="0.25">
      <c r="A10" s="195" t="s">
        <v>11</v>
      </c>
      <c r="B10" s="195" t="s">
        <v>43</v>
      </c>
      <c r="C10" s="247" t="s">
        <v>66</v>
      </c>
      <c r="D10" s="189"/>
      <c r="E10" s="248"/>
      <c r="F10" s="195" t="s">
        <v>67</v>
      </c>
      <c r="G10" s="195"/>
      <c r="H10" s="195"/>
      <c r="I10" s="195"/>
      <c r="J10" s="198" t="s">
        <v>68</v>
      </c>
      <c r="K10" s="195" t="s">
        <v>69</v>
      </c>
      <c r="L10" s="195" t="s">
        <v>70</v>
      </c>
      <c r="M10" s="195"/>
      <c r="N10" s="195"/>
      <c r="O10" s="195"/>
      <c r="P10" s="195"/>
      <c r="Q10" s="195"/>
      <c r="R10" s="195"/>
    </row>
    <row r="11" ht="12" customHeight="1" spans="1:18" x14ac:dyDescent="0.25">
      <c r="A11" s="199"/>
      <c r="B11" s="199"/>
      <c r="C11" s="249"/>
      <c r="D11" s="250"/>
      <c r="E11" s="251"/>
      <c r="F11" s="199"/>
      <c r="G11" s="199"/>
      <c r="H11" s="199"/>
      <c r="I11" s="199"/>
      <c r="J11" s="202" t="s">
        <v>52</v>
      </c>
      <c r="K11" s="199"/>
      <c r="L11" s="199"/>
      <c r="M11" s="199"/>
      <c r="N11" s="199"/>
      <c r="O11" s="199"/>
      <c r="P11" s="199"/>
      <c r="Q11" s="199"/>
      <c r="R11" s="199"/>
    </row>
    <row r="12" ht="22.2" customHeight="1" spans="1:18" s="3" customFormat="1" x14ac:dyDescent="0.25">
      <c r="A12" s="252" t="s">
        <v>71</v>
      </c>
      <c r="B12" s="252" t="s">
        <v>72</v>
      </c>
      <c r="C12" s="162" t="s">
        <v>73</v>
      </c>
      <c r="D12" s="253"/>
      <c r="E12" s="169"/>
      <c r="F12" s="254" t="s">
        <v>74</v>
      </c>
      <c r="G12" s="255"/>
      <c r="H12" s="255"/>
      <c r="I12" s="256"/>
      <c r="J12" s="257">
        <v>1</v>
      </c>
      <c r="K12" s="257" t="s">
        <v>54</v>
      </c>
      <c r="L12" s="258" t="s">
        <v>75</v>
      </c>
      <c r="M12" s="258"/>
      <c r="N12" s="258"/>
      <c r="O12" s="258"/>
      <c r="P12" s="258"/>
      <c r="Q12" s="258"/>
      <c r="R12" s="258"/>
    </row>
    <row r="13" ht="22.2" customHeight="1" spans="1:18" s="3" customFormat="1" x14ac:dyDescent="0.25">
      <c r="A13" s="252" t="s">
        <v>71</v>
      </c>
      <c r="B13" s="252" t="s">
        <v>76</v>
      </c>
      <c r="C13" s="162" t="s">
        <v>77</v>
      </c>
      <c r="D13" s="253"/>
      <c r="E13" s="169"/>
      <c r="F13" s="184" t="s">
        <v>74</v>
      </c>
      <c r="G13" s="54"/>
      <c r="H13" s="54"/>
      <c r="I13" s="56"/>
      <c r="J13" s="53">
        <v>1</v>
      </c>
      <c r="K13" s="53" t="s">
        <v>54</v>
      </c>
      <c r="L13" s="259" t="s">
        <v>78</v>
      </c>
      <c r="M13" s="259"/>
      <c r="N13" s="259"/>
      <c r="O13" s="259"/>
      <c r="P13" s="259"/>
      <c r="Q13" s="259"/>
      <c r="R13" s="259"/>
    </row>
    <row r="14" ht="22.2" customHeight="1" spans="1:18" s="3" customFormat="1" x14ac:dyDescent="0.25">
      <c r="A14" s="252" t="s">
        <v>71</v>
      </c>
      <c r="B14" s="252" t="s">
        <v>76</v>
      </c>
      <c r="C14" s="162" t="s">
        <v>79</v>
      </c>
      <c r="D14" s="253"/>
      <c r="E14" s="169"/>
      <c r="F14" s="184" t="s">
        <v>74</v>
      </c>
      <c r="G14" s="54"/>
      <c r="H14" s="54"/>
      <c r="I14" s="56"/>
      <c r="J14" s="53">
        <v>1</v>
      </c>
      <c r="K14" s="53" t="s">
        <v>54</v>
      </c>
      <c r="L14" s="259" t="s">
        <v>80</v>
      </c>
      <c r="M14" s="259"/>
      <c r="N14" s="259"/>
      <c r="O14" s="259"/>
      <c r="P14" s="259"/>
      <c r="Q14" s="259"/>
      <c r="R14" s="259"/>
    </row>
    <row r="15" ht="22.2" customHeight="1" spans="1:18" s="3" customFormat="1" x14ac:dyDescent="0.25">
      <c r="A15" s="252"/>
      <c r="B15" s="252"/>
      <c r="C15" s="162"/>
      <c r="D15" s="253"/>
      <c r="E15" s="169"/>
      <c r="F15" s="162"/>
      <c r="G15" s="253"/>
      <c r="H15" s="253"/>
      <c r="I15" s="169"/>
      <c r="J15" s="252"/>
      <c r="K15" s="252"/>
      <c r="L15" s="260"/>
      <c r="M15" s="260"/>
      <c r="N15" s="260"/>
      <c r="O15" s="260"/>
      <c r="P15" s="260"/>
      <c r="Q15" s="260"/>
      <c r="R15" s="260"/>
    </row>
    <row r="16" ht="22.2" customHeight="1" spans="1:18" s="3" customFormat="1" x14ac:dyDescent="0.25">
      <c r="A16" s="252"/>
      <c r="B16" s="252"/>
      <c r="C16" s="162"/>
      <c r="D16" s="253"/>
      <c r="E16" s="169"/>
      <c r="F16" s="162"/>
      <c r="G16" s="253"/>
      <c r="H16" s="253"/>
      <c r="I16" s="169"/>
      <c r="J16" s="252"/>
      <c r="K16" s="252"/>
      <c r="L16" s="260"/>
      <c r="M16" s="260"/>
      <c r="N16" s="260"/>
      <c r="O16" s="260"/>
      <c r="P16" s="260"/>
      <c r="Q16" s="260"/>
      <c r="R16" s="260"/>
    </row>
    <row r="17" ht="22.2" customHeight="1" spans="1:18" s="3" customFormat="1" x14ac:dyDescent="0.25">
      <c r="A17" s="252"/>
      <c r="B17" s="252"/>
      <c r="C17" s="162"/>
      <c r="D17" s="253"/>
      <c r="E17" s="169"/>
      <c r="F17" s="162"/>
      <c r="G17" s="253"/>
      <c r="H17" s="253"/>
      <c r="I17" s="169"/>
      <c r="J17" s="252"/>
      <c r="K17" s="252"/>
      <c r="L17" s="260"/>
      <c r="M17" s="260"/>
      <c r="N17" s="260"/>
      <c r="O17" s="260"/>
      <c r="P17" s="260"/>
      <c r="Q17" s="260"/>
      <c r="R17" s="260"/>
    </row>
    <row r="18" ht="22.2" customHeight="1" spans="1:18" s="3" customFormat="1" x14ac:dyDescent="0.25">
      <c r="A18" s="252"/>
      <c r="B18" s="252"/>
      <c r="C18" s="162"/>
      <c r="D18" s="253"/>
      <c r="E18" s="169"/>
      <c r="F18" s="162"/>
      <c r="G18" s="253"/>
      <c r="H18" s="253"/>
      <c r="I18" s="169"/>
      <c r="J18" s="252"/>
      <c r="K18" s="252"/>
      <c r="L18" s="260"/>
      <c r="M18" s="260"/>
      <c r="N18" s="260"/>
      <c r="O18" s="260"/>
      <c r="P18" s="260"/>
      <c r="Q18" s="260"/>
      <c r="R18" s="260"/>
    </row>
    <row r="19" ht="22.2" customHeight="1" spans="1:18" s="3" customFormat="1" x14ac:dyDescent="0.25">
      <c r="A19" s="252"/>
      <c r="B19" s="252"/>
      <c r="C19" s="162"/>
      <c r="D19" s="253"/>
      <c r="E19" s="169"/>
      <c r="F19" s="162"/>
      <c r="G19" s="253"/>
      <c r="H19" s="253"/>
      <c r="I19" s="169"/>
      <c r="J19" s="252"/>
      <c r="K19" s="252"/>
      <c r="L19" s="260"/>
      <c r="M19" s="260"/>
      <c r="N19" s="260"/>
      <c r="O19" s="260"/>
      <c r="P19" s="260"/>
      <c r="Q19" s="260"/>
      <c r="R19" s="260"/>
    </row>
    <row r="20" ht="22.2" customHeight="1" spans="1:18" s="3" customFormat="1" x14ac:dyDescent="0.25">
      <c r="A20" s="252"/>
      <c r="B20" s="252"/>
      <c r="C20" s="162"/>
      <c r="D20" s="253"/>
      <c r="E20" s="169"/>
      <c r="F20" s="162"/>
      <c r="G20" s="253"/>
      <c r="H20" s="253"/>
      <c r="I20" s="169"/>
      <c r="J20" s="252"/>
      <c r="K20" s="252"/>
      <c r="L20" s="260"/>
      <c r="M20" s="260"/>
      <c r="N20" s="260"/>
      <c r="O20" s="260"/>
      <c r="P20" s="260"/>
      <c r="Q20" s="260"/>
      <c r="R20" s="260"/>
    </row>
    <row r="21" ht="22.2" customHeight="1" spans="1:18" s="3" customFormat="1" x14ac:dyDescent="0.25">
      <c r="A21" s="252"/>
      <c r="B21" s="252"/>
      <c r="C21" s="162"/>
      <c r="D21" s="253"/>
      <c r="E21" s="169"/>
      <c r="F21" s="162"/>
      <c r="G21" s="253"/>
      <c r="H21" s="253"/>
      <c r="I21" s="169"/>
      <c r="J21" s="252"/>
      <c r="K21" s="252"/>
      <c r="L21" s="260"/>
      <c r="M21" s="260"/>
      <c r="N21" s="260"/>
      <c r="O21" s="260"/>
      <c r="P21" s="260"/>
      <c r="Q21" s="260"/>
      <c r="R21" s="260"/>
    </row>
    <row r="22" ht="22.2" customHeight="1" spans="1:18" s="3" customFormat="1" x14ac:dyDescent="0.25">
      <c r="A22" s="252"/>
      <c r="B22" s="252"/>
      <c r="C22" s="162"/>
      <c r="D22" s="253"/>
      <c r="E22" s="169"/>
      <c r="F22" s="162"/>
      <c r="G22" s="253"/>
      <c r="H22" s="253"/>
      <c r="I22" s="169"/>
      <c r="J22" s="252"/>
      <c r="K22" s="252"/>
      <c r="L22" s="260"/>
      <c r="M22" s="260"/>
      <c r="N22" s="260"/>
      <c r="O22" s="260"/>
      <c r="P22" s="260"/>
      <c r="Q22" s="260"/>
      <c r="R22" s="260"/>
    </row>
    <row r="23" ht="22.2" customHeight="1" spans="1:18" s="3" customFormat="1" x14ac:dyDescent="0.25">
      <c r="A23" s="252"/>
      <c r="B23" s="252"/>
      <c r="C23" s="162"/>
      <c r="D23" s="253"/>
      <c r="E23" s="169"/>
      <c r="F23" s="162"/>
      <c r="G23" s="253"/>
      <c r="H23" s="253"/>
      <c r="I23" s="169"/>
      <c r="J23" s="252"/>
      <c r="K23" s="252"/>
      <c r="L23" s="260"/>
      <c r="M23" s="260"/>
      <c r="N23" s="260"/>
      <c r="O23" s="260"/>
      <c r="P23" s="260"/>
      <c r="Q23" s="260"/>
      <c r="R23" s="260"/>
    </row>
    <row r="24" ht="22.2" customHeight="1" spans="1:18" s="3" customFormat="1" x14ac:dyDescent="0.25">
      <c r="A24" s="252"/>
      <c r="B24" s="252"/>
      <c r="C24" s="162"/>
      <c r="D24" s="253"/>
      <c r="E24" s="169"/>
      <c r="F24" s="162"/>
      <c r="G24" s="253"/>
      <c r="H24" s="253"/>
      <c r="I24" s="169"/>
      <c r="J24" s="252"/>
      <c r="K24" s="252"/>
      <c r="L24" s="260"/>
      <c r="M24" s="260"/>
      <c r="N24" s="260"/>
      <c r="O24" s="260"/>
      <c r="P24" s="260"/>
      <c r="Q24" s="260"/>
      <c r="R24" s="260"/>
    </row>
    <row r="29" ht="15" customHeight="1" spans="1:18" s="3" customFormat="1" x14ac:dyDescent="0.25">
      <c r="A29" s="188"/>
      <c r="B29" s="188"/>
      <c r="C29" s="188"/>
      <c r="D29" s="188"/>
      <c r="I29" s="188"/>
      <c r="J29" s="188"/>
      <c r="K29" s="188"/>
      <c r="O29" s="188"/>
      <c r="P29" s="188"/>
      <c r="Q29" s="188"/>
      <c r="R29" s="188"/>
    </row>
    <row r="30" spans="1:18" s="3" customFormat="1" x14ac:dyDescent="0.25">
      <c r="A30" s="189" t="s">
        <v>22</v>
      </c>
      <c r="B30" s="189"/>
      <c r="C30" s="189"/>
      <c r="D30" s="189"/>
      <c r="I30" s="189" t="s">
        <v>57</v>
      </c>
      <c r="J30" s="189"/>
      <c r="K30" s="189"/>
      <c r="O30" s="189" t="s">
        <v>23</v>
      </c>
      <c r="P30" s="189"/>
      <c r="Q30" s="189"/>
      <c r="R30" s="189"/>
    </row>
  </sheetData>
  <mergeCells count="58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workbookViewId="0" zoomScale="90" zoomScaleNormal="90">
      <selection activeCell="A4" sqref="A4"/>
    </sheetView>
  </sheetViews>
  <sheetFormatPr defaultRowHeight="15.6" outlineLevelRow="0" outlineLevelCol="0" x14ac:dyDescent="0" defaultColWidth="9" customHeight="1"/>
  <cols>
    <col min="1" max="1" width="7" style="146" customWidth="1"/>
    <col min="2" max="2" width="7.5" style="146" customWidth="1"/>
    <col min="3" max="3" width="6.69921875" style="146" customWidth="1"/>
    <col min="4" max="4" width="6.8984375" style="146" customWidth="1"/>
    <col min="5" max="5" width="7" style="146" customWidth="1"/>
    <col min="6" max="6" width="7.5" style="146" customWidth="1"/>
    <col min="7" max="7" width="6.59765625" style="146" customWidth="1"/>
    <col min="8" max="12" width="7.09765625" style="146" customWidth="1"/>
    <col min="13" max="13" width="6.69921875" style="146" customWidth="1"/>
    <col min="14" max="16384" width="9" style="146" customWidth="1"/>
  </cols>
  <sheetData>
    <row r="1" ht="25.2" customHeight="1" spans="1:13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</row>
    <row r="2" ht="18.75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10.5" customHeight="1" x14ac:dyDescent="0.25"/>
    <row r="4" ht="27.6" customHeight="1" spans="1:13" x14ac:dyDescent="0.25">
      <c r="A4" s="287" t="s">
        <v>88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</row>
    <row r="5" ht="10.5" customHeight="1" x14ac:dyDescent="0.25"/>
    <row r="6" ht="17.4" customHeight="1" spans="1:13" x14ac:dyDescent="0.25">
      <c r="A6" s="42" t="s">
        <v>89</v>
      </c>
      <c r="B6" s="279" t="s">
        <v>3</v>
      </c>
      <c r="C6" s="279"/>
      <c r="D6" s="279"/>
      <c r="E6" s="288" t="s">
        <v>90</v>
      </c>
      <c r="F6" s="288"/>
      <c r="G6" s="90" t="s">
        <v>60</v>
      </c>
      <c r="H6" s="90"/>
      <c r="I6" s="42"/>
      <c r="J6" s="288" t="s">
        <v>91</v>
      </c>
      <c r="K6" s="289">
        <v>46224</v>
      </c>
      <c r="L6" s="90"/>
      <c r="M6" s="90"/>
    </row>
    <row r="7" ht="14.25" customHeight="1" spans="1:1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s="42" customFormat="1" x14ac:dyDescent="0.25">
      <c r="A8" s="241" t="s">
        <v>92</v>
      </c>
      <c r="B8" s="241"/>
      <c r="C8" s="42" t="s">
        <v>73</v>
      </c>
      <c r="E8" s="288" t="s">
        <v>93</v>
      </c>
      <c r="F8" s="288"/>
      <c r="G8" s="90" t="s">
        <v>94</v>
      </c>
      <c r="H8" s="90"/>
      <c r="J8" s="288" t="s">
        <v>95</v>
      </c>
      <c r="K8" s="90">
        <v>20</v>
      </c>
      <c r="L8" s="90">
        <v>40</v>
      </c>
      <c r="M8" s="90">
        <v>45</v>
      </c>
    </row>
    <row r="9" spans="1:3" s="42" customFormat="1" x14ac:dyDescent="0.25">
      <c r="A9" s="241" t="s">
        <v>96</v>
      </c>
      <c r="B9" s="241"/>
      <c r="C9" s="42" t="s">
        <v>72</v>
      </c>
    </row>
    <row r="10" ht="13.5" customHeight="1" spans="13:13" s="42" customFormat="1" x14ac:dyDescent="0.25">
      <c r="M10" s="288" t="s">
        <v>97</v>
      </c>
    </row>
    <row r="11" ht="13.5" customHeight="1" spans="1:13" s="42" customFormat="1" x14ac:dyDescent="0.25">
      <c r="A11" s="290"/>
      <c r="B11" s="291"/>
      <c r="C11" s="291"/>
      <c r="D11" s="291"/>
      <c r="E11" s="291"/>
      <c r="F11" s="291"/>
      <c r="G11" s="291"/>
      <c r="H11" s="291"/>
      <c r="I11" s="291"/>
      <c r="J11" s="291"/>
      <c r="K11" s="291"/>
      <c r="L11" s="291"/>
      <c r="M11" s="292"/>
    </row>
    <row r="12" ht="13.5" customHeight="1" spans="1:13" s="42" customFormat="1" x14ac:dyDescent="0.25">
      <c r="A12" s="293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294"/>
    </row>
    <row r="13" ht="13.5" customHeight="1" spans="1:13" x14ac:dyDescent="0.25">
      <c r="A13" s="293"/>
      <c r="M13" s="294"/>
    </row>
    <row r="14" spans="1:13" x14ac:dyDescent="0.25">
      <c r="A14" s="293"/>
      <c r="M14" s="294"/>
    </row>
    <row r="15" spans="1:13" x14ac:dyDescent="0.25">
      <c r="A15" s="293"/>
      <c r="M15" s="294"/>
    </row>
    <row r="16" spans="1:13" x14ac:dyDescent="0.25">
      <c r="A16" s="293"/>
      <c r="M16" s="294"/>
    </row>
    <row r="17" spans="1:13" x14ac:dyDescent="0.25">
      <c r="A17" s="293"/>
      <c r="M17" s="294"/>
    </row>
    <row r="18" spans="1:13" x14ac:dyDescent="0.25">
      <c r="A18" s="293"/>
      <c r="M18" s="294"/>
    </row>
    <row r="19" spans="1:13" x14ac:dyDescent="0.25">
      <c r="A19" s="293"/>
      <c r="M19" s="294"/>
    </row>
    <row r="20" spans="1:13" x14ac:dyDescent="0.25">
      <c r="A20" s="293"/>
      <c r="M20" s="294"/>
    </row>
    <row r="21" spans="1:13" x14ac:dyDescent="0.25">
      <c r="A21" s="293"/>
      <c r="M21" s="294"/>
    </row>
    <row r="22" spans="1:13" x14ac:dyDescent="0.25">
      <c r="A22" s="293"/>
      <c r="M22" s="294"/>
    </row>
    <row r="23" spans="1:13" x14ac:dyDescent="0.25">
      <c r="A23" s="293"/>
      <c r="M23" s="294"/>
    </row>
    <row r="24" spans="1:13" x14ac:dyDescent="0.25">
      <c r="A24" s="293"/>
      <c r="M24" s="294"/>
    </row>
    <row r="25" spans="1:13" x14ac:dyDescent="0.25">
      <c r="A25" s="293"/>
      <c r="M25" s="294"/>
    </row>
    <row r="26" spans="1:13" x14ac:dyDescent="0.25">
      <c r="A26" s="293"/>
      <c r="M26" s="294"/>
    </row>
    <row r="27" ht="9.75" customHeight="1" spans="1:13" x14ac:dyDescent="0.25">
      <c r="A27" s="293"/>
      <c r="M27" s="294"/>
    </row>
    <row r="28" ht="9.75" customHeight="1" spans="1:13" x14ac:dyDescent="0.25">
      <c r="A28" s="293"/>
      <c r="M28" s="294"/>
    </row>
    <row r="29" ht="9.75" customHeight="1" spans="1:13" x14ac:dyDescent="0.25">
      <c r="A29" s="293"/>
      <c r="M29" s="294"/>
    </row>
    <row r="30" ht="9.75" customHeight="1" spans="1:13" x14ac:dyDescent="0.25">
      <c r="A30" s="293"/>
      <c r="M30" s="294"/>
    </row>
    <row r="31" ht="9.75" customHeight="1" spans="1:13" x14ac:dyDescent="0.25">
      <c r="A31" s="295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7"/>
    </row>
    <row r="32" ht="9.75" customHeight="1" x14ac:dyDescent="0.25"/>
    <row r="33" spans="1:12" x14ac:dyDescent="0.25">
      <c r="A33" s="298" t="s">
        <v>98</v>
      </c>
      <c r="B33" s="298"/>
      <c r="C33" s="298"/>
      <c r="D33" s="299"/>
      <c r="E33" s="299"/>
      <c r="F33" s="299"/>
      <c r="G33" s="299"/>
      <c r="H33" s="299"/>
      <c r="I33" s="299"/>
      <c r="J33" s="299"/>
      <c r="K33" s="299"/>
      <c r="L33" s="299"/>
    </row>
    <row r="34" ht="21.75" customHeight="1" spans="1:13" x14ac:dyDescent="0.25">
      <c r="A34" s="300"/>
      <c r="B34" s="301" t="s">
        <v>99</v>
      </c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</row>
    <row r="35" ht="21.9" customHeight="1" spans="1:13" s="42" customFormat="1" x14ac:dyDescent="0.25">
      <c r="A35" s="300"/>
      <c r="B35" s="302" t="s">
        <v>75</v>
      </c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</row>
    <row r="36" ht="21.75" customHeight="1" spans="1:13" s="42" customFormat="1" x14ac:dyDescent="0.25">
      <c r="A36" s="300"/>
      <c r="B36" s="303"/>
      <c r="C36" s="303"/>
      <c r="D36" s="303"/>
      <c r="E36" s="303"/>
      <c r="F36" s="303"/>
      <c r="G36" s="303"/>
      <c r="H36" s="303"/>
      <c r="I36" s="303"/>
      <c r="J36" s="303"/>
      <c r="K36" s="303"/>
      <c r="L36" s="303"/>
      <c r="M36" s="303"/>
    </row>
    <row r="37" ht="21.75" customHeight="1" spans="1:13" s="42" customFormat="1" x14ac:dyDescent="0.25">
      <c r="A37" s="300"/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</row>
    <row r="38" ht="21.75" customHeight="1" spans="1:13" s="42" customFormat="1" x14ac:dyDescent="0.25">
      <c r="A38" s="300"/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</row>
    <row r="39" ht="21.9" customHeight="1" spans="1:13" s="42" customFormat="1" x14ac:dyDescent="0.25">
      <c r="A39" s="300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</row>
    <row r="40" ht="21.9" customHeight="1" spans="1:13" s="42" customFormat="1" x14ac:dyDescent="0.25">
      <c r="A40" s="300"/>
      <c r="B40" s="303"/>
      <c r="C40" s="303"/>
      <c r="D40" s="303"/>
      <c r="E40" s="303"/>
      <c r="F40" s="303"/>
      <c r="G40" s="303"/>
      <c r="H40" s="303"/>
      <c r="I40" s="303"/>
      <c r="J40" s="303"/>
      <c r="K40" s="303"/>
      <c r="L40" s="303"/>
      <c r="M40" s="303"/>
    </row>
    <row r="41" ht="21.9" customHeight="1" spans="1:13" s="42" customFormat="1" x14ac:dyDescent="0.25">
      <c r="A41" s="304" t="s">
        <v>100</v>
      </c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ht="21.75" customHeight="1" spans="1:13" s="42" customFormat="1" x14ac:dyDescent="0.25">
      <c r="A42" s="305" t="s">
        <v>101</v>
      </c>
      <c r="B42" s="306" t="s">
        <v>102</v>
      </c>
      <c r="C42" s="305" t="s">
        <v>103</v>
      </c>
      <c r="D42" s="306" t="s">
        <v>104</v>
      </c>
      <c r="E42" s="305" t="s">
        <v>105</v>
      </c>
      <c r="F42" s="305" t="s">
        <v>106</v>
      </c>
      <c r="G42" s="307" t="s">
        <v>107</v>
      </c>
      <c r="H42" s="306" t="s">
        <v>108</v>
      </c>
      <c r="I42" s="308" t="s">
        <v>109</v>
      </c>
      <c r="J42" s="307" t="s">
        <v>110</v>
      </c>
      <c r="K42" s="253" t="s">
        <v>111</v>
      </c>
      <c r="L42" s="307" t="s">
        <v>112</v>
      </c>
      <c r="M42" s="169" t="s">
        <v>113</v>
      </c>
    </row>
    <row r="43" ht="18" customHeight="1" spans="1:13" x14ac:dyDescent="0.25">
      <c r="A43" s="309" t="s">
        <v>114</v>
      </c>
      <c r="B43" s="309" t="s">
        <v>115</v>
      </c>
      <c r="C43" s="309" t="s">
        <v>116</v>
      </c>
      <c r="D43" s="309" t="s">
        <v>117</v>
      </c>
      <c r="E43" s="310" t="s">
        <v>118</v>
      </c>
      <c r="F43" s="309" t="s">
        <v>119</v>
      </c>
      <c r="G43" s="309" t="s">
        <v>120</v>
      </c>
      <c r="H43" s="311" t="s">
        <v>121</v>
      </c>
      <c r="I43" s="311" t="s">
        <v>122</v>
      </c>
      <c r="J43" s="309" t="s">
        <v>123</v>
      </c>
      <c r="K43" s="312" t="s">
        <v>124</v>
      </c>
      <c r="L43" s="309" t="s">
        <v>125</v>
      </c>
      <c r="M43" s="313" t="s">
        <v>126</v>
      </c>
    </row>
    <row r="44" ht="15.75" customHeight="1" spans="1:13" s="42" customFormat="1" x14ac:dyDescent="0.25">
      <c r="A44" s="314"/>
      <c r="B44" s="314"/>
      <c r="C44" s="314"/>
      <c r="D44" s="314"/>
      <c r="E44" s="315"/>
      <c r="F44" s="314"/>
      <c r="G44" s="314"/>
      <c r="H44" s="316"/>
      <c r="I44" s="316"/>
      <c r="J44" s="314"/>
      <c r="K44" s="317"/>
      <c r="L44" s="314"/>
      <c r="M44" s="318"/>
    </row>
    <row r="45" ht="15" customHeight="1" spans="1:13" s="319" customFormat="1" x14ac:dyDescent="0.2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</row>
    <row r="46" ht="15" customHeight="1" spans="1:13" s="319" customFormat="1" x14ac:dyDescent="0.25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</row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13" x14ac:dyDescent="0.25">
      <c r="A51" s="296"/>
      <c r="B51" s="296"/>
      <c r="C51" s="296"/>
      <c r="D51" s="3"/>
      <c r="E51" s="3"/>
      <c r="F51" s="296"/>
      <c r="G51" s="296"/>
      <c r="H51" s="296"/>
      <c r="K51" s="296"/>
      <c r="L51" s="296"/>
      <c r="M51" s="296"/>
    </row>
    <row r="52" ht="19.2" customHeight="1" spans="1:13" x14ac:dyDescent="0.25">
      <c r="A52" s="320" t="s">
        <v>22</v>
      </c>
      <c r="B52" s="145"/>
      <c r="C52" s="145"/>
      <c r="D52" s="18"/>
      <c r="E52" s="18"/>
      <c r="F52" s="320" t="s">
        <v>57</v>
      </c>
      <c r="G52" s="145"/>
      <c r="H52" s="145"/>
      <c r="K52" s="320" t="s">
        <v>23</v>
      </c>
      <c r="L52" s="145"/>
      <c r="M52" s="145"/>
    </row>
    <row r="53" ht="25.2" customHeight="1" spans="1:13" x14ac:dyDescent="0.25">
      <c r="A53" s="191" t="s">
        <v>24</v>
      </c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</row>
    <row r="54" ht="18.75" customHeight="1" spans="1:13" x14ac:dyDescent="0.25">
      <c r="A54" s="8" t="s">
        <v>25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ht="10.5" customHeight="1" x14ac:dyDescent="0.25"/>
    <row r="56" ht="27.6" customHeight="1" spans="1:13" x14ac:dyDescent="0.25">
      <c r="A56" s="287" t="s">
        <v>88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</row>
    <row r="57" ht="10.5" customHeight="1" x14ac:dyDescent="0.25"/>
    <row r="58" ht="17.4" customHeight="1" spans="1:13" x14ac:dyDescent="0.25">
      <c r="A58" s="42" t="s">
        <v>89</v>
      </c>
      <c r="B58" s="279" t="s">
        <v>3</v>
      </c>
      <c r="C58" s="279"/>
      <c r="D58" s="279"/>
      <c r="E58" s="288" t="s">
        <v>90</v>
      </c>
      <c r="F58" s="288"/>
      <c r="G58" s="90" t="str">
        <f>양하항차</f>
        <v>2639E</v>
      </c>
      <c r="H58" s="90"/>
      <c r="I58" s="42"/>
      <c r="J58" s="288" t="s">
        <v>91</v>
      </c>
      <c r="K58" s="289">
        <f>양하종료일</f>
        <v>46224</v>
      </c>
      <c r="L58" s="289"/>
      <c r="M58" s="289"/>
    </row>
    <row r="59" ht="14.25" customHeight="1" spans="1:13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s="42" customFormat="1" x14ac:dyDescent="0.25">
      <c r="A60" s="241" t="s">
        <v>92</v>
      </c>
      <c r="B60" s="241"/>
      <c r="C60" s="42" t="s">
        <v>77</v>
      </c>
      <c r="E60" s="288" t="s">
        <v>93</v>
      </c>
      <c r="F60" s="288"/>
      <c r="G60" s="90" t="s">
        <v>94</v>
      </c>
      <c r="H60" s="90"/>
      <c r="J60" s="288" t="s">
        <v>95</v>
      </c>
      <c r="K60" s="90">
        <v>20</v>
      </c>
      <c r="L60" s="90">
        <v>40</v>
      </c>
      <c r="M60" s="90">
        <v>45</v>
      </c>
    </row>
    <row r="61" spans="1:3" s="42" customFormat="1" x14ac:dyDescent="0.25">
      <c r="A61" s="241" t="s">
        <v>96</v>
      </c>
      <c r="B61" s="241"/>
      <c r="C61" s="42" t="s">
        <v>76</v>
      </c>
    </row>
    <row r="62" ht="13.5" customHeight="1" spans="13:13" s="42" customFormat="1" x14ac:dyDescent="0.25">
      <c r="M62" s="288" t="s">
        <v>97</v>
      </c>
    </row>
    <row r="63" ht="13.5" customHeight="1" spans="1:13" s="42" customFormat="1" x14ac:dyDescent="0.25">
      <c r="A63" s="290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2"/>
    </row>
    <row r="64" ht="13.5" customHeight="1" spans="1:13" s="42" customFormat="1" x14ac:dyDescent="0.25">
      <c r="A64" s="293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294"/>
    </row>
    <row r="65" ht="13.5" customHeight="1" spans="1:13" x14ac:dyDescent="0.25">
      <c r="A65" s="293"/>
      <c r="M65" s="294"/>
    </row>
    <row r="66" spans="1:13" x14ac:dyDescent="0.25">
      <c r="A66" s="293"/>
      <c r="M66" s="294"/>
    </row>
    <row r="67" spans="1:13" x14ac:dyDescent="0.25">
      <c r="A67" s="293"/>
      <c r="M67" s="294"/>
    </row>
    <row r="68" spans="1:13" x14ac:dyDescent="0.25">
      <c r="A68" s="293"/>
      <c r="M68" s="294"/>
    </row>
    <row r="69" spans="1:13" x14ac:dyDescent="0.25">
      <c r="A69" s="293"/>
      <c r="M69" s="294"/>
    </row>
    <row r="70" spans="1:13" x14ac:dyDescent="0.25">
      <c r="A70" s="293"/>
      <c r="M70" s="294"/>
    </row>
    <row r="71" spans="1:13" x14ac:dyDescent="0.25">
      <c r="A71" s="293"/>
      <c r="M71" s="294"/>
    </row>
    <row r="72" spans="1:13" x14ac:dyDescent="0.25">
      <c r="A72" s="293"/>
      <c r="M72" s="294"/>
    </row>
    <row r="73" spans="1:13" x14ac:dyDescent="0.25">
      <c r="A73" s="293"/>
      <c r="M73" s="294"/>
    </row>
    <row r="74" spans="1:13" x14ac:dyDescent="0.25">
      <c r="A74" s="293"/>
      <c r="M74" s="294"/>
    </row>
    <row r="75" spans="1:13" x14ac:dyDescent="0.25">
      <c r="A75" s="293"/>
      <c r="M75" s="294"/>
    </row>
    <row r="76" spans="1:13" x14ac:dyDescent="0.25">
      <c r="A76" s="293"/>
      <c r="M76" s="294"/>
    </row>
    <row r="77" spans="1:13" x14ac:dyDescent="0.25">
      <c r="A77" s="293"/>
      <c r="M77" s="294"/>
    </row>
    <row r="78" spans="1:13" x14ac:dyDescent="0.25">
      <c r="A78" s="293"/>
      <c r="M78" s="294"/>
    </row>
    <row r="79" ht="9.75" customHeight="1" spans="1:13" x14ac:dyDescent="0.25">
      <c r="A79" s="293"/>
      <c r="M79" s="294"/>
    </row>
    <row r="80" ht="9.75" customHeight="1" spans="1:13" x14ac:dyDescent="0.25">
      <c r="A80" s="293"/>
      <c r="M80" s="294"/>
    </row>
    <row r="81" ht="9.75" customHeight="1" spans="1:13" x14ac:dyDescent="0.25">
      <c r="A81" s="293"/>
      <c r="M81" s="294"/>
    </row>
    <row r="82" ht="9.75" customHeight="1" spans="1:13" x14ac:dyDescent="0.25">
      <c r="A82" s="293"/>
      <c r="M82" s="294"/>
    </row>
    <row r="83" ht="9.75" customHeight="1" spans="1:13" x14ac:dyDescent="0.25">
      <c r="A83" s="295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7"/>
    </row>
    <row r="84" ht="9.75" customHeight="1" x14ac:dyDescent="0.25"/>
    <row r="85" spans="1:12" x14ac:dyDescent="0.25">
      <c r="A85" s="298" t="s">
        <v>98</v>
      </c>
      <c r="B85" s="298"/>
      <c r="C85" s="298"/>
      <c r="D85" s="299"/>
      <c r="E85" s="299"/>
      <c r="F85" s="299"/>
      <c r="G85" s="299"/>
      <c r="H85" s="299"/>
      <c r="I85" s="299"/>
      <c r="J85" s="299"/>
      <c r="K85" s="299"/>
      <c r="L85" s="299"/>
    </row>
    <row r="86" ht="21.75" customHeight="1" spans="1:13" x14ac:dyDescent="0.25">
      <c r="A86" s="300"/>
      <c r="B86" s="301" t="s">
        <v>99</v>
      </c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</row>
    <row r="87" ht="21.9" customHeight="1" spans="1:13" s="42" customFormat="1" x14ac:dyDescent="0.25">
      <c r="A87" s="300"/>
      <c r="B87" s="302" t="s">
        <v>78</v>
      </c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</row>
    <row r="88" ht="21.75" customHeight="1" spans="1:13" s="42" customFormat="1" x14ac:dyDescent="0.25">
      <c r="A88" s="300"/>
      <c r="B88" s="303"/>
      <c r="C88" s="303"/>
      <c r="D88" s="303"/>
      <c r="E88" s="303"/>
      <c r="F88" s="303"/>
      <c r="G88" s="303"/>
      <c r="H88" s="303"/>
      <c r="I88" s="303"/>
      <c r="J88" s="303"/>
      <c r="K88" s="303"/>
      <c r="L88" s="303"/>
      <c r="M88" s="303"/>
    </row>
    <row r="89" ht="21.75" customHeight="1" spans="1:13" s="42" customFormat="1" x14ac:dyDescent="0.25">
      <c r="A89" s="300"/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</row>
    <row r="90" ht="21.75" customHeight="1" spans="1:13" s="42" customFormat="1" x14ac:dyDescent="0.25">
      <c r="A90" s="300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</row>
    <row r="91" ht="21.9" customHeight="1" spans="1:13" s="42" customFormat="1" x14ac:dyDescent="0.25">
      <c r="A91" s="300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</row>
    <row r="92" ht="21.9" customHeight="1" spans="1:13" s="42" customFormat="1" x14ac:dyDescent="0.25">
      <c r="A92" s="300"/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</row>
    <row r="93" ht="21.9" customHeight="1" spans="1:13" s="42" customFormat="1" x14ac:dyDescent="0.25">
      <c r="A93" s="304" t="s">
        <v>100</v>
      </c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</row>
    <row r="94" ht="21.75" customHeight="1" spans="1:13" s="42" customFormat="1" x14ac:dyDescent="0.25">
      <c r="A94" s="305" t="s">
        <v>101</v>
      </c>
      <c r="B94" s="306" t="s">
        <v>102</v>
      </c>
      <c r="C94" s="305" t="s">
        <v>103</v>
      </c>
      <c r="D94" s="306" t="s">
        <v>104</v>
      </c>
      <c r="E94" s="305" t="s">
        <v>105</v>
      </c>
      <c r="F94" s="305" t="s">
        <v>106</v>
      </c>
      <c r="G94" s="307" t="s">
        <v>107</v>
      </c>
      <c r="H94" s="306" t="s">
        <v>108</v>
      </c>
      <c r="I94" s="308" t="s">
        <v>109</v>
      </c>
      <c r="J94" s="307" t="s">
        <v>110</v>
      </c>
      <c r="K94" s="253" t="s">
        <v>111</v>
      </c>
      <c r="L94" s="307" t="s">
        <v>112</v>
      </c>
      <c r="M94" s="169" t="s">
        <v>113</v>
      </c>
    </row>
    <row r="95" ht="18" customHeight="1" spans="1:13" x14ac:dyDescent="0.25">
      <c r="A95" s="309" t="s">
        <v>114</v>
      </c>
      <c r="B95" s="309" t="s">
        <v>115</v>
      </c>
      <c r="C95" s="309" t="s">
        <v>116</v>
      </c>
      <c r="D95" s="309" t="s">
        <v>117</v>
      </c>
      <c r="E95" s="321" t="s">
        <v>118</v>
      </c>
      <c r="F95" s="309" t="s">
        <v>119</v>
      </c>
      <c r="G95" s="309" t="s">
        <v>120</v>
      </c>
      <c r="H95" s="311" t="s">
        <v>121</v>
      </c>
      <c r="I95" s="311" t="s">
        <v>122</v>
      </c>
      <c r="J95" s="309" t="s">
        <v>123</v>
      </c>
      <c r="K95" s="312" t="s">
        <v>124</v>
      </c>
      <c r="L95" s="309" t="s">
        <v>125</v>
      </c>
      <c r="M95" s="313" t="s">
        <v>126</v>
      </c>
    </row>
    <row r="96" ht="15.75" customHeight="1" spans="1:13" s="42" customFormat="1" x14ac:dyDescent="0.25">
      <c r="A96" s="314"/>
      <c r="B96" s="314"/>
      <c r="C96" s="314"/>
      <c r="D96" s="314"/>
      <c r="E96" s="322"/>
      <c r="F96" s="314"/>
      <c r="G96" s="314"/>
      <c r="H96" s="316"/>
      <c r="I96" s="316"/>
      <c r="J96" s="314"/>
      <c r="K96" s="317"/>
      <c r="L96" s="314"/>
      <c r="M96" s="318"/>
    </row>
    <row r="97" ht="15" customHeight="1" spans="1:13" s="319" customFormat="1" x14ac:dyDescent="0.25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</row>
    <row r="98" ht="15" customHeight="1" spans="1:13" s="319" customFormat="1" x14ac:dyDescent="0.25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</row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spans="1:13" x14ac:dyDescent="0.25">
      <c r="A103" s="296"/>
      <c r="B103" s="296"/>
      <c r="C103" s="296"/>
      <c r="D103" s="3"/>
      <c r="E103" s="3"/>
      <c r="F103" s="296"/>
      <c r="G103" s="296"/>
      <c r="H103" s="296"/>
      <c r="K103" s="296"/>
      <c r="L103" s="296"/>
      <c r="M103" s="296"/>
    </row>
    <row r="104" ht="19.2" customHeight="1" spans="1:13" x14ac:dyDescent="0.25">
      <c r="A104" s="320" t="s">
        <v>22</v>
      </c>
      <c r="B104" s="145"/>
      <c r="C104" s="145"/>
      <c r="D104" s="18"/>
      <c r="E104" s="18"/>
      <c r="F104" s="320" t="s">
        <v>57</v>
      </c>
      <c r="G104" s="145"/>
      <c r="H104" s="145"/>
      <c r="K104" s="320" t="s">
        <v>23</v>
      </c>
      <c r="L104" s="145"/>
      <c r="M104" s="145"/>
    </row>
    <row r="105" ht="25.2" customHeight="1" spans="1:13" x14ac:dyDescent="0.25">
      <c r="A105" s="191" t="s">
        <v>24</v>
      </c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</row>
    <row r="106" ht="18.75" customHeight="1" spans="1:13" x14ac:dyDescent="0.25">
      <c r="A106" s="8" t="s">
        <v>25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ht="10.5" customHeight="1" x14ac:dyDescent="0.25"/>
    <row r="108" ht="27.6" customHeight="1" spans="1:13" x14ac:dyDescent="0.25">
      <c r="A108" s="287" t="s">
        <v>88</v>
      </c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</row>
    <row r="109" ht="10.5" customHeight="1" x14ac:dyDescent="0.25"/>
    <row r="110" ht="17.4" customHeight="1" spans="1:13" x14ac:dyDescent="0.25">
      <c r="A110" s="42" t="s">
        <v>89</v>
      </c>
      <c r="B110" s="279" t="s">
        <v>3</v>
      </c>
      <c r="C110" s="279"/>
      <c r="D110" s="279"/>
      <c r="E110" s="288" t="s">
        <v>90</v>
      </c>
      <c r="F110" s="288"/>
      <c r="G110" s="90" t="str">
        <f>양하항차</f>
        <v>2639E</v>
      </c>
      <c r="H110" s="90"/>
      <c r="I110" s="42"/>
      <c r="J110" s="288" t="s">
        <v>91</v>
      </c>
      <c r="K110" s="289">
        <f>양하종료일</f>
        <v>46224</v>
      </c>
      <c r="L110" s="289"/>
      <c r="M110" s="289"/>
    </row>
    <row r="111" ht="14.25" customHeight="1" spans="1:13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</row>
    <row r="112" spans="1:13" s="42" customFormat="1" x14ac:dyDescent="0.25">
      <c r="A112" s="241" t="s">
        <v>92</v>
      </c>
      <c r="B112" s="241"/>
      <c r="C112" s="42" t="s">
        <v>79</v>
      </c>
      <c r="E112" s="288" t="s">
        <v>93</v>
      </c>
      <c r="F112" s="288"/>
      <c r="G112" s="90" t="s">
        <v>94</v>
      </c>
      <c r="H112" s="90"/>
      <c r="J112" s="288" t="s">
        <v>95</v>
      </c>
      <c r="K112" s="90">
        <v>20</v>
      </c>
      <c r="L112" s="90">
        <v>40</v>
      </c>
      <c r="M112" s="90">
        <v>45</v>
      </c>
    </row>
    <row r="113" spans="1:3" s="42" customFormat="1" x14ac:dyDescent="0.25">
      <c r="A113" s="241" t="s">
        <v>96</v>
      </c>
      <c r="B113" s="241"/>
      <c r="C113" s="42" t="s">
        <v>76</v>
      </c>
    </row>
    <row r="114" ht="13.5" customHeight="1" spans="13:13" s="42" customFormat="1" x14ac:dyDescent="0.25">
      <c r="M114" s="288" t="s">
        <v>97</v>
      </c>
    </row>
    <row r="115" ht="13.5" customHeight="1" spans="1:13" s="42" customFormat="1" x14ac:dyDescent="0.25">
      <c r="A115" s="290"/>
      <c r="B115" s="291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2"/>
    </row>
    <row r="116" ht="13.5" customHeight="1" spans="1:13" s="42" customFormat="1" x14ac:dyDescent="0.25">
      <c r="A116" s="293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294"/>
    </row>
    <row r="117" ht="13.5" customHeight="1" spans="1:13" x14ac:dyDescent="0.25">
      <c r="A117" s="293"/>
      <c r="M117" s="294"/>
    </row>
    <row r="118" spans="1:13" x14ac:dyDescent="0.25">
      <c r="A118" s="293"/>
      <c r="M118" s="294"/>
    </row>
    <row r="119" spans="1:13" x14ac:dyDescent="0.25">
      <c r="A119" s="293"/>
      <c r="M119" s="294"/>
    </row>
    <row r="120" spans="1:13" x14ac:dyDescent="0.25">
      <c r="A120" s="293"/>
      <c r="M120" s="294"/>
    </row>
    <row r="121" spans="1:13" x14ac:dyDescent="0.25">
      <c r="A121" s="293"/>
      <c r="M121" s="294"/>
    </row>
    <row r="122" spans="1:13" x14ac:dyDescent="0.25">
      <c r="A122" s="293"/>
      <c r="M122" s="294"/>
    </row>
    <row r="123" spans="1:13" x14ac:dyDescent="0.25">
      <c r="A123" s="293"/>
      <c r="M123" s="294"/>
    </row>
    <row r="124" spans="1:13" x14ac:dyDescent="0.25">
      <c r="A124" s="293"/>
      <c r="M124" s="294"/>
    </row>
    <row r="125" spans="1:13" x14ac:dyDescent="0.25">
      <c r="A125" s="293"/>
      <c r="M125" s="294"/>
    </row>
    <row r="126" spans="1:13" x14ac:dyDescent="0.25">
      <c r="A126" s="293"/>
      <c r="M126" s="294"/>
    </row>
    <row r="127" spans="1:13" x14ac:dyDescent="0.25">
      <c r="A127" s="293"/>
      <c r="M127" s="294"/>
    </row>
    <row r="128" spans="1:13" x14ac:dyDescent="0.25">
      <c r="A128" s="293"/>
      <c r="M128" s="294"/>
    </row>
    <row r="129" spans="1:13" x14ac:dyDescent="0.25">
      <c r="A129" s="293"/>
      <c r="M129" s="294"/>
    </row>
    <row r="130" spans="1:13" x14ac:dyDescent="0.25">
      <c r="A130" s="293"/>
      <c r="M130" s="294"/>
    </row>
    <row r="131" ht="9.75" customHeight="1" spans="1:13" x14ac:dyDescent="0.25">
      <c r="A131" s="293"/>
      <c r="M131" s="294"/>
    </row>
    <row r="132" ht="9.75" customHeight="1" spans="1:13" x14ac:dyDescent="0.25">
      <c r="A132" s="293"/>
      <c r="M132" s="294"/>
    </row>
    <row r="133" ht="9.75" customHeight="1" spans="1:13" x14ac:dyDescent="0.25">
      <c r="A133" s="293"/>
      <c r="M133" s="294"/>
    </row>
    <row r="134" ht="9.75" customHeight="1" spans="1:13" x14ac:dyDescent="0.25">
      <c r="A134" s="293"/>
      <c r="M134" s="294"/>
    </row>
    <row r="135" ht="9.75" customHeight="1" spans="1:13" x14ac:dyDescent="0.25">
      <c r="A135" s="295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7"/>
    </row>
    <row r="136" ht="9.75" customHeight="1" x14ac:dyDescent="0.25"/>
    <row r="137" spans="1:12" x14ac:dyDescent="0.25">
      <c r="A137" s="298" t="s">
        <v>98</v>
      </c>
      <c r="B137" s="298"/>
      <c r="C137" s="298"/>
      <c r="D137" s="299"/>
      <c r="E137" s="299"/>
      <c r="F137" s="299"/>
      <c r="G137" s="299"/>
      <c r="H137" s="299"/>
      <c r="I137" s="299"/>
      <c r="J137" s="299"/>
      <c r="K137" s="299"/>
      <c r="L137" s="299"/>
    </row>
    <row r="138" ht="21.75" customHeight="1" spans="1:13" x14ac:dyDescent="0.25">
      <c r="A138" s="300"/>
      <c r="B138" s="301" t="s">
        <v>99</v>
      </c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</row>
    <row r="139" ht="21.9" customHeight="1" spans="1:13" s="42" customFormat="1" x14ac:dyDescent="0.25">
      <c r="A139" s="300"/>
      <c r="B139" s="302" t="s">
        <v>80</v>
      </c>
      <c r="C139" s="302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</row>
    <row r="140" ht="21.75" customHeight="1" spans="1:13" s="42" customFormat="1" x14ac:dyDescent="0.25">
      <c r="A140" s="300"/>
      <c r="B140" s="303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</row>
    <row r="141" ht="21.75" customHeight="1" spans="1:13" s="42" customFormat="1" x14ac:dyDescent="0.25">
      <c r="A141" s="300"/>
      <c r="B141" s="303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</row>
    <row r="142" ht="21.75" customHeight="1" spans="1:13" s="42" customFormat="1" x14ac:dyDescent="0.25">
      <c r="A142" s="300"/>
      <c r="B142" s="303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</row>
    <row r="143" ht="21.9" customHeight="1" spans="1:13" s="42" customFormat="1" x14ac:dyDescent="0.25">
      <c r="A143" s="300"/>
      <c r="B143" s="303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</row>
    <row r="144" ht="21.9" customHeight="1" spans="1:13" s="42" customFormat="1" x14ac:dyDescent="0.25">
      <c r="A144" s="300"/>
      <c r="B144" s="303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</row>
    <row r="145" ht="21.9" customHeight="1" spans="1:13" s="42" customFormat="1" x14ac:dyDescent="0.25">
      <c r="A145" s="304" t="s">
        <v>100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</row>
    <row r="146" ht="21.75" customHeight="1" spans="1:13" s="42" customFormat="1" x14ac:dyDescent="0.25">
      <c r="A146" s="305" t="s">
        <v>101</v>
      </c>
      <c r="B146" s="306" t="s">
        <v>102</v>
      </c>
      <c r="C146" s="305" t="s">
        <v>103</v>
      </c>
      <c r="D146" s="306" t="s">
        <v>104</v>
      </c>
      <c r="E146" s="305" t="s">
        <v>105</v>
      </c>
      <c r="F146" s="305" t="s">
        <v>106</v>
      </c>
      <c r="G146" s="307" t="s">
        <v>107</v>
      </c>
      <c r="H146" s="306" t="s">
        <v>108</v>
      </c>
      <c r="I146" s="308" t="s">
        <v>109</v>
      </c>
      <c r="J146" s="307" t="s">
        <v>110</v>
      </c>
      <c r="K146" s="253" t="s">
        <v>111</v>
      </c>
      <c r="L146" s="307" t="s">
        <v>112</v>
      </c>
      <c r="M146" s="169" t="s">
        <v>113</v>
      </c>
    </row>
    <row r="147" ht="18" customHeight="1" spans="1:13" x14ac:dyDescent="0.25">
      <c r="A147" s="309" t="s">
        <v>114</v>
      </c>
      <c r="B147" s="309" t="s">
        <v>115</v>
      </c>
      <c r="C147" s="309" t="s">
        <v>116</v>
      </c>
      <c r="D147" s="309" t="s">
        <v>117</v>
      </c>
      <c r="E147" s="310" t="s">
        <v>118</v>
      </c>
      <c r="F147" s="309" t="s">
        <v>119</v>
      </c>
      <c r="G147" s="309" t="s">
        <v>120</v>
      </c>
      <c r="H147" s="311" t="s">
        <v>121</v>
      </c>
      <c r="I147" s="311" t="s">
        <v>122</v>
      </c>
      <c r="J147" s="309" t="s">
        <v>123</v>
      </c>
      <c r="K147" s="312" t="s">
        <v>124</v>
      </c>
      <c r="L147" s="309" t="s">
        <v>125</v>
      </c>
      <c r="M147" s="313" t="s">
        <v>126</v>
      </c>
    </row>
    <row r="148" ht="15.75" customHeight="1" spans="1:13" s="42" customFormat="1" x14ac:dyDescent="0.25">
      <c r="A148" s="314"/>
      <c r="B148" s="314"/>
      <c r="C148" s="314"/>
      <c r="D148" s="314"/>
      <c r="E148" s="315"/>
      <c r="F148" s="314"/>
      <c r="G148" s="314"/>
      <c r="H148" s="316"/>
      <c r="I148" s="316"/>
      <c r="J148" s="314"/>
      <c r="K148" s="317"/>
      <c r="L148" s="314"/>
      <c r="M148" s="318"/>
    </row>
    <row r="149" ht="15" customHeight="1" spans="1:13" s="319" customFormat="1" x14ac:dyDescent="0.25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</row>
    <row r="150" ht="15" customHeight="1" spans="1:13" s="319" customFormat="1" x14ac:dyDescent="0.25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</row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spans="1:13" x14ac:dyDescent="0.25">
      <c r="A155" s="296"/>
      <c r="B155" s="296"/>
      <c r="C155" s="296"/>
      <c r="D155" s="3"/>
      <c r="E155" s="3"/>
      <c r="F155" s="296"/>
      <c r="G155" s="296"/>
      <c r="H155" s="296"/>
      <c r="K155" s="296"/>
      <c r="L155" s="296"/>
      <c r="M155" s="296"/>
    </row>
    <row r="156" ht="19.2" customHeight="1" spans="1:13" x14ac:dyDescent="0.25">
      <c r="A156" s="320" t="s">
        <v>22</v>
      </c>
      <c r="B156" s="145"/>
      <c r="C156" s="145"/>
      <c r="D156" s="18"/>
      <c r="E156" s="18"/>
      <c r="F156" s="320" t="s">
        <v>57</v>
      </c>
      <c r="G156" s="145"/>
      <c r="H156" s="145"/>
      <c r="K156" s="320" t="s">
        <v>23</v>
      </c>
      <c r="L156" s="145"/>
      <c r="M156" s="145"/>
    </row>
    <row r="157" ht="25.2" customHeight="1" spans="1:13" x14ac:dyDescent="0.25">
      <c r="A157" s="191" t="s">
        <v>24</v>
      </c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</row>
    <row r="158" ht="18.75" customHeight="1" spans="1:13" x14ac:dyDescent="0.25">
      <c r="A158" s="8" t="s">
        <v>25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ht="10.5" customHeight="1" x14ac:dyDescent="0.25"/>
    <row r="160" ht="27.6" customHeight="1" spans="1:13" x14ac:dyDescent="0.25">
      <c r="A160" s="287" t="s">
        <v>88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</row>
    <row r="161" ht="10.5" customHeight="1" x14ac:dyDescent="0.25"/>
    <row r="162" ht="17.4" customHeight="1" spans="1:13" x14ac:dyDescent="0.25">
      <c r="A162" s="42" t="s">
        <v>89</v>
      </c>
      <c r="B162" s="279" t="s">
        <v>3</v>
      </c>
      <c r="C162" s="279"/>
      <c r="D162" s="279"/>
      <c r="E162" s="288" t="s">
        <v>90</v>
      </c>
      <c r="F162" s="288"/>
      <c r="G162" s="90" t="s">
        <v>84</v>
      </c>
      <c r="H162" s="90"/>
      <c r="I162" s="42"/>
      <c r="J162" s="288" t="s">
        <v>91</v>
      </c>
      <c r="K162" s="289">
        <v>46225</v>
      </c>
      <c r="L162" s="90"/>
      <c r="M162" s="90"/>
    </row>
    <row r="163" ht="14.25" customHeight="1" spans="1:13" x14ac:dyDescent="0.2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</row>
    <row r="164" spans="1:13" s="42" customFormat="1" x14ac:dyDescent="0.25">
      <c r="A164" s="241" t="s">
        <v>92</v>
      </c>
      <c r="B164" s="241"/>
      <c r="E164" s="288" t="s">
        <v>93</v>
      </c>
      <c r="F164" s="288"/>
      <c r="G164" s="90"/>
      <c r="H164" s="90"/>
      <c r="J164" s="288" t="s">
        <v>95</v>
      </c>
      <c r="K164" s="90">
        <v>20</v>
      </c>
      <c r="L164" s="90">
        <v>40</v>
      </c>
      <c r="M164" s="90">
        <v>45</v>
      </c>
    </row>
    <row r="165" spans="1:2" s="42" customFormat="1" x14ac:dyDescent="0.25">
      <c r="A165" s="241" t="s">
        <v>96</v>
      </c>
      <c r="B165" s="241"/>
    </row>
    <row r="166" ht="13.5" customHeight="1" spans="13:13" s="42" customFormat="1" x14ac:dyDescent="0.25">
      <c r="M166" s="288" t="s">
        <v>97</v>
      </c>
    </row>
    <row r="167" ht="13.5" customHeight="1" spans="1:13" s="42" customFormat="1" x14ac:dyDescent="0.25">
      <c r="A167" s="290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2"/>
    </row>
    <row r="168" ht="13.5" customHeight="1" spans="1:13" s="42" customFormat="1" x14ac:dyDescent="0.25">
      <c r="A168" s="293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294"/>
    </row>
    <row r="169" ht="13.5" customHeight="1" spans="1:13" x14ac:dyDescent="0.25">
      <c r="A169" s="293"/>
      <c r="M169" s="294"/>
    </row>
    <row r="170" spans="1:13" x14ac:dyDescent="0.25">
      <c r="A170" s="293"/>
      <c r="M170" s="294"/>
    </row>
    <row r="171" spans="1:13" x14ac:dyDescent="0.25">
      <c r="A171" s="293"/>
      <c r="M171" s="294"/>
    </row>
    <row r="172" spans="1:13" x14ac:dyDescent="0.25">
      <c r="A172" s="293"/>
      <c r="M172" s="294"/>
    </row>
    <row r="173" spans="1:13" x14ac:dyDescent="0.25">
      <c r="A173" s="293"/>
      <c r="M173" s="294"/>
    </row>
    <row r="174" spans="1:13" x14ac:dyDescent="0.25">
      <c r="A174" s="293"/>
      <c r="M174" s="294"/>
    </row>
    <row r="175" spans="1:13" x14ac:dyDescent="0.25">
      <c r="A175" s="293"/>
      <c r="M175" s="294"/>
    </row>
    <row r="176" spans="1:13" x14ac:dyDescent="0.25">
      <c r="A176" s="293"/>
      <c r="M176" s="294"/>
    </row>
    <row r="177" spans="1:13" x14ac:dyDescent="0.25">
      <c r="A177" s="293"/>
      <c r="M177" s="294"/>
    </row>
    <row r="178" spans="1:13" x14ac:dyDescent="0.25">
      <c r="A178" s="293"/>
      <c r="M178" s="294"/>
    </row>
    <row r="179" spans="1:13" x14ac:dyDescent="0.25">
      <c r="A179" s="293"/>
      <c r="M179" s="294"/>
    </row>
    <row r="180" spans="1:13" x14ac:dyDescent="0.25">
      <c r="A180" s="293"/>
      <c r="M180" s="294"/>
    </row>
    <row r="181" spans="1:13" x14ac:dyDescent="0.25">
      <c r="A181" s="293"/>
      <c r="M181" s="294"/>
    </row>
    <row r="182" spans="1:13" x14ac:dyDescent="0.25">
      <c r="A182" s="293"/>
      <c r="M182" s="294"/>
    </row>
    <row r="183" ht="9.75" customHeight="1" spans="1:13" x14ac:dyDescent="0.25">
      <c r="A183" s="293"/>
      <c r="M183" s="294"/>
    </row>
    <row r="184" ht="9.75" customHeight="1" spans="1:13" x14ac:dyDescent="0.25">
      <c r="A184" s="293"/>
      <c r="M184" s="294"/>
    </row>
    <row r="185" ht="9.75" customHeight="1" spans="1:13" x14ac:dyDescent="0.25">
      <c r="A185" s="293"/>
      <c r="M185" s="294"/>
    </row>
    <row r="186" ht="9.75" customHeight="1" spans="1:13" x14ac:dyDescent="0.25">
      <c r="A186" s="293"/>
      <c r="M186" s="294"/>
    </row>
    <row r="187" ht="9.75" customHeight="1" spans="1:13" x14ac:dyDescent="0.25">
      <c r="A187" s="295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7"/>
    </row>
    <row r="188" ht="9.75" customHeight="1" x14ac:dyDescent="0.25"/>
    <row r="189" spans="1:12" x14ac:dyDescent="0.25">
      <c r="A189" s="298" t="s">
        <v>98</v>
      </c>
      <c r="B189" s="298"/>
      <c r="C189" s="298"/>
      <c r="D189" s="299"/>
      <c r="E189" s="299"/>
      <c r="F189" s="299"/>
      <c r="G189" s="299"/>
      <c r="H189" s="299"/>
      <c r="I189" s="299"/>
      <c r="J189" s="299"/>
      <c r="K189" s="299"/>
      <c r="L189" s="299"/>
    </row>
    <row r="190" ht="21.75" customHeight="1" spans="1:13" x14ac:dyDescent="0.25">
      <c r="A190" s="300"/>
      <c r="B190" s="301" t="s">
        <v>127</v>
      </c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</row>
    <row r="191" ht="21.9" customHeight="1" spans="1:13" s="42" customFormat="1" x14ac:dyDescent="0.25">
      <c r="A191" s="300"/>
      <c r="B191" s="302" t="s">
        <v>128</v>
      </c>
      <c r="C191" s="302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</row>
    <row r="192" ht="21.75" customHeight="1" spans="1:13" s="42" customFormat="1" x14ac:dyDescent="0.25">
      <c r="A192" s="300"/>
      <c r="B192" s="303"/>
      <c r="C192" s="303"/>
      <c r="D192" s="303"/>
      <c r="E192" s="303"/>
      <c r="F192" s="303"/>
      <c r="G192" s="303"/>
      <c r="H192" s="303"/>
      <c r="I192" s="303"/>
      <c r="J192" s="303"/>
      <c r="K192" s="303"/>
      <c r="L192" s="303"/>
      <c r="M192" s="303"/>
    </row>
    <row r="193" ht="21.75" customHeight="1" spans="1:13" s="42" customFormat="1" x14ac:dyDescent="0.25">
      <c r="A193" s="300"/>
      <c r="B193" s="303"/>
      <c r="C193" s="303"/>
      <c r="D193" s="303"/>
      <c r="E193" s="303"/>
      <c r="F193" s="303"/>
      <c r="G193" s="303"/>
      <c r="H193" s="303"/>
      <c r="I193" s="303"/>
      <c r="J193" s="303"/>
      <c r="K193" s="303"/>
      <c r="L193" s="303"/>
      <c r="M193" s="303"/>
    </row>
    <row r="194" ht="21.75" customHeight="1" spans="1:13" s="42" customFormat="1" x14ac:dyDescent="0.25">
      <c r="A194" s="300"/>
      <c r="B194" s="303"/>
      <c r="C194" s="303"/>
      <c r="D194" s="303"/>
      <c r="E194" s="303"/>
      <c r="F194" s="303"/>
      <c r="G194" s="303"/>
      <c r="H194" s="303"/>
      <c r="I194" s="303"/>
      <c r="J194" s="303"/>
      <c r="K194" s="303"/>
      <c r="L194" s="303"/>
      <c r="M194" s="303"/>
    </row>
    <row r="195" ht="21.9" customHeight="1" spans="1:13" s="42" customFormat="1" x14ac:dyDescent="0.25">
      <c r="A195" s="300"/>
      <c r="B195" s="303"/>
      <c r="C195" s="303"/>
      <c r="D195" s="303"/>
      <c r="E195" s="303"/>
      <c r="F195" s="303"/>
      <c r="G195" s="303"/>
      <c r="H195" s="303"/>
      <c r="I195" s="303"/>
      <c r="J195" s="303"/>
      <c r="K195" s="303"/>
      <c r="L195" s="303"/>
      <c r="M195" s="303"/>
    </row>
    <row r="196" ht="21.9" customHeight="1" spans="1:13" s="42" customFormat="1" x14ac:dyDescent="0.25">
      <c r="A196" s="300"/>
      <c r="B196" s="303"/>
      <c r="C196" s="303"/>
      <c r="D196" s="303"/>
      <c r="E196" s="303"/>
      <c r="F196" s="303"/>
      <c r="G196" s="303"/>
      <c r="H196" s="303"/>
      <c r="I196" s="303"/>
      <c r="J196" s="303"/>
      <c r="K196" s="303"/>
      <c r="L196" s="303"/>
      <c r="M196" s="303"/>
    </row>
    <row r="197" ht="21.9" customHeight="1" spans="1:13" s="42" customFormat="1" x14ac:dyDescent="0.25">
      <c r="A197" s="304" t="s">
        <v>100</v>
      </c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</row>
    <row r="198" ht="21.75" customHeight="1" spans="1:13" s="42" customFormat="1" x14ac:dyDescent="0.25">
      <c r="A198" s="305" t="s">
        <v>101</v>
      </c>
      <c r="B198" s="306" t="s">
        <v>102</v>
      </c>
      <c r="C198" s="305" t="s">
        <v>103</v>
      </c>
      <c r="D198" s="306" t="s">
        <v>104</v>
      </c>
      <c r="E198" s="305" t="s">
        <v>105</v>
      </c>
      <c r="F198" s="305" t="s">
        <v>106</v>
      </c>
      <c r="G198" s="307" t="s">
        <v>107</v>
      </c>
      <c r="H198" s="306" t="s">
        <v>108</v>
      </c>
      <c r="I198" s="308" t="s">
        <v>109</v>
      </c>
      <c r="J198" s="307" t="s">
        <v>110</v>
      </c>
      <c r="K198" s="253" t="s">
        <v>111</v>
      </c>
      <c r="L198" s="307" t="s">
        <v>112</v>
      </c>
      <c r="M198" s="169" t="s">
        <v>113</v>
      </c>
    </row>
    <row r="199" ht="18" customHeight="1" spans="1:13" x14ac:dyDescent="0.25">
      <c r="A199" s="309" t="s">
        <v>114</v>
      </c>
      <c r="B199" s="309" t="s">
        <v>115</v>
      </c>
      <c r="C199" s="309" t="s">
        <v>116</v>
      </c>
      <c r="D199" s="309" t="s">
        <v>117</v>
      </c>
      <c r="E199" s="310" t="s">
        <v>118</v>
      </c>
      <c r="F199" s="309" t="s">
        <v>119</v>
      </c>
      <c r="G199" s="309" t="s">
        <v>120</v>
      </c>
      <c r="H199" s="311" t="s">
        <v>121</v>
      </c>
      <c r="I199" s="311" t="s">
        <v>122</v>
      </c>
      <c r="J199" s="309" t="s">
        <v>123</v>
      </c>
      <c r="K199" s="312" t="s">
        <v>124</v>
      </c>
      <c r="L199" s="309" t="s">
        <v>125</v>
      </c>
      <c r="M199" s="313" t="s">
        <v>126</v>
      </c>
    </row>
    <row r="200" ht="15.75" customHeight="1" spans="1:13" s="42" customFormat="1" x14ac:dyDescent="0.25">
      <c r="A200" s="314"/>
      <c r="B200" s="314"/>
      <c r="C200" s="314"/>
      <c r="D200" s="314"/>
      <c r="E200" s="315"/>
      <c r="F200" s="314"/>
      <c r="G200" s="314"/>
      <c r="H200" s="316"/>
      <c r="I200" s="316"/>
      <c r="J200" s="314"/>
      <c r="K200" s="317"/>
      <c r="L200" s="314"/>
      <c r="M200" s="318"/>
    </row>
    <row r="201" ht="15" customHeight="1" spans="1:13" s="319" customFormat="1" x14ac:dyDescent="0.25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</row>
    <row r="202" ht="15" customHeight="1" spans="1:13" s="319" customFormat="1" x14ac:dyDescent="0.25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</row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spans="1:13" x14ac:dyDescent="0.25">
      <c r="A207" s="296"/>
      <c r="B207" s="296"/>
      <c r="C207" s="296"/>
      <c r="D207" s="3"/>
      <c r="E207" s="3"/>
      <c r="F207" s="296"/>
      <c r="G207" s="296"/>
      <c r="H207" s="296"/>
      <c r="K207" s="296"/>
      <c r="L207" s="296"/>
      <c r="M207" s="296"/>
    </row>
    <row r="208" ht="19.2" customHeight="1" spans="1:13" x14ac:dyDescent="0.25">
      <c r="A208" s="320" t="s">
        <v>22</v>
      </c>
      <c r="B208" s="145"/>
      <c r="C208" s="145"/>
      <c r="D208" s="18"/>
      <c r="E208" s="18"/>
      <c r="F208" s="320" t="s">
        <v>57</v>
      </c>
      <c r="G208" s="145"/>
      <c r="H208" s="145"/>
      <c r="K208" s="320" t="s">
        <v>23</v>
      </c>
      <c r="L208" s="145"/>
      <c r="M208" s="145"/>
    </row>
  </sheetData>
  <mergeCells count="140">
    <mergeCell ref="A1:M1"/>
    <mergeCell ref="A2:M2"/>
    <mergeCell ref="A4:M4"/>
    <mergeCell ref="B6:D6"/>
    <mergeCell ref="E6:F6"/>
    <mergeCell ref="G6:H6"/>
    <mergeCell ref="K6:M6"/>
    <mergeCell ref="A8:B8"/>
    <mergeCell ref="E8:F8"/>
    <mergeCell ref="G8:H8"/>
    <mergeCell ref="A9:B9"/>
    <mergeCell ref="A33:C33"/>
    <mergeCell ref="B34:M34"/>
    <mergeCell ref="B35:M35"/>
    <mergeCell ref="B36:M36"/>
    <mergeCell ref="B37:M37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2:C52"/>
    <mergeCell ref="F52:H52"/>
    <mergeCell ref="K52:M52"/>
    <mergeCell ref="A53:M53"/>
    <mergeCell ref="A54:M54"/>
    <mergeCell ref="A56:M56"/>
    <mergeCell ref="B58:D58"/>
    <mergeCell ref="E58:F58"/>
    <mergeCell ref="G58:H58"/>
    <mergeCell ref="K58:M58"/>
    <mergeCell ref="A60:B60"/>
    <mergeCell ref="E60:F60"/>
    <mergeCell ref="G60:H60"/>
    <mergeCell ref="A61:B61"/>
    <mergeCell ref="A85:C85"/>
    <mergeCell ref="B86:M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4:C104"/>
    <mergeCell ref="F104:H104"/>
    <mergeCell ref="K104:M104"/>
    <mergeCell ref="A105:M105"/>
    <mergeCell ref="A106:M106"/>
    <mergeCell ref="A108:M108"/>
    <mergeCell ref="B110:D110"/>
    <mergeCell ref="E110:F110"/>
    <mergeCell ref="G110:H110"/>
    <mergeCell ref="K110:M110"/>
    <mergeCell ref="A112:B112"/>
    <mergeCell ref="E112:F112"/>
    <mergeCell ref="G112:H112"/>
    <mergeCell ref="A113:B113"/>
    <mergeCell ref="A137:C137"/>
    <mergeCell ref="B138:M138"/>
    <mergeCell ref="B139:M139"/>
    <mergeCell ref="B140:M140"/>
    <mergeCell ref="B141:M141"/>
    <mergeCell ref="B142:M142"/>
    <mergeCell ref="B143:M143"/>
    <mergeCell ref="B144:M144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A156:C156"/>
    <mergeCell ref="F156:H156"/>
    <mergeCell ref="K156:M156"/>
    <mergeCell ref="A157:M157"/>
    <mergeCell ref="A158:M158"/>
    <mergeCell ref="A160:M160"/>
    <mergeCell ref="B162:D162"/>
    <mergeCell ref="E162:F162"/>
    <mergeCell ref="G162:H162"/>
    <mergeCell ref="K162:M162"/>
    <mergeCell ref="A164:B164"/>
    <mergeCell ref="E164:F164"/>
    <mergeCell ref="G164:H164"/>
    <mergeCell ref="A165:B165"/>
    <mergeCell ref="A189:C189"/>
    <mergeCell ref="B190:M190"/>
    <mergeCell ref="B191:M191"/>
    <mergeCell ref="B192:M192"/>
    <mergeCell ref="B193:M193"/>
    <mergeCell ref="B194:M194"/>
    <mergeCell ref="B195:M195"/>
    <mergeCell ref="B196:M196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L199:L200"/>
    <mergeCell ref="M199:M200"/>
    <mergeCell ref="A208:C208"/>
    <mergeCell ref="F208:H208"/>
    <mergeCell ref="K208:M208"/>
  </mergeCells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5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8.69921875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8.69921875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8.69921875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8.69921875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8.69921875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8.69921875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8.69921875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8.69921875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8.69921875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8.69921875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8.69921875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8.69921875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8.69921875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8.69921875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8.69921875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8.69921875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8.69921875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8.69921875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8.69921875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8.69921875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8.69921875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8.69921875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8.69921875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8.69921875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8.69921875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8.69921875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8.69921875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8.69921875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8.69921875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8.69921875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8.69921875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8.69921875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8.69921875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8.69921875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8.69921875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8.69921875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8.69921875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8.69921875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8.69921875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8.69921875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8.69921875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8.69921875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8.69921875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8.69921875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8.69921875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8.69921875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8.69921875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8.69921875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8.69921875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8.69921875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8.69921875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8.69921875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8.69921875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8.69921875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8.69921875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8.69921875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8.69921875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8.69921875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8.69921875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8.69921875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8.69921875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8.69921875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8.69921875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8.69921875" style="3" customWidth="1"/>
  </cols>
  <sheetData>
    <row r="1" ht="27.9" customHeight="1" spans="1:13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</row>
    <row r="2" ht="12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9.75" customHeight="1" x14ac:dyDescent="0.25"/>
    <row r="4" ht="20.25" customHeight="1" spans="1:13" x14ac:dyDescent="0.25">
      <c r="A4" s="192" t="s">
        <v>81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</row>
    <row r="5" ht="10.5" customHeight="1" x14ac:dyDescent="0.25"/>
    <row r="6" spans="1:14" x14ac:dyDescent="0.25">
      <c r="A6" s="3" t="s">
        <v>37</v>
      </c>
      <c r="B6" s="3" t="s">
        <v>3</v>
      </c>
      <c r="G6" s="3" t="s">
        <v>38</v>
      </c>
      <c r="H6" s="8"/>
      <c r="I6" s="8"/>
      <c r="K6" s="3" t="s">
        <v>39</v>
      </c>
      <c r="L6" s="193"/>
      <c r="M6" s="8"/>
      <c r="N6" s="1"/>
    </row>
    <row r="7" ht="5.25" customHeight="1" spans="8:9" x14ac:dyDescent="0.25">
      <c r="H7" s="161"/>
      <c r="I7" s="161"/>
    </row>
    <row r="8" spans="1:13" x14ac:dyDescent="0.25">
      <c r="A8" s="3" t="s">
        <v>82</v>
      </c>
      <c r="B8" s="3" t="s">
        <v>25</v>
      </c>
      <c r="C8" s="261"/>
      <c r="D8" s="261"/>
      <c r="G8" s="3" t="s">
        <v>41</v>
      </c>
      <c r="H8" s="8"/>
      <c r="I8" s="8"/>
      <c r="K8" s="194" t="s">
        <v>42</v>
      </c>
      <c r="L8" s="8"/>
      <c r="M8" s="8"/>
    </row>
    <row r="9" ht="8.25" customHeight="1" spans="10:10" x14ac:dyDescent="0.25">
      <c r="J9" s="188"/>
    </row>
    <row r="10" ht="14.4" customHeight="1" spans="1:13" x14ac:dyDescent="0.25">
      <c r="A10" s="195" t="s">
        <v>43</v>
      </c>
      <c r="B10" s="196" t="s">
        <v>44</v>
      </c>
      <c r="C10" s="197"/>
      <c r="D10" s="195" t="s">
        <v>45</v>
      </c>
      <c r="E10" s="195"/>
      <c r="F10" s="195"/>
      <c r="G10" s="198" t="s">
        <v>46</v>
      </c>
      <c r="H10" s="247" t="s">
        <v>47</v>
      </c>
      <c r="I10" s="248"/>
      <c r="J10" s="198" t="s">
        <v>83</v>
      </c>
      <c r="K10" s="195" t="s">
        <v>49</v>
      </c>
      <c r="L10" s="195" t="s">
        <v>50</v>
      </c>
      <c r="M10" s="195" t="s">
        <v>51</v>
      </c>
    </row>
    <row r="11" ht="14.4" customHeight="1" spans="1:13" x14ac:dyDescent="0.25">
      <c r="A11" s="199"/>
      <c r="B11" s="200"/>
      <c r="C11" s="201"/>
      <c r="D11" s="199"/>
      <c r="E11" s="199"/>
      <c r="F11" s="199"/>
      <c r="G11" s="202" t="s">
        <v>52</v>
      </c>
      <c r="H11" s="249"/>
      <c r="I11" s="251"/>
      <c r="J11" s="202"/>
      <c r="K11" s="199"/>
      <c r="L11" s="199"/>
      <c r="M11" s="199"/>
    </row>
    <row r="12" ht="21.9" customHeight="1" spans="1:13" x14ac:dyDescent="0.25">
      <c r="A12" s="203"/>
      <c r="B12" s="203"/>
      <c r="C12" s="3"/>
      <c r="D12" s="204"/>
      <c r="E12" s="262"/>
      <c r="F12" s="263"/>
      <c r="G12" s="203"/>
      <c r="H12" s="208"/>
      <c r="I12" s="3"/>
      <c r="J12" s="208"/>
      <c r="K12" s="203"/>
      <c r="L12" s="203"/>
      <c r="M12" s="264"/>
    </row>
    <row r="13" ht="21.9" customHeight="1" spans="1:13" x14ac:dyDescent="0.25">
      <c r="A13" s="232"/>
      <c r="B13" s="232"/>
      <c r="C13" s="3"/>
      <c r="D13" s="211"/>
      <c r="E13" s="262"/>
      <c r="F13" s="265"/>
      <c r="G13" s="210"/>
      <c r="H13" s="266"/>
      <c r="I13" s="3"/>
      <c r="J13" s="214"/>
      <c r="K13" s="210"/>
      <c r="L13" s="210"/>
      <c r="M13" s="267"/>
    </row>
    <row r="14" ht="21.9" customHeight="1" spans="1:13" x14ac:dyDescent="0.25">
      <c r="A14" s="232"/>
      <c r="B14" s="232"/>
      <c r="C14" s="3"/>
      <c r="D14" s="211"/>
      <c r="E14" s="262"/>
      <c r="F14" s="265"/>
      <c r="G14" s="210"/>
      <c r="H14" s="266"/>
      <c r="I14" s="3"/>
      <c r="J14" s="268"/>
      <c r="K14" s="210"/>
      <c r="L14" s="210"/>
      <c r="M14" s="267"/>
    </row>
    <row r="15" ht="21.9" customHeight="1" spans="1:13" x14ac:dyDescent="0.25">
      <c r="A15" s="232"/>
      <c r="B15" s="232"/>
      <c r="C15" s="3"/>
      <c r="D15" s="211"/>
      <c r="E15" s="262"/>
      <c r="F15" s="265"/>
      <c r="G15" s="210"/>
      <c r="H15" s="266"/>
      <c r="I15" s="3"/>
      <c r="J15" s="214"/>
      <c r="K15" s="210"/>
      <c r="L15" s="210"/>
      <c r="M15" s="267"/>
    </row>
    <row r="16" ht="21.9" customHeight="1" spans="1:13" x14ac:dyDescent="0.25">
      <c r="A16" s="232"/>
      <c r="B16" s="232"/>
      <c r="C16" s="3"/>
      <c r="D16" s="211"/>
      <c r="E16" s="262"/>
      <c r="F16" s="265"/>
      <c r="G16" s="210"/>
      <c r="H16" s="266"/>
      <c r="I16" s="3"/>
      <c r="J16" s="214"/>
      <c r="K16" s="210"/>
      <c r="L16" s="210"/>
      <c r="M16" s="267"/>
    </row>
    <row r="17" ht="21.9" customHeight="1" hidden="1" spans="1:13" x14ac:dyDescent="0.25">
      <c r="A17" s="232"/>
      <c r="B17" s="232"/>
      <c r="C17" s="3"/>
      <c r="D17" s="211"/>
      <c r="E17" s="262"/>
      <c r="F17" s="265"/>
      <c r="G17" s="210"/>
      <c r="H17" s="266"/>
      <c r="I17" s="3"/>
      <c r="J17" s="214"/>
      <c r="K17" s="210"/>
      <c r="L17" s="210"/>
      <c r="M17" s="267"/>
    </row>
    <row r="18" ht="21.9" customHeight="1" spans="1:13" x14ac:dyDescent="0.25">
      <c r="A18" s="232"/>
      <c r="B18" s="232"/>
      <c r="C18" s="3"/>
      <c r="D18" s="211"/>
      <c r="E18" s="262"/>
      <c r="F18" s="265"/>
      <c r="G18" s="210"/>
      <c r="H18" s="266"/>
      <c r="I18" s="3"/>
      <c r="J18" s="214"/>
      <c r="K18" s="210"/>
      <c r="L18" s="210"/>
      <c r="M18" s="267"/>
    </row>
    <row r="19" ht="21.9" customHeight="1" spans="1:13" x14ac:dyDescent="0.25">
      <c r="A19" s="232"/>
      <c r="B19" s="232"/>
      <c r="C19" s="3"/>
      <c r="D19" s="211"/>
      <c r="E19" s="262"/>
      <c r="F19" s="265"/>
      <c r="G19" s="210"/>
      <c r="H19" s="266"/>
      <c r="I19" s="3"/>
      <c r="J19" s="214"/>
      <c r="K19" s="210"/>
      <c r="L19" s="210"/>
      <c r="M19" s="267"/>
    </row>
    <row r="20" ht="21.9" customHeight="1" spans="1:13" x14ac:dyDescent="0.25">
      <c r="A20" s="216"/>
      <c r="B20" s="269"/>
      <c r="C20" s="269"/>
      <c r="D20" s="219" t="s">
        <v>53</v>
      </c>
      <c r="E20" s="220"/>
      <c r="F20" s="221"/>
      <c r="G20" s="222" t="s">
        <v>54</v>
      </c>
      <c r="H20" s="225">
        <f>SUM(H10:I19)</f>
        <v>268</v>
      </c>
      <c r="I20" s="225"/>
      <c r="J20" s="225">
        <f>SUM(J10:J19)</f>
        <v>268</v>
      </c>
      <c r="K20" s="222" t="s">
        <v>55</v>
      </c>
      <c r="L20" s="222" t="s">
        <v>55</v>
      </c>
      <c r="M20" s="226"/>
    </row>
    <row r="21" ht="21.9" customHeight="1" hidden="1" spans="1:13" x14ac:dyDescent="0.25">
      <c r="A21" s="270"/>
      <c r="B21" s="210"/>
      <c r="C21" s="210"/>
      <c r="D21" s="211"/>
      <c r="E21" s="262"/>
      <c r="F21" s="265"/>
      <c r="G21" s="210"/>
      <c r="H21" s="266"/>
      <c r="I21" s="271"/>
      <c r="J21" s="214"/>
      <c r="K21" s="210"/>
      <c r="L21" s="210"/>
      <c r="M21" s="272"/>
    </row>
    <row r="22" ht="21.9" customHeight="1" spans="1:13" x14ac:dyDescent="0.25">
      <c r="A22" s="273"/>
      <c r="B22" s="232"/>
      <c r="C22" s="232"/>
      <c r="D22" s="274"/>
      <c r="E22" s="275"/>
      <c r="F22" s="276"/>
      <c r="G22" s="277"/>
      <c r="H22" s="278"/>
      <c r="I22" s="278"/>
      <c r="J22" s="278"/>
      <c r="K22" s="277"/>
      <c r="L22" s="277"/>
      <c r="M22" s="236"/>
    </row>
    <row r="23" ht="15.75" customHeight="1" spans="1:13" x14ac:dyDescent="0.25">
      <c r="A23" s="237" t="s">
        <v>56</v>
      </c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9"/>
    </row>
    <row r="24" ht="15.9" customHeight="1" spans="1:13" x14ac:dyDescent="0.25">
      <c r="A24" s="240"/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80"/>
    </row>
    <row r="25" ht="15.9" customHeight="1" spans="1:13" x14ac:dyDescent="0.25">
      <c r="A25" s="243"/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2"/>
    </row>
    <row r="26" ht="15.9" customHeight="1" spans="1:13" x14ac:dyDescent="0.25">
      <c r="A26" s="243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2"/>
    </row>
    <row r="27" ht="15.9" customHeight="1" spans="1:13" x14ac:dyDescent="0.25">
      <c r="A27" s="243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2"/>
    </row>
    <row r="28" ht="15.9" customHeight="1" spans="1:13" x14ac:dyDescent="0.25">
      <c r="A28" s="243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2"/>
    </row>
    <row r="29" ht="15.9" customHeight="1" spans="1:13" x14ac:dyDescent="0.25">
      <c r="A29" s="243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2"/>
    </row>
    <row r="30" ht="15.9" customHeight="1" spans="1:13" x14ac:dyDescent="0.25">
      <c r="A30" s="244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6"/>
    </row>
    <row r="31" ht="15" customHeight="1" spans="1:13" x14ac:dyDescent="0.25">
      <c r="A31" s="281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</row>
    <row r="32" ht="15" customHeight="1" hidden="1" spans="1:13" x14ac:dyDescent="0.25">
      <c r="A32" s="283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</row>
    <row r="33" ht="15" customHeight="1" spans="1:13" x14ac:dyDescent="0.25">
      <c r="A33" s="283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</row>
    <row r="34" ht="15" customHeight="1" spans="1:13" x14ac:dyDescent="0.25">
      <c r="A34" s="188"/>
      <c r="B34" s="188"/>
      <c r="C34" s="188"/>
      <c r="G34" s="188"/>
      <c r="H34" s="188"/>
      <c r="I34" s="188"/>
      <c r="L34" s="188"/>
      <c r="M34" s="188"/>
    </row>
    <row r="35" spans="1:13" x14ac:dyDescent="0.25">
      <c r="A35" s="189" t="s">
        <v>22</v>
      </c>
      <c r="B35" s="189"/>
      <c r="C35" s="189"/>
      <c r="G35" s="189" t="s">
        <v>57</v>
      </c>
      <c r="H35" s="189"/>
      <c r="I35" s="189"/>
      <c r="L35" s="189" t="s">
        <v>23</v>
      </c>
      <c r="M35" s="189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B30:M30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 zoomScale="100" zoomScaleNormal="100">
      <selection activeCell="G4" sqref="G4"/>
    </sheetView>
  </sheetViews>
  <sheetFormatPr defaultRowHeight="13.2" outlineLevelRow="0" outlineLevelCol="0" x14ac:dyDescent="0" defaultColWidth="7.5" customHeight="1"/>
  <cols>
    <col min="1" max="1" width="6.09765625" style="421" customWidth="1"/>
    <col min="2" max="2" width="15.19921875" style="421" customWidth="1"/>
    <col min="3" max="3" width="6.69921875" style="421" customWidth="1"/>
    <col min="4" max="4" width="6.19921875" style="421" customWidth="1"/>
    <col min="5" max="5" width="6.69921875" style="422" customWidth="1"/>
    <col min="6" max="6" width="6.8984375" style="421" customWidth="1"/>
    <col min="7" max="7" width="9.5" style="423" customWidth="1"/>
    <col min="8" max="8" width="9.19921875" style="423" customWidth="1"/>
    <col min="9" max="9" width="6.5" style="421" customWidth="1"/>
    <col min="10" max="10" width="6.19921875" style="421" customWidth="1"/>
    <col min="11" max="11" width="6.69921875" style="421" customWidth="1"/>
    <col min="12" max="12" width="31.5" style="421" customWidth="1"/>
    <col min="13" max="13" width="8.8984375" style="421" customWidth="1"/>
    <col min="14" max="14" width="9.19921875" style="421" customWidth="1"/>
    <col min="15" max="16" width="7.5" style="424" customWidth="1"/>
    <col min="17" max="17" width="6.69921875" style="421" customWidth="1"/>
    <col min="18" max="18" width="11.59765625" style="423" customWidth="1"/>
    <col min="19" max="20" width="12.5" style="421" customWidth="1"/>
    <col min="21" max="23" width="7.5" style="421" customWidth="1"/>
    <col min="24" max="24" width="7.5" style="423" customWidth="1"/>
    <col min="25" max="25" width="12.69921875" style="421" customWidth="1"/>
    <col min="26" max="256" width="7.5" style="421" customWidth="1"/>
    <col min="257" max="257" width="6.09765625" style="421" customWidth="1"/>
    <col min="258" max="258" width="15.19921875" style="421" customWidth="1"/>
    <col min="259" max="259" width="6.69921875" style="421" customWidth="1"/>
    <col min="260" max="260" width="6.19921875" style="421" customWidth="1"/>
    <col min="261" max="261" width="6.69921875" style="421" customWidth="1"/>
    <col min="262" max="262" width="6.8984375" style="421" customWidth="1"/>
    <col min="263" max="263" width="9.5" style="421" customWidth="1"/>
    <col min="264" max="264" width="9.19921875" style="421" customWidth="1"/>
    <col min="265" max="265" width="6.5" style="421" customWidth="1"/>
    <col min="266" max="266" width="6.19921875" style="421" customWidth="1"/>
    <col min="267" max="267" width="6.69921875" style="421" customWidth="1"/>
    <col min="268" max="268" width="31.5" style="421" customWidth="1"/>
    <col min="269" max="269" width="8.8984375" style="421" customWidth="1"/>
    <col min="270" max="270" width="9.19921875" style="421" customWidth="1"/>
    <col min="271" max="272" width="7.5" style="421" customWidth="1"/>
    <col min="273" max="273" width="6.69921875" style="421" customWidth="1"/>
    <col min="274" max="274" width="11.59765625" style="421" customWidth="1"/>
    <col min="275" max="276" width="12.5" style="421" customWidth="1"/>
    <col min="277" max="280" width="7.5" style="421" customWidth="1"/>
    <col min="281" max="281" width="12.69921875" style="421" customWidth="1"/>
    <col min="282" max="512" width="7.5" style="421" customWidth="1"/>
    <col min="513" max="513" width="6.09765625" style="421" customWidth="1"/>
    <col min="514" max="514" width="15.19921875" style="421" customWidth="1"/>
    <col min="515" max="515" width="6.69921875" style="421" customWidth="1"/>
    <col min="516" max="516" width="6.19921875" style="421" customWidth="1"/>
    <col min="517" max="517" width="6.69921875" style="421" customWidth="1"/>
    <col min="518" max="518" width="6.8984375" style="421" customWidth="1"/>
    <col min="519" max="519" width="9.5" style="421" customWidth="1"/>
    <col min="520" max="520" width="9.19921875" style="421" customWidth="1"/>
    <col min="521" max="521" width="6.5" style="421" customWidth="1"/>
    <col min="522" max="522" width="6.19921875" style="421" customWidth="1"/>
    <col min="523" max="523" width="6.69921875" style="421" customWidth="1"/>
    <col min="524" max="524" width="31.5" style="421" customWidth="1"/>
    <col min="525" max="525" width="8.8984375" style="421" customWidth="1"/>
    <col min="526" max="526" width="9.19921875" style="421" customWidth="1"/>
    <col min="527" max="528" width="7.5" style="421" customWidth="1"/>
    <col min="529" max="529" width="6.69921875" style="421" customWidth="1"/>
    <col min="530" max="530" width="11.59765625" style="421" customWidth="1"/>
    <col min="531" max="532" width="12.5" style="421" customWidth="1"/>
    <col min="533" max="536" width="7.5" style="421" customWidth="1"/>
    <col min="537" max="537" width="12.69921875" style="421" customWidth="1"/>
    <col min="538" max="768" width="7.5" style="421" customWidth="1"/>
    <col min="769" max="769" width="6.09765625" style="421" customWidth="1"/>
    <col min="770" max="770" width="15.19921875" style="421" customWidth="1"/>
    <col min="771" max="771" width="6.69921875" style="421" customWidth="1"/>
    <col min="772" max="772" width="6.19921875" style="421" customWidth="1"/>
    <col min="773" max="773" width="6.69921875" style="421" customWidth="1"/>
    <col min="774" max="774" width="6.8984375" style="421" customWidth="1"/>
    <col min="775" max="775" width="9.5" style="421" customWidth="1"/>
    <col min="776" max="776" width="9.19921875" style="421" customWidth="1"/>
    <col min="777" max="777" width="6.5" style="421" customWidth="1"/>
    <col min="778" max="778" width="6.19921875" style="421" customWidth="1"/>
    <col min="779" max="779" width="6.69921875" style="421" customWidth="1"/>
    <col min="780" max="780" width="31.5" style="421" customWidth="1"/>
    <col min="781" max="781" width="8.8984375" style="421" customWidth="1"/>
    <col min="782" max="782" width="9.19921875" style="421" customWidth="1"/>
    <col min="783" max="784" width="7.5" style="421" customWidth="1"/>
    <col min="785" max="785" width="6.69921875" style="421" customWidth="1"/>
    <col min="786" max="786" width="11.59765625" style="421" customWidth="1"/>
    <col min="787" max="788" width="12.5" style="421" customWidth="1"/>
    <col min="789" max="792" width="7.5" style="421" customWidth="1"/>
    <col min="793" max="793" width="12.69921875" style="421" customWidth="1"/>
    <col min="794" max="1024" width="7.5" style="421" customWidth="1"/>
    <col min="1025" max="1025" width="6.09765625" style="421" customWidth="1"/>
    <col min="1026" max="1026" width="15.19921875" style="421" customWidth="1"/>
    <col min="1027" max="1027" width="6.69921875" style="421" customWidth="1"/>
    <col min="1028" max="1028" width="6.19921875" style="421" customWidth="1"/>
    <col min="1029" max="1029" width="6.69921875" style="421" customWidth="1"/>
    <col min="1030" max="1030" width="6.8984375" style="421" customWidth="1"/>
    <col min="1031" max="1031" width="9.5" style="421" customWidth="1"/>
    <col min="1032" max="1032" width="9.19921875" style="421" customWidth="1"/>
    <col min="1033" max="1033" width="6.5" style="421" customWidth="1"/>
    <col min="1034" max="1034" width="6.19921875" style="421" customWidth="1"/>
    <col min="1035" max="1035" width="6.69921875" style="421" customWidth="1"/>
    <col min="1036" max="1036" width="31.5" style="421" customWidth="1"/>
    <col min="1037" max="1037" width="8.8984375" style="421" customWidth="1"/>
    <col min="1038" max="1038" width="9.19921875" style="421" customWidth="1"/>
    <col min="1039" max="1040" width="7.5" style="421" customWidth="1"/>
    <col min="1041" max="1041" width="6.69921875" style="421" customWidth="1"/>
    <col min="1042" max="1042" width="11.59765625" style="421" customWidth="1"/>
    <col min="1043" max="1044" width="12.5" style="421" customWidth="1"/>
    <col min="1045" max="1048" width="7.5" style="421" customWidth="1"/>
    <col min="1049" max="1049" width="12.69921875" style="421" customWidth="1"/>
    <col min="1050" max="1280" width="7.5" style="421" customWidth="1"/>
    <col min="1281" max="1281" width="6.09765625" style="421" customWidth="1"/>
    <col min="1282" max="1282" width="15.19921875" style="421" customWidth="1"/>
    <col min="1283" max="1283" width="6.69921875" style="421" customWidth="1"/>
    <col min="1284" max="1284" width="6.19921875" style="421" customWidth="1"/>
    <col min="1285" max="1285" width="6.69921875" style="421" customWidth="1"/>
    <col min="1286" max="1286" width="6.8984375" style="421" customWidth="1"/>
    <col min="1287" max="1287" width="9.5" style="421" customWidth="1"/>
    <col min="1288" max="1288" width="9.19921875" style="421" customWidth="1"/>
    <col min="1289" max="1289" width="6.5" style="421" customWidth="1"/>
    <col min="1290" max="1290" width="6.19921875" style="421" customWidth="1"/>
    <col min="1291" max="1291" width="6.69921875" style="421" customWidth="1"/>
    <col min="1292" max="1292" width="31.5" style="421" customWidth="1"/>
    <col min="1293" max="1293" width="8.8984375" style="421" customWidth="1"/>
    <col min="1294" max="1294" width="9.19921875" style="421" customWidth="1"/>
    <col min="1295" max="1296" width="7.5" style="421" customWidth="1"/>
    <col min="1297" max="1297" width="6.69921875" style="421" customWidth="1"/>
    <col min="1298" max="1298" width="11.59765625" style="421" customWidth="1"/>
    <col min="1299" max="1300" width="12.5" style="421" customWidth="1"/>
    <col min="1301" max="1304" width="7.5" style="421" customWidth="1"/>
    <col min="1305" max="1305" width="12.69921875" style="421" customWidth="1"/>
    <col min="1306" max="1536" width="7.5" style="421" customWidth="1"/>
    <col min="1537" max="1537" width="6.09765625" style="421" customWidth="1"/>
    <col min="1538" max="1538" width="15.19921875" style="421" customWidth="1"/>
    <col min="1539" max="1539" width="6.69921875" style="421" customWidth="1"/>
    <col min="1540" max="1540" width="6.19921875" style="421" customWidth="1"/>
    <col min="1541" max="1541" width="6.69921875" style="421" customWidth="1"/>
    <col min="1542" max="1542" width="6.8984375" style="421" customWidth="1"/>
    <col min="1543" max="1543" width="9.5" style="421" customWidth="1"/>
    <col min="1544" max="1544" width="9.19921875" style="421" customWidth="1"/>
    <col min="1545" max="1545" width="6.5" style="421" customWidth="1"/>
    <col min="1546" max="1546" width="6.19921875" style="421" customWidth="1"/>
    <col min="1547" max="1547" width="6.69921875" style="421" customWidth="1"/>
    <col min="1548" max="1548" width="31.5" style="421" customWidth="1"/>
    <col min="1549" max="1549" width="8.8984375" style="421" customWidth="1"/>
    <col min="1550" max="1550" width="9.19921875" style="421" customWidth="1"/>
    <col min="1551" max="1552" width="7.5" style="421" customWidth="1"/>
    <col min="1553" max="1553" width="6.69921875" style="421" customWidth="1"/>
    <col min="1554" max="1554" width="11.59765625" style="421" customWidth="1"/>
    <col min="1555" max="1556" width="12.5" style="421" customWidth="1"/>
    <col min="1557" max="1560" width="7.5" style="421" customWidth="1"/>
    <col min="1561" max="1561" width="12.69921875" style="421" customWidth="1"/>
    <col min="1562" max="1792" width="7.5" style="421" customWidth="1"/>
    <col min="1793" max="1793" width="6.09765625" style="421" customWidth="1"/>
    <col min="1794" max="1794" width="15.19921875" style="421" customWidth="1"/>
    <col min="1795" max="1795" width="6.69921875" style="421" customWidth="1"/>
    <col min="1796" max="1796" width="6.19921875" style="421" customWidth="1"/>
    <col min="1797" max="1797" width="6.69921875" style="421" customWidth="1"/>
    <col min="1798" max="1798" width="6.8984375" style="421" customWidth="1"/>
    <col min="1799" max="1799" width="9.5" style="421" customWidth="1"/>
    <col min="1800" max="1800" width="9.19921875" style="421" customWidth="1"/>
    <col min="1801" max="1801" width="6.5" style="421" customWidth="1"/>
    <col min="1802" max="1802" width="6.19921875" style="421" customWidth="1"/>
    <col min="1803" max="1803" width="6.69921875" style="421" customWidth="1"/>
    <col min="1804" max="1804" width="31.5" style="421" customWidth="1"/>
    <col min="1805" max="1805" width="8.8984375" style="421" customWidth="1"/>
    <col min="1806" max="1806" width="9.19921875" style="421" customWidth="1"/>
    <col min="1807" max="1808" width="7.5" style="421" customWidth="1"/>
    <col min="1809" max="1809" width="6.69921875" style="421" customWidth="1"/>
    <col min="1810" max="1810" width="11.59765625" style="421" customWidth="1"/>
    <col min="1811" max="1812" width="12.5" style="421" customWidth="1"/>
    <col min="1813" max="1816" width="7.5" style="421" customWidth="1"/>
    <col min="1817" max="1817" width="12.69921875" style="421" customWidth="1"/>
    <col min="1818" max="2048" width="7.5" style="421" customWidth="1"/>
    <col min="2049" max="2049" width="6.09765625" style="421" customWidth="1"/>
    <col min="2050" max="2050" width="15.19921875" style="421" customWidth="1"/>
    <col min="2051" max="2051" width="6.69921875" style="421" customWidth="1"/>
    <col min="2052" max="2052" width="6.19921875" style="421" customWidth="1"/>
    <col min="2053" max="2053" width="6.69921875" style="421" customWidth="1"/>
    <col min="2054" max="2054" width="6.8984375" style="421" customWidth="1"/>
    <col min="2055" max="2055" width="9.5" style="421" customWidth="1"/>
    <col min="2056" max="2056" width="9.19921875" style="421" customWidth="1"/>
    <col min="2057" max="2057" width="6.5" style="421" customWidth="1"/>
    <col min="2058" max="2058" width="6.19921875" style="421" customWidth="1"/>
    <col min="2059" max="2059" width="6.69921875" style="421" customWidth="1"/>
    <col min="2060" max="2060" width="31.5" style="421" customWidth="1"/>
    <col min="2061" max="2061" width="8.8984375" style="421" customWidth="1"/>
    <col min="2062" max="2062" width="9.19921875" style="421" customWidth="1"/>
    <col min="2063" max="2064" width="7.5" style="421" customWidth="1"/>
    <col min="2065" max="2065" width="6.69921875" style="421" customWidth="1"/>
    <col min="2066" max="2066" width="11.59765625" style="421" customWidth="1"/>
    <col min="2067" max="2068" width="12.5" style="421" customWidth="1"/>
    <col min="2069" max="2072" width="7.5" style="421" customWidth="1"/>
    <col min="2073" max="2073" width="12.69921875" style="421" customWidth="1"/>
    <col min="2074" max="2304" width="7.5" style="421" customWidth="1"/>
    <col min="2305" max="2305" width="6.09765625" style="421" customWidth="1"/>
    <col min="2306" max="2306" width="15.19921875" style="421" customWidth="1"/>
    <col min="2307" max="2307" width="6.69921875" style="421" customWidth="1"/>
    <col min="2308" max="2308" width="6.19921875" style="421" customWidth="1"/>
    <col min="2309" max="2309" width="6.69921875" style="421" customWidth="1"/>
    <col min="2310" max="2310" width="6.8984375" style="421" customWidth="1"/>
    <col min="2311" max="2311" width="9.5" style="421" customWidth="1"/>
    <col min="2312" max="2312" width="9.19921875" style="421" customWidth="1"/>
    <col min="2313" max="2313" width="6.5" style="421" customWidth="1"/>
    <col min="2314" max="2314" width="6.19921875" style="421" customWidth="1"/>
    <col min="2315" max="2315" width="6.69921875" style="421" customWidth="1"/>
    <col min="2316" max="2316" width="31.5" style="421" customWidth="1"/>
    <col min="2317" max="2317" width="8.8984375" style="421" customWidth="1"/>
    <col min="2318" max="2318" width="9.19921875" style="421" customWidth="1"/>
    <col min="2319" max="2320" width="7.5" style="421" customWidth="1"/>
    <col min="2321" max="2321" width="6.69921875" style="421" customWidth="1"/>
    <col min="2322" max="2322" width="11.59765625" style="421" customWidth="1"/>
    <col min="2323" max="2324" width="12.5" style="421" customWidth="1"/>
    <col min="2325" max="2328" width="7.5" style="421" customWidth="1"/>
    <col min="2329" max="2329" width="12.69921875" style="421" customWidth="1"/>
    <col min="2330" max="2560" width="7.5" style="421" customWidth="1"/>
    <col min="2561" max="2561" width="6.09765625" style="421" customWidth="1"/>
    <col min="2562" max="2562" width="15.19921875" style="421" customWidth="1"/>
    <col min="2563" max="2563" width="6.69921875" style="421" customWidth="1"/>
    <col min="2564" max="2564" width="6.19921875" style="421" customWidth="1"/>
    <col min="2565" max="2565" width="6.69921875" style="421" customWidth="1"/>
    <col min="2566" max="2566" width="6.8984375" style="421" customWidth="1"/>
    <col min="2567" max="2567" width="9.5" style="421" customWidth="1"/>
    <col min="2568" max="2568" width="9.19921875" style="421" customWidth="1"/>
    <col min="2569" max="2569" width="6.5" style="421" customWidth="1"/>
    <col min="2570" max="2570" width="6.19921875" style="421" customWidth="1"/>
    <col min="2571" max="2571" width="6.69921875" style="421" customWidth="1"/>
    <col min="2572" max="2572" width="31.5" style="421" customWidth="1"/>
    <col min="2573" max="2573" width="8.8984375" style="421" customWidth="1"/>
    <col min="2574" max="2574" width="9.19921875" style="421" customWidth="1"/>
    <col min="2575" max="2576" width="7.5" style="421" customWidth="1"/>
    <col min="2577" max="2577" width="6.69921875" style="421" customWidth="1"/>
    <col min="2578" max="2578" width="11.59765625" style="421" customWidth="1"/>
    <col min="2579" max="2580" width="12.5" style="421" customWidth="1"/>
    <col min="2581" max="2584" width="7.5" style="421" customWidth="1"/>
    <col min="2585" max="2585" width="12.69921875" style="421" customWidth="1"/>
    <col min="2586" max="2816" width="7.5" style="421" customWidth="1"/>
    <col min="2817" max="2817" width="6.09765625" style="421" customWidth="1"/>
    <col min="2818" max="2818" width="15.19921875" style="421" customWidth="1"/>
    <col min="2819" max="2819" width="6.69921875" style="421" customWidth="1"/>
    <col min="2820" max="2820" width="6.19921875" style="421" customWidth="1"/>
    <col min="2821" max="2821" width="6.69921875" style="421" customWidth="1"/>
    <col min="2822" max="2822" width="6.8984375" style="421" customWidth="1"/>
    <col min="2823" max="2823" width="9.5" style="421" customWidth="1"/>
    <col min="2824" max="2824" width="9.19921875" style="421" customWidth="1"/>
    <col min="2825" max="2825" width="6.5" style="421" customWidth="1"/>
    <col min="2826" max="2826" width="6.19921875" style="421" customWidth="1"/>
    <col min="2827" max="2827" width="6.69921875" style="421" customWidth="1"/>
    <col min="2828" max="2828" width="31.5" style="421" customWidth="1"/>
    <col min="2829" max="2829" width="8.8984375" style="421" customWidth="1"/>
    <col min="2830" max="2830" width="9.19921875" style="421" customWidth="1"/>
    <col min="2831" max="2832" width="7.5" style="421" customWidth="1"/>
    <col min="2833" max="2833" width="6.69921875" style="421" customWidth="1"/>
    <col min="2834" max="2834" width="11.59765625" style="421" customWidth="1"/>
    <col min="2835" max="2836" width="12.5" style="421" customWidth="1"/>
    <col min="2837" max="2840" width="7.5" style="421" customWidth="1"/>
    <col min="2841" max="2841" width="12.69921875" style="421" customWidth="1"/>
    <col min="2842" max="3072" width="7.5" style="421" customWidth="1"/>
    <col min="3073" max="3073" width="6.09765625" style="421" customWidth="1"/>
    <col min="3074" max="3074" width="15.19921875" style="421" customWidth="1"/>
    <col min="3075" max="3075" width="6.69921875" style="421" customWidth="1"/>
    <col min="3076" max="3076" width="6.19921875" style="421" customWidth="1"/>
    <col min="3077" max="3077" width="6.69921875" style="421" customWidth="1"/>
    <col min="3078" max="3078" width="6.8984375" style="421" customWidth="1"/>
    <col min="3079" max="3079" width="9.5" style="421" customWidth="1"/>
    <col min="3080" max="3080" width="9.19921875" style="421" customWidth="1"/>
    <col min="3081" max="3081" width="6.5" style="421" customWidth="1"/>
    <col min="3082" max="3082" width="6.19921875" style="421" customWidth="1"/>
    <col min="3083" max="3083" width="6.69921875" style="421" customWidth="1"/>
    <col min="3084" max="3084" width="31.5" style="421" customWidth="1"/>
    <col min="3085" max="3085" width="8.8984375" style="421" customWidth="1"/>
    <col min="3086" max="3086" width="9.19921875" style="421" customWidth="1"/>
    <col min="3087" max="3088" width="7.5" style="421" customWidth="1"/>
    <col min="3089" max="3089" width="6.69921875" style="421" customWidth="1"/>
    <col min="3090" max="3090" width="11.59765625" style="421" customWidth="1"/>
    <col min="3091" max="3092" width="12.5" style="421" customWidth="1"/>
    <col min="3093" max="3096" width="7.5" style="421" customWidth="1"/>
    <col min="3097" max="3097" width="12.69921875" style="421" customWidth="1"/>
    <col min="3098" max="3328" width="7.5" style="421" customWidth="1"/>
    <col min="3329" max="3329" width="6.09765625" style="421" customWidth="1"/>
    <col min="3330" max="3330" width="15.19921875" style="421" customWidth="1"/>
    <col min="3331" max="3331" width="6.69921875" style="421" customWidth="1"/>
    <col min="3332" max="3332" width="6.19921875" style="421" customWidth="1"/>
    <col min="3333" max="3333" width="6.69921875" style="421" customWidth="1"/>
    <col min="3334" max="3334" width="6.8984375" style="421" customWidth="1"/>
    <col min="3335" max="3335" width="9.5" style="421" customWidth="1"/>
    <col min="3336" max="3336" width="9.19921875" style="421" customWidth="1"/>
    <col min="3337" max="3337" width="6.5" style="421" customWidth="1"/>
    <col min="3338" max="3338" width="6.19921875" style="421" customWidth="1"/>
    <col min="3339" max="3339" width="6.69921875" style="421" customWidth="1"/>
    <col min="3340" max="3340" width="31.5" style="421" customWidth="1"/>
    <col min="3341" max="3341" width="8.8984375" style="421" customWidth="1"/>
    <col min="3342" max="3342" width="9.19921875" style="421" customWidth="1"/>
    <col min="3343" max="3344" width="7.5" style="421" customWidth="1"/>
    <col min="3345" max="3345" width="6.69921875" style="421" customWidth="1"/>
    <col min="3346" max="3346" width="11.59765625" style="421" customWidth="1"/>
    <col min="3347" max="3348" width="12.5" style="421" customWidth="1"/>
    <col min="3349" max="3352" width="7.5" style="421" customWidth="1"/>
    <col min="3353" max="3353" width="12.69921875" style="421" customWidth="1"/>
    <col min="3354" max="3584" width="7.5" style="421" customWidth="1"/>
    <col min="3585" max="3585" width="6.09765625" style="421" customWidth="1"/>
    <col min="3586" max="3586" width="15.19921875" style="421" customWidth="1"/>
    <col min="3587" max="3587" width="6.69921875" style="421" customWidth="1"/>
    <col min="3588" max="3588" width="6.19921875" style="421" customWidth="1"/>
    <col min="3589" max="3589" width="6.69921875" style="421" customWidth="1"/>
    <col min="3590" max="3590" width="6.8984375" style="421" customWidth="1"/>
    <col min="3591" max="3591" width="9.5" style="421" customWidth="1"/>
    <col min="3592" max="3592" width="9.19921875" style="421" customWidth="1"/>
    <col min="3593" max="3593" width="6.5" style="421" customWidth="1"/>
    <col min="3594" max="3594" width="6.19921875" style="421" customWidth="1"/>
    <col min="3595" max="3595" width="6.69921875" style="421" customWidth="1"/>
    <col min="3596" max="3596" width="31.5" style="421" customWidth="1"/>
    <col min="3597" max="3597" width="8.8984375" style="421" customWidth="1"/>
    <col min="3598" max="3598" width="9.19921875" style="421" customWidth="1"/>
    <col min="3599" max="3600" width="7.5" style="421" customWidth="1"/>
    <col min="3601" max="3601" width="6.69921875" style="421" customWidth="1"/>
    <col min="3602" max="3602" width="11.59765625" style="421" customWidth="1"/>
    <col min="3603" max="3604" width="12.5" style="421" customWidth="1"/>
    <col min="3605" max="3608" width="7.5" style="421" customWidth="1"/>
    <col min="3609" max="3609" width="12.69921875" style="421" customWidth="1"/>
    <col min="3610" max="3840" width="7.5" style="421" customWidth="1"/>
    <col min="3841" max="3841" width="6.09765625" style="421" customWidth="1"/>
    <col min="3842" max="3842" width="15.19921875" style="421" customWidth="1"/>
    <col min="3843" max="3843" width="6.69921875" style="421" customWidth="1"/>
    <col min="3844" max="3844" width="6.19921875" style="421" customWidth="1"/>
    <col min="3845" max="3845" width="6.69921875" style="421" customWidth="1"/>
    <col min="3846" max="3846" width="6.8984375" style="421" customWidth="1"/>
    <col min="3847" max="3847" width="9.5" style="421" customWidth="1"/>
    <col min="3848" max="3848" width="9.19921875" style="421" customWidth="1"/>
    <col min="3849" max="3849" width="6.5" style="421" customWidth="1"/>
    <col min="3850" max="3850" width="6.19921875" style="421" customWidth="1"/>
    <col min="3851" max="3851" width="6.69921875" style="421" customWidth="1"/>
    <col min="3852" max="3852" width="31.5" style="421" customWidth="1"/>
    <col min="3853" max="3853" width="8.8984375" style="421" customWidth="1"/>
    <col min="3854" max="3854" width="9.19921875" style="421" customWidth="1"/>
    <col min="3855" max="3856" width="7.5" style="421" customWidth="1"/>
    <col min="3857" max="3857" width="6.69921875" style="421" customWidth="1"/>
    <col min="3858" max="3858" width="11.59765625" style="421" customWidth="1"/>
    <col min="3859" max="3860" width="12.5" style="421" customWidth="1"/>
    <col min="3861" max="3864" width="7.5" style="421" customWidth="1"/>
    <col min="3865" max="3865" width="12.69921875" style="421" customWidth="1"/>
    <col min="3866" max="4096" width="7.5" style="421" customWidth="1"/>
    <col min="4097" max="4097" width="6.09765625" style="421" customWidth="1"/>
    <col min="4098" max="4098" width="15.19921875" style="421" customWidth="1"/>
    <col min="4099" max="4099" width="6.69921875" style="421" customWidth="1"/>
    <col min="4100" max="4100" width="6.19921875" style="421" customWidth="1"/>
    <col min="4101" max="4101" width="6.69921875" style="421" customWidth="1"/>
    <col min="4102" max="4102" width="6.8984375" style="421" customWidth="1"/>
    <col min="4103" max="4103" width="9.5" style="421" customWidth="1"/>
    <col min="4104" max="4104" width="9.19921875" style="421" customWidth="1"/>
    <col min="4105" max="4105" width="6.5" style="421" customWidth="1"/>
    <col min="4106" max="4106" width="6.19921875" style="421" customWidth="1"/>
    <col min="4107" max="4107" width="6.69921875" style="421" customWidth="1"/>
    <col min="4108" max="4108" width="31.5" style="421" customWidth="1"/>
    <col min="4109" max="4109" width="8.8984375" style="421" customWidth="1"/>
    <col min="4110" max="4110" width="9.19921875" style="421" customWidth="1"/>
    <col min="4111" max="4112" width="7.5" style="421" customWidth="1"/>
    <col min="4113" max="4113" width="6.69921875" style="421" customWidth="1"/>
    <col min="4114" max="4114" width="11.59765625" style="421" customWidth="1"/>
    <col min="4115" max="4116" width="12.5" style="421" customWidth="1"/>
    <col min="4117" max="4120" width="7.5" style="421" customWidth="1"/>
    <col min="4121" max="4121" width="12.69921875" style="421" customWidth="1"/>
    <col min="4122" max="4352" width="7.5" style="421" customWidth="1"/>
    <col min="4353" max="4353" width="6.09765625" style="421" customWidth="1"/>
    <col min="4354" max="4354" width="15.19921875" style="421" customWidth="1"/>
    <col min="4355" max="4355" width="6.69921875" style="421" customWidth="1"/>
    <col min="4356" max="4356" width="6.19921875" style="421" customWidth="1"/>
    <col min="4357" max="4357" width="6.69921875" style="421" customWidth="1"/>
    <col min="4358" max="4358" width="6.8984375" style="421" customWidth="1"/>
    <col min="4359" max="4359" width="9.5" style="421" customWidth="1"/>
    <col min="4360" max="4360" width="9.19921875" style="421" customWidth="1"/>
    <col min="4361" max="4361" width="6.5" style="421" customWidth="1"/>
    <col min="4362" max="4362" width="6.19921875" style="421" customWidth="1"/>
    <col min="4363" max="4363" width="6.69921875" style="421" customWidth="1"/>
    <col min="4364" max="4364" width="31.5" style="421" customWidth="1"/>
    <col min="4365" max="4365" width="8.8984375" style="421" customWidth="1"/>
    <col min="4366" max="4366" width="9.19921875" style="421" customWidth="1"/>
    <col min="4367" max="4368" width="7.5" style="421" customWidth="1"/>
    <col min="4369" max="4369" width="6.69921875" style="421" customWidth="1"/>
    <col min="4370" max="4370" width="11.59765625" style="421" customWidth="1"/>
    <col min="4371" max="4372" width="12.5" style="421" customWidth="1"/>
    <col min="4373" max="4376" width="7.5" style="421" customWidth="1"/>
    <col min="4377" max="4377" width="12.69921875" style="421" customWidth="1"/>
    <col min="4378" max="4608" width="7.5" style="421" customWidth="1"/>
    <col min="4609" max="4609" width="6.09765625" style="421" customWidth="1"/>
    <col min="4610" max="4610" width="15.19921875" style="421" customWidth="1"/>
    <col min="4611" max="4611" width="6.69921875" style="421" customWidth="1"/>
    <col min="4612" max="4612" width="6.19921875" style="421" customWidth="1"/>
    <col min="4613" max="4613" width="6.69921875" style="421" customWidth="1"/>
    <col min="4614" max="4614" width="6.8984375" style="421" customWidth="1"/>
    <col min="4615" max="4615" width="9.5" style="421" customWidth="1"/>
    <col min="4616" max="4616" width="9.19921875" style="421" customWidth="1"/>
    <col min="4617" max="4617" width="6.5" style="421" customWidth="1"/>
    <col min="4618" max="4618" width="6.19921875" style="421" customWidth="1"/>
    <col min="4619" max="4619" width="6.69921875" style="421" customWidth="1"/>
    <col min="4620" max="4620" width="31.5" style="421" customWidth="1"/>
    <col min="4621" max="4621" width="8.8984375" style="421" customWidth="1"/>
    <col min="4622" max="4622" width="9.19921875" style="421" customWidth="1"/>
    <col min="4623" max="4624" width="7.5" style="421" customWidth="1"/>
    <col min="4625" max="4625" width="6.69921875" style="421" customWidth="1"/>
    <col min="4626" max="4626" width="11.59765625" style="421" customWidth="1"/>
    <col min="4627" max="4628" width="12.5" style="421" customWidth="1"/>
    <col min="4629" max="4632" width="7.5" style="421" customWidth="1"/>
    <col min="4633" max="4633" width="12.69921875" style="421" customWidth="1"/>
    <col min="4634" max="4864" width="7.5" style="421" customWidth="1"/>
    <col min="4865" max="4865" width="6.09765625" style="421" customWidth="1"/>
    <col min="4866" max="4866" width="15.19921875" style="421" customWidth="1"/>
    <col min="4867" max="4867" width="6.69921875" style="421" customWidth="1"/>
    <col min="4868" max="4868" width="6.19921875" style="421" customWidth="1"/>
    <col min="4869" max="4869" width="6.69921875" style="421" customWidth="1"/>
    <col min="4870" max="4870" width="6.8984375" style="421" customWidth="1"/>
    <col min="4871" max="4871" width="9.5" style="421" customWidth="1"/>
    <col min="4872" max="4872" width="9.19921875" style="421" customWidth="1"/>
    <col min="4873" max="4873" width="6.5" style="421" customWidth="1"/>
    <col min="4874" max="4874" width="6.19921875" style="421" customWidth="1"/>
    <col min="4875" max="4875" width="6.69921875" style="421" customWidth="1"/>
    <col min="4876" max="4876" width="31.5" style="421" customWidth="1"/>
    <col min="4877" max="4877" width="8.8984375" style="421" customWidth="1"/>
    <col min="4878" max="4878" width="9.19921875" style="421" customWidth="1"/>
    <col min="4879" max="4880" width="7.5" style="421" customWidth="1"/>
    <col min="4881" max="4881" width="6.69921875" style="421" customWidth="1"/>
    <col min="4882" max="4882" width="11.59765625" style="421" customWidth="1"/>
    <col min="4883" max="4884" width="12.5" style="421" customWidth="1"/>
    <col min="4885" max="4888" width="7.5" style="421" customWidth="1"/>
    <col min="4889" max="4889" width="12.69921875" style="421" customWidth="1"/>
    <col min="4890" max="5120" width="7.5" style="421" customWidth="1"/>
    <col min="5121" max="5121" width="6.09765625" style="421" customWidth="1"/>
    <col min="5122" max="5122" width="15.19921875" style="421" customWidth="1"/>
    <col min="5123" max="5123" width="6.69921875" style="421" customWidth="1"/>
    <col min="5124" max="5124" width="6.19921875" style="421" customWidth="1"/>
    <col min="5125" max="5125" width="6.69921875" style="421" customWidth="1"/>
    <col min="5126" max="5126" width="6.8984375" style="421" customWidth="1"/>
    <col min="5127" max="5127" width="9.5" style="421" customWidth="1"/>
    <col min="5128" max="5128" width="9.19921875" style="421" customWidth="1"/>
    <col min="5129" max="5129" width="6.5" style="421" customWidth="1"/>
    <col min="5130" max="5130" width="6.19921875" style="421" customWidth="1"/>
    <col min="5131" max="5131" width="6.69921875" style="421" customWidth="1"/>
    <col min="5132" max="5132" width="31.5" style="421" customWidth="1"/>
    <col min="5133" max="5133" width="8.8984375" style="421" customWidth="1"/>
    <col min="5134" max="5134" width="9.19921875" style="421" customWidth="1"/>
    <col min="5135" max="5136" width="7.5" style="421" customWidth="1"/>
    <col min="5137" max="5137" width="6.69921875" style="421" customWidth="1"/>
    <col min="5138" max="5138" width="11.59765625" style="421" customWidth="1"/>
    <col min="5139" max="5140" width="12.5" style="421" customWidth="1"/>
    <col min="5141" max="5144" width="7.5" style="421" customWidth="1"/>
    <col min="5145" max="5145" width="12.69921875" style="421" customWidth="1"/>
    <col min="5146" max="5376" width="7.5" style="421" customWidth="1"/>
    <col min="5377" max="5377" width="6.09765625" style="421" customWidth="1"/>
    <col min="5378" max="5378" width="15.19921875" style="421" customWidth="1"/>
    <col min="5379" max="5379" width="6.69921875" style="421" customWidth="1"/>
    <col min="5380" max="5380" width="6.19921875" style="421" customWidth="1"/>
    <col min="5381" max="5381" width="6.69921875" style="421" customWidth="1"/>
    <col min="5382" max="5382" width="6.8984375" style="421" customWidth="1"/>
    <col min="5383" max="5383" width="9.5" style="421" customWidth="1"/>
    <col min="5384" max="5384" width="9.19921875" style="421" customWidth="1"/>
    <col min="5385" max="5385" width="6.5" style="421" customWidth="1"/>
    <col min="5386" max="5386" width="6.19921875" style="421" customWidth="1"/>
    <col min="5387" max="5387" width="6.69921875" style="421" customWidth="1"/>
    <col min="5388" max="5388" width="31.5" style="421" customWidth="1"/>
    <col min="5389" max="5389" width="8.8984375" style="421" customWidth="1"/>
    <col min="5390" max="5390" width="9.19921875" style="421" customWidth="1"/>
    <col min="5391" max="5392" width="7.5" style="421" customWidth="1"/>
    <col min="5393" max="5393" width="6.69921875" style="421" customWidth="1"/>
    <col min="5394" max="5394" width="11.59765625" style="421" customWidth="1"/>
    <col min="5395" max="5396" width="12.5" style="421" customWidth="1"/>
    <col min="5397" max="5400" width="7.5" style="421" customWidth="1"/>
    <col min="5401" max="5401" width="12.69921875" style="421" customWidth="1"/>
    <col min="5402" max="5632" width="7.5" style="421" customWidth="1"/>
    <col min="5633" max="5633" width="6.09765625" style="421" customWidth="1"/>
    <col min="5634" max="5634" width="15.19921875" style="421" customWidth="1"/>
    <col min="5635" max="5635" width="6.69921875" style="421" customWidth="1"/>
    <col min="5636" max="5636" width="6.19921875" style="421" customWidth="1"/>
    <col min="5637" max="5637" width="6.69921875" style="421" customWidth="1"/>
    <col min="5638" max="5638" width="6.8984375" style="421" customWidth="1"/>
    <col min="5639" max="5639" width="9.5" style="421" customWidth="1"/>
    <col min="5640" max="5640" width="9.19921875" style="421" customWidth="1"/>
    <col min="5641" max="5641" width="6.5" style="421" customWidth="1"/>
    <col min="5642" max="5642" width="6.19921875" style="421" customWidth="1"/>
    <col min="5643" max="5643" width="6.69921875" style="421" customWidth="1"/>
    <col min="5644" max="5644" width="31.5" style="421" customWidth="1"/>
    <col min="5645" max="5645" width="8.8984375" style="421" customWidth="1"/>
    <col min="5646" max="5646" width="9.19921875" style="421" customWidth="1"/>
    <col min="5647" max="5648" width="7.5" style="421" customWidth="1"/>
    <col min="5649" max="5649" width="6.69921875" style="421" customWidth="1"/>
    <col min="5650" max="5650" width="11.59765625" style="421" customWidth="1"/>
    <col min="5651" max="5652" width="12.5" style="421" customWidth="1"/>
    <col min="5653" max="5656" width="7.5" style="421" customWidth="1"/>
    <col min="5657" max="5657" width="12.69921875" style="421" customWidth="1"/>
    <col min="5658" max="5888" width="7.5" style="421" customWidth="1"/>
    <col min="5889" max="5889" width="6.09765625" style="421" customWidth="1"/>
    <col min="5890" max="5890" width="15.19921875" style="421" customWidth="1"/>
    <col min="5891" max="5891" width="6.69921875" style="421" customWidth="1"/>
    <col min="5892" max="5892" width="6.19921875" style="421" customWidth="1"/>
    <col min="5893" max="5893" width="6.69921875" style="421" customWidth="1"/>
    <col min="5894" max="5894" width="6.8984375" style="421" customWidth="1"/>
    <col min="5895" max="5895" width="9.5" style="421" customWidth="1"/>
    <col min="5896" max="5896" width="9.19921875" style="421" customWidth="1"/>
    <col min="5897" max="5897" width="6.5" style="421" customWidth="1"/>
    <col min="5898" max="5898" width="6.19921875" style="421" customWidth="1"/>
    <col min="5899" max="5899" width="6.69921875" style="421" customWidth="1"/>
    <col min="5900" max="5900" width="31.5" style="421" customWidth="1"/>
    <col min="5901" max="5901" width="8.8984375" style="421" customWidth="1"/>
    <col min="5902" max="5902" width="9.19921875" style="421" customWidth="1"/>
    <col min="5903" max="5904" width="7.5" style="421" customWidth="1"/>
    <col min="5905" max="5905" width="6.69921875" style="421" customWidth="1"/>
    <col min="5906" max="5906" width="11.59765625" style="421" customWidth="1"/>
    <col min="5907" max="5908" width="12.5" style="421" customWidth="1"/>
    <col min="5909" max="5912" width="7.5" style="421" customWidth="1"/>
    <col min="5913" max="5913" width="12.69921875" style="421" customWidth="1"/>
    <col min="5914" max="6144" width="7.5" style="421" customWidth="1"/>
    <col min="6145" max="6145" width="6.09765625" style="421" customWidth="1"/>
    <col min="6146" max="6146" width="15.19921875" style="421" customWidth="1"/>
    <col min="6147" max="6147" width="6.69921875" style="421" customWidth="1"/>
    <col min="6148" max="6148" width="6.19921875" style="421" customWidth="1"/>
    <col min="6149" max="6149" width="6.69921875" style="421" customWidth="1"/>
    <col min="6150" max="6150" width="6.8984375" style="421" customWidth="1"/>
    <col min="6151" max="6151" width="9.5" style="421" customWidth="1"/>
    <col min="6152" max="6152" width="9.19921875" style="421" customWidth="1"/>
    <col min="6153" max="6153" width="6.5" style="421" customWidth="1"/>
    <col min="6154" max="6154" width="6.19921875" style="421" customWidth="1"/>
    <col min="6155" max="6155" width="6.69921875" style="421" customWidth="1"/>
    <col min="6156" max="6156" width="31.5" style="421" customWidth="1"/>
    <col min="6157" max="6157" width="8.8984375" style="421" customWidth="1"/>
    <col min="6158" max="6158" width="9.19921875" style="421" customWidth="1"/>
    <col min="6159" max="6160" width="7.5" style="421" customWidth="1"/>
    <col min="6161" max="6161" width="6.69921875" style="421" customWidth="1"/>
    <col min="6162" max="6162" width="11.59765625" style="421" customWidth="1"/>
    <col min="6163" max="6164" width="12.5" style="421" customWidth="1"/>
    <col min="6165" max="6168" width="7.5" style="421" customWidth="1"/>
    <col min="6169" max="6169" width="12.69921875" style="421" customWidth="1"/>
    <col min="6170" max="6400" width="7.5" style="421" customWidth="1"/>
    <col min="6401" max="6401" width="6.09765625" style="421" customWidth="1"/>
    <col min="6402" max="6402" width="15.19921875" style="421" customWidth="1"/>
    <col min="6403" max="6403" width="6.69921875" style="421" customWidth="1"/>
    <col min="6404" max="6404" width="6.19921875" style="421" customWidth="1"/>
    <col min="6405" max="6405" width="6.69921875" style="421" customWidth="1"/>
    <col min="6406" max="6406" width="6.8984375" style="421" customWidth="1"/>
    <col min="6407" max="6407" width="9.5" style="421" customWidth="1"/>
    <col min="6408" max="6408" width="9.19921875" style="421" customWidth="1"/>
    <col min="6409" max="6409" width="6.5" style="421" customWidth="1"/>
    <col min="6410" max="6410" width="6.19921875" style="421" customWidth="1"/>
    <col min="6411" max="6411" width="6.69921875" style="421" customWidth="1"/>
    <col min="6412" max="6412" width="31.5" style="421" customWidth="1"/>
    <col min="6413" max="6413" width="8.8984375" style="421" customWidth="1"/>
    <col min="6414" max="6414" width="9.19921875" style="421" customWidth="1"/>
    <col min="6415" max="6416" width="7.5" style="421" customWidth="1"/>
    <col min="6417" max="6417" width="6.69921875" style="421" customWidth="1"/>
    <col min="6418" max="6418" width="11.59765625" style="421" customWidth="1"/>
    <col min="6419" max="6420" width="12.5" style="421" customWidth="1"/>
    <col min="6421" max="6424" width="7.5" style="421" customWidth="1"/>
    <col min="6425" max="6425" width="12.69921875" style="421" customWidth="1"/>
    <col min="6426" max="6656" width="7.5" style="421" customWidth="1"/>
    <col min="6657" max="6657" width="6.09765625" style="421" customWidth="1"/>
    <col min="6658" max="6658" width="15.19921875" style="421" customWidth="1"/>
    <col min="6659" max="6659" width="6.69921875" style="421" customWidth="1"/>
    <col min="6660" max="6660" width="6.19921875" style="421" customWidth="1"/>
    <col min="6661" max="6661" width="6.69921875" style="421" customWidth="1"/>
    <col min="6662" max="6662" width="6.8984375" style="421" customWidth="1"/>
    <col min="6663" max="6663" width="9.5" style="421" customWidth="1"/>
    <col min="6664" max="6664" width="9.19921875" style="421" customWidth="1"/>
    <col min="6665" max="6665" width="6.5" style="421" customWidth="1"/>
    <col min="6666" max="6666" width="6.19921875" style="421" customWidth="1"/>
    <col min="6667" max="6667" width="6.69921875" style="421" customWidth="1"/>
    <col min="6668" max="6668" width="31.5" style="421" customWidth="1"/>
    <col min="6669" max="6669" width="8.8984375" style="421" customWidth="1"/>
    <col min="6670" max="6670" width="9.19921875" style="421" customWidth="1"/>
    <col min="6671" max="6672" width="7.5" style="421" customWidth="1"/>
    <col min="6673" max="6673" width="6.69921875" style="421" customWidth="1"/>
    <col min="6674" max="6674" width="11.59765625" style="421" customWidth="1"/>
    <col min="6675" max="6676" width="12.5" style="421" customWidth="1"/>
    <col min="6677" max="6680" width="7.5" style="421" customWidth="1"/>
    <col min="6681" max="6681" width="12.69921875" style="421" customWidth="1"/>
    <col min="6682" max="6912" width="7.5" style="421" customWidth="1"/>
    <col min="6913" max="6913" width="6.09765625" style="421" customWidth="1"/>
    <col min="6914" max="6914" width="15.19921875" style="421" customWidth="1"/>
    <col min="6915" max="6915" width="6.69921875" style="421" customWidth="1"/>
    <col min="6916" max="6916" width="6.19921875" style="421" customWidth="1"/>
    <col min="6917" max="6917" width="6.69921875" style="421" customWidth="1"/>
    <col min="6918" max="6918" width="6.8984375" style="421" customWidth="1"/>
    <col min="6919" max="6919" width="9.5" style="421" customWidth="1"/>
    <col min="6920" max="6920" width="9.19921875" style="421" customWidth="1"/>
    <col min="6921" max="6921" width="6.5" style="421" customWidth="1"/>
    <col min="6922" max="6922" width="6.19921875" style="421" customWidth="1"/>
    <col min="6923" max="6923" width="6.69921875" style="421" customWidth="1"/>
    <col min="6924" max="6924" width="31.5" style="421" customWidth="1"/>
    <col min="6925" max="6925" width="8.8984375" style="421" customWidth="1"/>
    <col min="6926" max="6926" width="9.19921875" style="421" customWidth="1"/>
    <col min="6927" max="6928" width="7.5" style="421" customWidth="1"/>
    <col min="6929" max="6929" width="6.69921875" style="421" customWidth="1"/>
    <col min="6930" max="6930" width="11.59765625" style="421" customWidth="1"/>
    <col min="6931" max="6932" width="12.5" style="421" customWidth="1"/>
    <col min="6933" max="6936" width="7.5" style="421" customWidth="1"/>
    <col min="6937" max="6937" width="12.69921875" style="421" customWidth="1"/>
    <col min="6938" max="7168" width="7.5" style="421" customWidth="1"/>
    <col min="7169" max="7169" width="6.09765625" style="421" customWidth="1"/>
    <col min="7170" max="7170" width="15.19921875" style="421" customWidth="1"/>
    <col min="7171" max="7171" width="6.69921875" style="421" customWidth="1"/>
    <col min="7172" max="7172" width="6.19921875" style="421" customWidth="1"/>
    <col min="7173" max="7173" width="6.69921875" style="421" customWidth="1"/>
    <col min="7174" max="7174" width="6.8984375" style="421" customWidth="1"/>
    <col min="7175" max="7175" width="9.5" style="421" customWidth="1"/>
    <col min="7176" max="7176" width="9.19921875" style="421" customWidth="1"/>
    <col min="7177" max="7177" width="6.5" style="421" customWidth="1"/>
    <col min="7178" max="7178" width="6.19921875" style="421" customWidth="1"/>
    <col min="7179" max="7179" width="6.69921875" style="421" customWidth="1"/>
    <col min="7180" max="7180" width="31.5" style="421" customWidth="1"/>
    <col min="7181" max="7181" width="8.8984375" style="421" customWidth="1"/>
    <col min="7182" max="7182" width="9.19921875" style="421" customWidth="1"/>
    <col min="7183" max="7184" width="7.5" style="421" customWidth="1"/>
    <col min="7185" max="7185" width="6.69921875" style="421" customWidth="1"/>
    <col min="7186" max="7186" width="11.59765625" style="421" customWidth="1"/>
    <col min="7187" max="7188" width="12.5" style="421" customWidth="1"/>
    <col min="7189" max="7192" width="7.5" style="421" customWidth="1"/>
    <col min="7193" max="7193" width="12.69921875" style="421" customWidth="1"/>
    <col min="7194" max="7424" width="7.5" style="421" customWidth="1"/>
    <col min="7425" max="7425" width="6.09765625" style="421" customWidth="1"/>
    <col min="7426" max="7426" width="15.19921875" style="421" customWidth="1"/>
    <col min="7427" max="7427" width="6.69921875" style="421" customWidth="1"/>
    <col min="7428" max="7428" width="6.19921875" style="421" customWidth="1"/>
    <col min="7429" max="7429" width="6.69921875" style="421" customWidth="1"/>
    <col min="7430" max="7430" width="6.8984375" style="421" customWidth="1"/>
    <col min="7431" max="7431" width="9.5" style="421" customWidth="1"/>
    <col min="7432" max="7432" width="9.19921875" style="421" customWidth="1"/>
    <col min="7433" max="7433" width="6.5" style="421" customWidth="1"/>
    <col min="7434" max="7434" width="6.19921875" style="421" customWidth="1"/>
    <col min="7435" max="7435" width="6.69921875" style="421" customWidth="1"/>
    <col min="7436" max="7436" width="31.5" style="421" customWidth="1"/>
    <col min="7437" max="7437" width="8.8984375" style="421" customWidth="1"/>
    <col min="7438" max="7438" width="9.19921875" style="421" customWidth="1"/>
    <col min="7439" max="7440" width="7.5" style="421" customWidth="1"/>
    <col min="7441" max="7441" width="6.69921875" style="421" customWidth="1"/>
    <col min="7442" max="7442" width="11.59765625" style="421" customWidth="1"/>
    <col min="7443" max="7444" width="12.5" style="421" customWidth="1"/>
    <col min="7445" max="7448" width="7.5" style="421" customWidth="1"/>
    <col min="7449" max="7449" width="12.69921875" style="421" customWidth="1"/>
    <col min="7450" max="7680" width="7.5" style="421" customWidth="1"/>
    <col min="7681" max="7681" width="6.09765625" style="421" customWidth="1"/>
    <col min="7682" max="7682" width="15.19921875" style="421" customWidth="1"/>
    <col min="7683" max="7683" width="6.69921875" style="421" customWidth="1"/>
    <col min="7684" max="7684" width="6.19921875" style="421" customWidth="1"/>
    <col min="7685" max="7685" width="6.69921875" style="421" customWidth="1"/>
    <col min="7686" max="7686" width="6.8984375" style="421" customWidth="1"/>
    <col min="7687" max="7687" width="9.5" style="421" customWidth="1"/>
    <col min="7688" max="7688" width="9.19921875" style="421" customWidth="1"/>
    <col min="7689" max="7689" width="6.5" style="421" customWidth="1"/>
    <col min="7690" max="7690" width="6.19921875" style="421" customWidth="1"/>
    <col min="7691" max="7691" width="6.69921875" style="421" customWidth="1"/>
    <col min="7692" max="7692" width="31.5" style="421" customWidth="1"/>
    <col min="7693" max="7693" width="8.8984375" style="421" customWidth="1"/>
    <col min="7694" max="7694" width="9.19921875" style="421" customWidth="1"/>
    <col min="7695" max="7696" width="7.5" style="421" customWidth="1"/>
    <col min="7697" max="7697" width="6.69921875" style="421" customWidth="1"/>
    <col min="7698" max="7698" width="11.59765625" style="421" customWidth="1"/>
    <col min="7699" max="7700" width="12.5" style="421" customWidth="1"/>
    <col min="7701" max="7704" width="7.5" style="421" customWidth="1"/>
    <col min="7705" max="7705" width="12.69921875" style="421" customWidth="1"/>
    <col min="7706" max="7936" width="7.5" style="421" customWidth="1"/>
    <col min="7937" max="7937" width="6.09765625" style="421" customWidth="1"/>
    <col min="7938" max="7938" width="15.19921875" style="421" customWidth="1"/>
    <col min="7939" max="7939" width="6.69921875" style="421" customWidth="1"/>
    <col min="7940" max="7940" width="6.19921875" style="421" customWidth="1"/>
    <col min="7941" max="7941" width="6.69921875" style="421" customWidth="1"/>
    <col min="7942" max="7942" width="6.8984375" style="421" customWidth="1"/>
    <col min="7943" max="7943" width="9.5" style="421" customWidth="1"/>
    <col min="7944" max="7944" width="9.19921875" style="421" customWidth="1"/>
    <col min="7945" max="7945" width="6.5" style="421" customWidth="1"/>
    <col min="7946" max="7946" width="6.19921875" style="421" customWidth="1"/>
    <col min="7947" max="7947" width="6.69921875" style="421" customWidth="1"/>
    <col min="7948" max="7948" width="31.5" style="421" customWidth="1"/>
    <col min="7949" max="7949" width="8.8984375" style="421" customWidth="1"/>
    <col min="7950" max="7950" width="9.19921875" style="421" customWidth="1"/>
    <col min="7951" max="7952" width="7.5" style="421" customWidth="1"/>
    <col min="7953" max="7953" width="6.69921875" style="421" customWidth="1"/>
    <col min="7954" max="7954" width="11.59765625" style="421" customWidth="1"/>
    <col min="7955" max="7956" width="12.5" style="421" customWidth="1"/>
    <col min="7957" max="7960" width="7.5" style="421" customWidth="1"/>
    <col min="7961" max="7961" width="12.69921875" style="421" customWidth="1"/>
    <col min="7962" max="8192" width="7.5" style="421" customWidth="1"/>
    <col min="8193" max="8193" width="6.09765625" style="421" customWidth="1"/>
    <col min="8194" max="8194" width="15.19921875" style="421" customWidth="1"/>
    <col min="8195" max="8195" width="6.69921875" style="421" customWidth="1"/>
    <col min="8196" max="8196" width="6.19921875" style="421" customWidth="1"/>
    <col min="8197" max="8197" width="6.69921875" style="421" customWidth="1"/>
    <col min="8198" max="8198" width="6.8984375" style="421" customWidth="1"/>
    <col min="8199" max="8199" width="9.5" style="421" customWidth="1"/>
    <col min="8200" max="8200" width="9.19921875" style="421" customWidth="1"/>
    <col min="8201" max="8201" width="6.5" style="421" customWidth="1"/>
    <col min="8202" max="8202" width="6.19921875" style="421" customWidth="1"/>
    <col min="8203" max="8203" width="6.69921875" style="421" customWidth="1"/>
    <col min="8204" max="8204" width="31.5" style="421" customWidth="1"/>
    <col min="8205" max="8205" width="8.8984375" style="421" customWidth="1"/>
    <col min="8206" max="8206" width="9.19921875" style="421" customWidth="1"/>
    <col min="8207" max="8208" width="7.5" style="421" customWidth="1"/>
    <col min="8209" max="8209" width="6.69921875" style="421" customWidth="1"/>
    <col min="8210" max="8210" width="11.59765625" style="421" customWidth="1"/>
    <col min="8211" max="8212" width="12.5" style="421" customWidth="1"/>
    <col min="8213" max="8216" width="7.5" style="421" customWidth="1"/>
    <col min="8217" max="8217" width="12.69921875" style="421" customWidth="1"/>
    <col min="8218" max="8448" width="7.5" style="421" customWidth="1"/>
    <col min="8449" max="8449" width="6.09765625" style="421" customWidth="1"/>
    <col min="8450" max="8450" width="15.19921875" style="421" customWidth="1"/>
    <col min="8451" max="8451" width="6.69921875" style="421" customWidth="1"/>
    <col min="8452" max="8452" width="6.19921875" style="421" customWidth="1"/>
    <col min="8453" max="8453" width="6.69921875" style="421" customWidth="1"/>
    <col min="8454" max="8454" width="6.8984375" style="421" customWidth="1"/>
    <col min="8455" max="8455" width="9.5" style="421" customWidth="1"/>
    <col min="8456" max="8456" width="9.19921875" style="421" customWidth="1"/>
    <col min="8457" max="8457" width="6.5" style="421" customWidth="1"/>
    <col min="8458" max="8458" width="6.19921875" style="421" customWidth="1"/>
    <col min="8459" max="8459" width="6.69921875" style="421" customWidth="1"/>
    <col min="8460" max="8460" width="31.5" style="421" customWidth="1"/>
    <col min="8461" max="8461" width="8.8984375" style="421" customWidth="1"/>
    <col min="8462" max="8462" width="9.19921875" style="421" customWidth="1"/>
    <col min="8463" max="8464" width="7.5" style="421" customWidth="1"/>
    <col min="8465" max="8465" width="6.69921875" style="421" customWidth="1"/>
    <col min="8466" max="8466" width="11.59765625" style="421" customWidth="1"/>
    <col min="8467" max="8468" width="12.5" style="421" customWidth="1"/>
    <col min="8469" max="8472" width="7.5" style="421" customWidth="1"/>
    <col min="8473" max="8473" width="12.69921875" style="421" customWidth="1"/>
    <col min="8474" max="8704" width="7.5" style="421" customWidth="1"/>
    <col min="8705" max="8705" width="6.09765625" style="421" customWidth="1"/>
    <col min="8706" max="8706" width="15.19921875" style="421" customWidth="1"/>
    <col min="8707" max="8707" width="6.69921875" style="421" customWidth="1"/>
    <col min="8708" max="8708" width="6.19921875" style="421" customWidth="1"/>
    <col min="8709" max="8709" width="6.69921875" style="421" customWidth="1"/>
    <col min="8710" max="8710" width="6.8984375" style="421" customWidth="1"/>
    <col min="8711" max="8711" width="9.5" style="421" customWidth="1"/>
    <col min="8712" max="8712" width="9.19921875" style="421" customWidth="1"/>
    <col min="8713" max="8713" width="6.5" style="421" customWidth="1"/>
    <col min="8714" max="8714" width="6.19921875" style="421" customWidth="1"/>
    <col min="8715" max="8715" width="6.69921875" style="421" customWidth="1"/>
    <col min="8716" max="8716" width="31.5" style="421" customWidth="1"/>
    <col min="8717" max="8717" width="8.8984375" style="421" customWidth="1"/>
    <col min="8718" max="8718" width="9.19921875" style="421" customWidth="1"/>
    <col min="8719" max="8720" width="7.5" style="421" customWidth="1"/>
    <col min="8721" max="8721" width="6.69921875" style="421" customWidth="1"/>
    <col min="8722" max="8722" width="11.59765625" style="421" customWidth="1"/>
    <col min="8723" max="8724" width="12.5" style="421" customWidth="1"/>
    <col min="8725" max="8728" width="7.5" style="421" customWidth="1"/>
    <col min="8729" max="8729" width="12.69921875" style="421" customWidth="1"/>
    <col min="8730" max="8960" width="7.5" style="421" customWidth="1"/>
    <col min="8961" max="8961" width="6.09765625" style="421" customWidth="1"/>
    <col min="8962" max="8962" width="15.19921875" style="421" customWidth="1"/>
    <col min="8963" max="8963" width="6.69921875" style="421" customWidth="1"/>
    <col min="8964" max="8964" width="6.19921875" style="421" customWidth="1"/>
    <col min="8965" max="8965" width="6.69921875" style="421" customWidth="1"/>
    <col min="8966" max="8966" width="6.8984375" style="421" customWidth="1"/>
    <col min="8967" max="8967" width="9.5" style="421" customWidth="1"/>
    <col min="8968" max="8968" width="9.19921875" style="421" customWidth="1"/>
    <col min="8969" max="8969" width="6.5" style="421" customWidth="1"/>
    <col min="8970" max="8970" width="6.19921875" style="421" customWidth="1"/>
    <col min="8971" max="8971" width="6.69921875" style="421" customWidth="1"/>
    <col min="8972" max="8972" width="31.5" style="421" customWidth="1"/>
    <col min="8973" max="8973" width="8.8984375" style="421" customWidth="1"/>
    <col min="8974" max="8974" width="9.19921875" style="421" customWidth="1"/>
    <col min="8975" max="8976" width="7.5" style="421" customWidth="1"/>
    <col min="8977" max="8977" width="6.69921875" style="421" customWidth="1"/>
    <col min="8978" max="8978" width="11.59765625" style="421" customWidth="1"/>
    <col min="8979" max="8980" width="12.5" style="421" customWidth="1"/>
    <col min="8981" max="8984" width="7.5" style="421" customWidth="1"/>
    <col min="8985" max="8985" width="12.69921875" style="421" customWidth="1"/>
    <col min="8986" max="9216" width="7.5" style="421" customWidth="1"/>
    <col min="9217" max="9217" width="6.09765625" style="421" customWidth="1"/>
    <col min="9218" max="9218" width="15.19921875" style="421" customWidth="1"/>
    <col min="9219" max="9219" width="6.69921875" style="421" customWidth="1"/>
    <col min="9220" max="9220" width="6.19921875" style="421" customWidth="1"/>
    <col min="9221" max="9221" width="6.69921875" style="421" customWidth="1"/>
    <col min="9222" max="9222" width="6.8984375" style="421" customWidth="1"/>
    <col min="9223" max="9223" width="9.5" style="421" customWidth="1"/>
    <col min="9224" max="9224" width="9.19921875" style="421" customWidth="1"/>
    <col min="9225" max="9225" width="6.5" style="421" customWidth="1"/>
    <col min="9226" max="9226" width="6.19921875" style="421" customWidth="1"/>
    <col min="9227" max="9227" width="6.69921875" style="421" customWidth="1"/>
    <col min="9228" max="9228" width="31.5" style="421" customWidth="1"/>
    <col min="9229" max="9229" width="8.8984375" style="421" customWidth="1"/>
    <col min="9230" max="9230" width="9.19921875" style="421" customWidth="1"/>
    <col min="9231" max="9232" width="7.5" style="421" customWidth="1"/>
    <col min="9233" max="9233" width="6.69921875" style="421" customWidth="1"/>
    <col min="9234" max="9234" width="11.59765625" style="421" customWidth="1"/>
    <col min="9235" max="9236" width="12.5" style="421" customWidth="1"/>
    <col min="9237" max="9240" width="7.5" style="421" customWidth="1"/>
    <col min="9241" max="9241" width="12.69921875" style="421" customWidth="1"/>
    <col min="9242" max="9472" width="7.5" style="421" customWidth="1"/>
    <col min="9473" max="9473" width="6.09765625" style="421" customWidth="1"/>
    <col min="9474" max="9474" width="15.19921875" style="421" customWidth="1"/>
    <col min="9475" max="9475" width="6.69921875" style="421" customWidth="1"/>
    <col min="9476" max="9476" width="6.19921875" style="421" customWidth="1"/>
    <col min="9477" max="9477" width="6.69921875" style="421" customWidth="1"/>
    <col min="9478" max="9478" width="6.8984375" style="421" customWidth="1"/>
    <col min="9479" max="9479" width="9.5" style="421" customWidth="1"/>
    <col min="9480" max="9480" width="9.19921875" style="421" customWidth="1"/>
    <col min="9481" max="9481" width="6.5" style="421" customWidth="1"/>
    <col min="9482" max="9482" width="6.19921875" style="421" customWidth="1"/>
    <col min="9483" max="9483" width="6.69921875" style="421" customWidth="1"/>
    <col min="9484" max="9484" width="31.5" style="421" customWidth="1"/>
    <col min="9485" max="9485" width="8.8984375" style="421" customWidth="1"/>
    <col min="9486" max="9486" width="9.19921875" style="421" customWidth="1"/>
    <col min="9487" max="9488" width="7.5" style="421" customWidth="1"/>
    <col min="9489" max="9489" width="6.69921875" style="421" customWidth="1"/>
    <col min="9490" max="9490" width="11.59765625" style="421" customWidth="1"/>
    <col min="9491" max="9492" width="12.5" style="421" customWidth="1"/>
    <col min="9493" max="9496" width="7.5" style="421" customWidth="1"/>
    <col min="9497" max="9497" width="12.69921875" style="421" customWidth="1"/>
    <col min="9498" max="9728" width="7.5" style="421" customWidth="1"/>
    <col min="9729" max="9729" width="6.09765625" style="421" customWidth="1"/>
    <col min="9730" max="9730" width="15.19921875" style="421" customWidth="1"/>
    <col min="9731" max="9731" width="6.69921875" style="421" customWidth="1"/>
    <col min="9732" max="9732" width="6.19921875" style="421" customWidth="1"/>
    <col min="9733" max="9733" width="6.69921875" style="421" customWidth="1"/>
    <col min="9734" max="9734" width="6.8984375" style="421" customWidth="1"/>
    <col min="9735" max="9735" width="9.5" style="421" customWidth="1"/>
    <col min="9736" max="9736" width="9.19921875" style="421" customWidth="1"/>
    <col min="9737" max="9737" width="6.5" style="421" customWidth="1"/>
    <col min="9738" max="9738" width="6.19921875" style="421" customWidth="1"/>
    <col min="9739" max="9739" width="6.69921875" style="421" customWidth="1"/>
    <col min="9740" max="9740" width="31.5" style="421" customWidth="1"/>
    <col min="9741" max="9741" width="8.8984375" style="421" customWidth="1"/>
    <col min="9742" max="9742" width="9.19921875" style="421" customWidth="1"/>
    <col min="9743" max="9744" width="7.5" style="421" customWidth="1"/>
    <col min="9745" max="9745" width="6.69921875" style="421" customWidth="1"/>
    <col min="9746" max="9746" width="11.59765625" style="421" customWidth="1"/>
    <col min="9747" max="9748" width="12.5" style="421" customWidth="1"/>
    <col min="9749" max="9752" width="7.5" style="421" customWidth="1"/>
    <col min="9753" max="9753" width="12.69921875" style="421" customWidth="1"/>
    <col min="9754" max="9984" width="7.5" style="421" customWidth="1"/>
    <col min="9985" max="9985" width="6.09765625" style="421" customWidth="1"/>
    <col min="9986" max="9986" width="15.19921875" style="421" customWidth="1"/>
    <col min="9987" max="9987" width="6.69921875" style="421" customWidth="1"/>
    <col min="9988" max="9988" width="6.19921875" style="421" customWidth="1"/>
    <col min="9989" max="9989" width="6.69921875" style="421" customWidth="1"/>
    <col min="9990" max="9990" width="6.8984375" style="421" customWidth="1"/>
    <col min="9991" max="9991" width="9.5" style="421" customWidth="1"/>
    <col min="9992" max="9992" width="9.19921875" style="421" customWidth="1"/>
    <col min="9993" max="9993" width="6.5" style="421" customWidth="1"/>
    <col min="9994" max="9994" width="6.19921875" style="421" customWidth="1"/>
    <col min="9995" max="9995" width="6.69921875" style="421" customWidth="1"/>
    <col min="9996" max="9996" width="31.5" style="421" customWidth="1"/>
    <col min="9997" max="9997" width="8.8984375" style="421" customWidth="1"/>
    <col min="9998" max="9998" width="9.19921875" style="421" customWidth="1"/>
    <col min="9999" max="10000" width="7.5" style="421" customWidth="1"/>
    <col min="10001" max="10001" width="6.69921875" style="421" customWidth="1"/>
    <col min="10002" max="10002" width="11.59765625" style="421" customWidth="1"/>
    <col min="10003" max="10004" width="12.5" style="421" customWidth="1"/>
    <col min="10005" max="10008" width="7.5" style="421" customWidth="1"/>
    <col min="10009" max="10009" width="12.69921875" style="421" customWidth="1"/>
    <col min="10010" max="10240" width="7.5" style="421" customWidth="1"/>
    <col min="10241" max="10241" width="6.09765625" style="421" customWidth="1"/>
    <col min="10242" max="10242" width="15.19921875" style="421" customWidth="1"/>
    <col min="10243" max="10243" width="6.69921875" style="421" customWidth="1"/>
    <col min="10244" max="10244" width="6.19921875" style="421" customWidth="1"/>
    <col min="10245" max="10245" width="6.69921875" style="421" customWidth="1"/>
    <col min="10246" max="10246" width="6.8984375" style="421" customWidth="1"/>
    <col min="10247" max="10247" width="9.5" style="421" customWidth="1"/>
    <col min="10248" max="10248" width="9.19921875" style="421" customWidth="1"/>
    <col min="10249" max="10249" width="6.5" style="421" customWidth="1"/>
    <col min="10250" max="10250" width="6.19921875" style="421" customWidth="1"/>
    <col min="10251" max="10251" width="6.69921875" style="421" customWidth="1"/>
    <col min="10252" max="10252" width="31.5" style="421" customWidth="1"/>
    <col min="10253" max="10253" width="8.8984375" style="421" customWidth="1"/>
    <col min="10254" max="10254" width="9.19921875" style="421" customWidth="1"/>
    <col min="10255" max="10256" width="7.5" style="421" customWidth="1"/>
    <col min="10257" max="10257" width="6.69921875" style="421" customWidth="1"/>
    <col min="10258" max="10258" width="11.59765625" style="421" customWidth="1"/>
    <col min="10259" max="10260" width="12.5" style="421" customWidth="1"/>
    <col min="10261" max="10264" width="7.5" style="421" customWidth="1"/>
    <col min="10265" max="10265" width="12.69921875" style="421" customWidth="1"/>
    <col min="10266" max="10496" width="7.5" style="421" customWidth="1"/>
    <col min="10497" max="10497" width="6.09765625" style="421" customWidth="1"/>
    <col min="10498" max="10498" width="15.19921875" style="421" customWidth="1"/>
    <col min="10499" max="10499" width="6.69921875" style="421" customWidth="1"/>
    <col min="10500" max="10500" width="6.19921875" style="421" customWidth="1"/>
    <col min="10501" max="10501" width="6.69921875" style="421" customWidth="1"/>
    <col min="10502" max="10502" width="6.8984375" style="421" customWidth="1"/>
    <col min="10503" max="10503" width="9.5" style="421" customWidth="1"/>
    <col min="10504" max="10504" width="9.19921875" style="421" customWidth="1"/>
    <col min="10505" max="10505" width="6.5" style="421" customWidth="1"/>
    <col min="10506" max="10506" width="6.19921875" style="421" customWidth="1"/>
    <col min="10507" max="10507" width="6.69921875" style="421" customWidth="1"/>
    <col min="10508" max="10508" width="31.5" style="421" customWidth="1"/>
    <col min="10509" max="10509" width="8.8984375" style="421" customWidth="1"/>
    <col min="10510" max="10510" width="9.19921875" style="421" customWidth="1"/>
    <col min="10511" max="10512" width="7.5" style="421" customWidth="1"/>
    <col min="10513" max="10513" width="6.69921875" style="421" customWidth="1"/>
    <col min="10514" max="10514" width="11.59765625" style="421" customWidth="1"/>
    <col min="10515" max="10516" width="12.5" style="421" customWidth="1"/>
    <col min="10517" max="10520" width="7.5" style="421" customWidth="1"/>
    <col min="10521" max="10521" width="12.69921875" style="421" customWidth="1"/>
    <col min="10522" max="10752" width="7.5" style="421" customWidth="1"/>
    <col min="10753" max="10753" width="6.09765625" style="421" customWidth="1"/>
    <col min="10754" max="10754" width="15.19921875" style="421" customWidth="1"/>
    <col min="10755" max="10755" width="6.69921875" style="421" customWidth="1"/>
    <col min="10756" max="10756" width="6.19921875" style="421" customWidth="1"/>
    <col min="10757" max="10757" width="6.69921875" style="421" customWidth="1"/>
    <col min="10758" max="10758" width="6.8984375" style="421" customWidth="1"/>
    <col min="10759" max="10759" width="9.5" style="421" customWidth="1"/>
    <col min="10760" max="10760" width="9.19921875" style="421" customWidth="1"/>
    <col min="10761" max="10761" width="6.5" style="421" customWidth="1"/>
    <col min="10762" max="10762" width="6.19921875" style="421" customWidth="1"/>
    <col min="10763" max="10763" width="6.69921875" style="421" customWidth="1"/>
    <col min="10764" max="10764" width="31.5" style="421" customWidth="1"/>
    <col min="10765" max="10765" width="8.8984375" style="421" customWidth="1"/>
    <col min="10766" max="10766" width="9.19921875" style="421" customWidth="1"/>
    <col min="10767" max="10768" width="7.5" style="421" customWidth="1"/>
    <col min="10769" max="10769" width="6.69921875" style="421" customWidth="1"/>
    <col min="10770" max="10770" width="11.59765625" style="421" customWidth="1"/>
    <col min="10771" max="10772" width="12.5" style="421" customWidth="1"/>
    <col min="10773" max="10776" width="7.5" style="421" customWidth="1"/>
    <col min="10777" max="10777" width="12.69921875" style="421" customWidth="1"/>
    <col min="10778" max="11008" width="7.5" style="421" customWidth="1"/>
    <col min="11009" max="11009" width="6.09765625" style="421" customWidth="1"/>
    <col min="11010" max="11010" width="15.19921875" style="421" customWidth="1"/>
    <col min="11011" max="11011" width="6.69921875" style="421" customWidth="1"/>
    <col min="11012" max="11012" width="6.19921875" style="421" customWidth="1"/>
    <col min="11013" max="11013" width="6.69921875" style="421" customWidth="1"/>
    <col min="11014" max="11014" width="6.8984375" style="421" customWidth="1"/>
    <col min="11015" max="11015" width="9.5" style="421" customWidth="1"/>
    <col min="11016" max="11016" width="9.19921875" style="421" customWidth="1"/>
    <col min="11017" max="11017" width="6.5" style="421" customWidth="1"/>
    <col min="11018" max="11018" width="6.19921875" style="421" customWidth="1"/>
    <col min="11019" max="11019" width="6.69921875" style="421" customWidth="1"/>
    <col min="11020" max="11020" width="31.5" style="421" customWidth="1"/>
    <col min="11021" max="11021" width="8.8984375" style="421" customWidth="1"/>
    <col min="11022" max="11022" width="9.19921875" style="421" customWidth="1"/>
    <col min="11023" max="11024" width="7.5" style="421" customWidth="1"/>
    <col min="11025" max="11025" width="6.69921875" style="421" customWidth="1"/>
    <col min="11026" max="11026" width="11.59765625" style="421" customWidth="1"/>
    <col min="11027" max="11028" width="12.5" style="421" customWidth="1"/>
    <col min="11029" max="11032" width="7.5" style="421" customWidth="1"/>
    <col min="11033" max="11033" width="12.69921875" style="421" customWidth="1"/>
    <col min="11034" max="11264" width="7.5" style="421" customWidth="1"/>
    <col min="11265" max="11265" width="6.09765625" style="421" customWidth="1"/>
    <col min="11266" max="11266" width="15.19921875" style="421" customWidth="1"/>
    <col min="11267" max="11267" width="6.69921875" style="421" customWidth="1"/>
    <col min="11268" max="11268" width="6.19921875" style="421" customWidth="1"/>
    <col min="11269" max="11269" width="6.69921875" style="421" customWidth="1"/>
    <col min="11270" max="11270" width="6.8984375" style="421" customWidth="1"/>
    <col min="11271" max="11271" width="9.5" style="421" customWidth="1"/>
    <col min="11272" max="11272" width="9.19921875" style="421" customWidth="1"/>
    <col min="11273" max="11273" width="6.5" style="421" customWidth="1"/>
    <col min="11274" max="11274" width="6.19921875" style="421" customWidth="1"/>
    <col min="11275" max="11275" width="6.69921875" style="421" customWidth="1"/>
    <col min="11276" max="11276" width="31.5" style="421" customWidth="1"/>
    <col min="11277" max="11277" width="8.8984375" style="421" customWidth="1"/>
    <col min="11278" max="11278" width="9.19921875" style="421" customWidth="1"/>
    <col min="11279" max="11280" width="7.5" style="421" customWidth="1"/>
    <col min="11281" max="11281" width="6.69921875" style="421" customWidth="1"/>
    <col min="11282" max="11282" width="11.59765625" style="421" customWidth="1"/>
    <col min="11283" max="11284" width="12.5" style="421" customWidth="1"/>
    <col min="11285" max="11288" width="7.5" style="421" customWidth="1"/>
    <col min="11289" max="11289" width="12.69921875" style="421" customWidth="1"/>
    <col min="11290" max="11520" width="7.5" style="421" customWidth="1"/>
    <col min="11521" max="11521" width="6.09765625" style="421" customWidth="1"/>
    <col min="11522" max="11522" width="15.19921875" style="421" customWidth="1"/>
    <col min="11523" max="11523" width="6.69921875" style="421" customWidth="1"/>
    <col min="11524" max="11524" width="6.19921875" style="421" customWidth="1"/>
    <col min="11525" max="11525" width="6.69921875" style="421" customWidth="1"/>
    <col min="11526" max="11526" width="6.8984375" style="421" customWidth="1"/>
    <col min="11527" max="11527" width="9.5" style="421" customWidth="1"/>
    <col min="11528" max="11528" width="9.19921875" style="421" customWidth="1"/>
    <col min="11529" max="11529" width="6.5" style="421" customWidth="1"/>
    <col min="11530" max="11530" width="6.19921875" style="421" customWidth="1"/>
    <col min="11531" max="11531" width="6.69921875" style="421" customWidth="1"/>
    <col min="11532" max="11532" width="31.5" style="421" customWidth="1"/>
    <col min="11533" max="11533" width="8.8984375" style="421" customWidth="1"/>
    <col min="11534" max="11534" width="9.19921875" style="421" customWidth="1"/>
    <col min="11535" max="11536" width="7.5" style="421" customWidth="1"/>
    <col min="11537" max="11537" width="6.69921875" style="421" customWidth="1"/>
    <col min="11538" max="11538" width="11.59765625" style="421" customWidth="1"/>
    <col min="11539" max="11540" width="12.5" style="421" customWidth="1"/>
    <col min="11541" max="11544" width="7.5" style="421" customWidth="1"/>
    <col min="11545" max="11545" width="12.69921875" style="421" customWidth="1"/>
    <col min="11546" max="11776" width="7.5" style="421" customWidth="1"/>
    <col min="11777" max="11777" width="6.09765625" style="421" customWidth="1"/>
    <col min="11778" max="11778" width="15.19921875" style="421" customWidth="1"/>
    <col min="11779" max="11779" width="6.69921875" style="421" customWidth="1"/>
    <col min="11780" max="11780" width="6.19921875" style="421" customWidth="1"/>
    <col min="11781" max="11781" width="6.69921875" style="421" customWidth="1"/>
    <col min="11782" max="11782" width="6.8984375" style="421" customWidth="1"/>
    <col min="11783" max="11783" width="9.5" style="421" customWidth="1"/>
    <col min="11784" max="11784" width="9.19921875" style="421" customWidth="1"/>
    <col min="11785" max="11785" width="6.5" style="421" customWidth="1"/>
    <col min="11786" max="11786" width="6.19921875" style="421" customWidth="1"/>
    <col min="11787" max="11787" width="6.69921875" style="421" customWidth="1"/>
    <col min="11788" max="11788" width="31.5" style="421" customWidth="1"/>
    <col min="11789" max="11789" width="8.8984375" style="421" customWidth="1"/>
    <col min="11790" max="11790" width="9.19921875" style="421" customWidth="1"/>
    <col min="11791" max="11792" width="7.5" style="421" customWidth="1"/>
    <col min="11793" max="11793" width="6.69921875" style="421" customWidth="1"/>
    <col min="11794" max="11794" width="11.59765625" style="421" customWidth="1"/>
    <col min="11795" max="11796" width="12.5" style="421" customWidth="1"/>
    <col min="11797" max="11800" width="7.5" style="421" customWidth="1"/>
    <col min="11801" max="11801" width="12.69921875" style="421" customWidth="1"/>
    <col min="11802" max="12032" width="7.5" style="421" customWidth="1"/>
    <col min="12033" max="12033" width="6.09765625" style="421" customWidth="1"/>
    <col min="12034" max="12034" width="15.19921875" style="421" customWidth="1"/>
    <col min="12035" max="12035" width="6.69921875" style="421" customWidth="1"/>
    <col min="12036" max="12036" width="6.19921875" style="421" customWidth="1"/>
    <col min="12037" max="12037" width="6.69921875" style="421" customWidth="1"/>
    <col min="12038" max="12038" width="6.8984375" style="421" customWidth="1"/>
    <col min="12039" max="12039" width="9.5" style="421" customWidth="1"/>
    <col min="12040" max="12040" width="9.19921875" style="421" customWidth="1"/>
    <col min="12041" max="12041" width="6.5" style="421" customWidth="1"/>
    <col min="12042" max="12042" width="6.19921875" style="421" customWidth="1"/>
    <col min="12043" max="12043" width="6.69921875" style="421" customWidth="1"/>
    <col min="12044" max="12044" width="31.5" style="421" customWidth="1"/>
    <col min="12045" max="12045" width="8.8984375" style="421" customWidth="1"/>
    <col min="12046" max="12046" width="9.19921875" style="421" customWidth="1"/>
    <col min="12047" max="12048" width="7.5" style="421" customWidth="1"/>
    <col min="12049" max="12049" width="6.69921875" style="421" customWidth="1"/>
    <col min="12050" max="12050" width="11.59765625" style="421" customWidth="1"/>
    <col min="12051" max="12052" width="12.5" style="421" customWidth="1"/>
    <col min="12053" max="12056" width="7.5" style="421" customWidth="1"/>
    <col min="12057" max="12057" width="12.69921875" style="421" customWidth="1"/>
    <col min="12058" max="12288" width="7.5" style="421" customWidth="1"/>
    <col min="12289" max="12289" width="6.09765625" style="421" customWidth="1"/>
    <col min="12290" max="12290" width="15.19921875" style="421" customWidth="1"/>
    <col min="12291" max="12291" width="6.69921875" style="421" customWidth="1"/>
    <col min="12292" max="12292" width="6.19921875" style="421" customWidth="1"/>
    <col min="12293" max="12293" width="6.69921875" style="421" customWidth="1"/>
    <col min="12294" max="12294" width="6.8984375" style="421" customWidth="1"/>
    <col min="12295" max="12295" width="9.5" style="421" customWidth="1"/>
    <col min="12296" max="12296" width="9.19921875" style="421" customWidth="1"/>
    <col min="12297" max="12297" width="6.5" style="421" customWidth="1"/>
    <col min="12298" max="12298" width="6.19921875" style="421" customWidth="1"/>
    <col min="12299" max="12299" width="6.69921875" style="421" customWidth="1"/>
    <col min="12300" max="12300" width="31.5" style="421" customWidth="1"/>
    <col min="12301" max="12301" width="8.8984375" style="421" customWidth="1"/>
    <col min="12302" max="12302" width="9.19921875" style="421" customWidth="1"/>
    <col min="12303" max="12304" width="7.5" style="421" customWidth="1"/>
    <col min="12305" max="12305" width="6.69921875" style="421" customWidth="1"/>
    <col min="12306" max="12306" width="11.59765625" style="421" customWidth="1"/>
    <col min="12307" max="12308" width="12.5" style="421" customWidth="1"/>
    <col min="12309" max="12312" width="7.5" style="421" customWidth="1"/>
    <col min="12313" max="12313" width="12.69921875" style="421" customWidth="1"/>
    <col min="12314" max="12544" width="7.5" style="421" customWidth="1"/>
    <col min="12545" max="12545" width="6.09765625" style="421" customWidth="1"/>
    <col min="12546" max="12546" width="15.19921875" style="421" customWidth="1"/>
    <col min="12547" max="12547" width="6.69921875" style="421" customWidth="1"/>
    <col min="12548" max="12548" width="6.19921875" style="421" customWidth="1"/>
    <col min="12549" max="12549" width="6.69921875" style="421" customWidth="1"/>
    <col min="12550" max="12550" width="6.8984375" style="421" customWidth="1"/>
    <col min="12551" max="12551" width="9.5" style="421" customWidth="1"/>
    <col min="12552" max="12552" width="9.19921875" style="421" customWidth="1"/>
    <col min="12553" max="12553" width="6.5" style="421" customWidth="1"/>
    <col min="12554" max="12554" width="6.19921875" style="421" customWidth="1"/>
    <col min="12555" max="12555" width="6.69921875" style="421" customWidth="1"/>
    <col min="12556" max="12556" width="31.5" style="421" customWidth="1"/>
    <col min="12557" max="12557" width="8.8984375" style="421" customWidth="1"/>
    <col min="12558" max="12558" width="9.19921875" style="421" customWidth="1"/>
    <col min="12559" max="12560" width="7.5" style="421" customWidth="1"/>
    <col min="12561" max="12561" width="6.69921875" style="421" customWidth="1"/>
    <col min="12562" max="12562" width="11.59765625" style="421" customWidth="1"/>
    <col min="12563" max="12564" width="12.5" style="421" customWidth="1"/>
    <col min="12565" max="12568" width="7.5" style="421" customWidth="1"/>
    <col min="12569" max="12569" width="12.69921875" style="421" customWidth="1"/>
    <col min="12570" max="12800" width="7.5" style="421" customWidth="1"/>
    <col min="12801" max="12801" width="6.09765625" style="421" customWidth="1"/>
    <col min="12802" max="12802" width="15.19921875" style="421" customWidth="1"/>
    <col min="12803" max="12803" width="6.69921875" style="421" customWidth="1"/>
    <col min="12804" max="12804" width="6.19921875" style="421" customWidth="1"/>
    <col min="12805" max="12805" width="6.69921875" style="421" customWidth="1"/>
    <col min="12806" max="12806" width="6.8984375" style="421" customWidth="1"/>
    <col min="12807" max="12807" width="9.5" style="421" customWidth="1"/>
    <col min="12808" max="12808" width="9.19921875" style="421" customWidth="1"/>
    <col min="12809" max="12809" width="6.5" style="421" customWidth="1"/>
    <col min="12810" max="12810" width="6.19921875" style="421" customWidth="1"/>
    <col min="12811" max="12811" width="6.69921875" style="421" customWidth="1"/>
    <col min="12812" max="12812" width="31.5" style="421" customWidth="1"/>
    <col min="12813" max="12813" width="8.8984375" style="421" customWidth="1"/>
    <col min="12814" max="12814" width="9.19921875" style="421" customWidth="1"/>
    <col min="12815" max="12816" width="7.5" style="421" customWidth="1"/>
    <col min="12817" max="12817" width="6.69921875" style="421" customWidth="1"/>
    <col min="12818" max="12818" width="11.59765625" style="421" customWidth="1"/>
    <col min="12819" max="12820" width="12.5" style="421" customWidth="1"/>
    <col min="12821" max="12824" width="7.5" style="421" customWidth="1"/>
    <col min="12825" max="12825" width="12.69921875" style="421" customWidth="1"/>
    <col min="12826" max="13056" width="7.5" style="421" customWidth="1"/>
    <col min="13057" max="13057" width="6.09765625" style="421" customWidth="1"/>
    <col min="13058" max="13058" width="15.19921875" style="421" customWidth="1"/>
    <col min="13059" max="13059" width="6.69921875" style="421" customWidth="1"/>
    <col min="13060" max="13060" width="6.19921875" style="421" customWidth="1"/>
    <col min="13061" max="13061" width="6.69921875" style="421" customWidth="1"/>
    <col min="13062" max="13062" width="6.8984375" style="421" customWidth="1"/>
    <col min="13063" max="13063" width="9.5" style="421" customWidth="1"/>
    <col min="13064" max="13064" width="9.19921875" style="421" customWidth="1"/>
    <col min="13065" max="13065" width="6.5" style="421" customWidth="1"/>
    <col min="13066" max="13066" width="6.19921875" style="421" customWidth="1"/>
    <col min="13067" max="13067" width="6.69921875" style="421" customWidth="1"/>
    <col min="13068" max="13068" width="31.5" style="421" customWidth="1"/>
    <col min="13069" max="13069" width="8.8984375" style="421" customWidth="1"/>
    <col min="13070" max="13070" width="9.19921875" style="421" customWidth="1"/>
    <col min="13071" max="13072" width="7.5" style="421" customWidth="1"/>
    <col min="13073" max="13073" width="6.69921875" style="421" customWidth="1"/>
    <col min="13074" max="13074" width="11.59765625" style="421" customWidth="1"/>
    <col min="13075" max="13076" width="12.5" style="421" customWidth="1"/>
    <col min="13077" max="13080" width="7.5" style="421" customWidth="1"/>
    <col min="13081" max="13081" width="12.69921875" style="421" customWidth="1"/>
    <col min="13082" max="13312" width="7.5" style="421" customWidth="1"/>
    <col min="13313" max="13313" width="6.09765625" style="421" customWidth="1"/>
    <col min="13314" max="13314" width="15.19921875" style="421" customWidth="1"/>
    <col min="13315" max="13315" width="6.69921875" style="421" customWidth="1"/>
    <col min="13316" max="13316" width="6.19921875" style="421" customWidth="1"/>
    <col min="13317" max="13317" width="6.69921875" style="421" customWidth="1"/>
    <col min="13318" max="13318" width="6.8984375" style="421" customWidth="1"/>
    <col min="13319" max="13319" width="9.5" style="421" customWidth="1"/>
    <col min="13320" max="13320" width="9.19921875" style="421" customWidth="1"/>
    <col min="13321" max="13321" width="6.5" style="421" customWidth="1"/>
    <col min="13322" max="13322" width="6.19921875" style="421" customWidth="1"/>
    <col min="13323" max="13323" width="6.69921875" style="421" customWidth="1"/>
    <col min="13324" max="13324" width="31.5" style="421" customWidth="1"/>
    <col min="13325" max="13325" width="8.8984375" style="421" customWidth="1"/>
    <col min="13326" max="13326" width="9.19921875" style="421" customWidth="1"/>
    <col min="13327" max="13328" width="7.5" style="421" customWidth="1"/>
    <col min="13329" max="13329" width="6.69921875" style="421" customWidth="1"/>
    <col min="13330" max="13330" width="11.59765625" style="421" customWidth="1"/>
    <col min="13331" max="13332" width="12.5" style="421" customWidth="1"/>
    <col min="13333" max="13336" width="7.5" style="421" customWidth="1"/>
    <col min="13337" max="13337" width="12.69921875" style="421" customWidth="1"/>
    <col min="13338" max="13568" width="7.5" style="421" customWidth="1"/>
    <col min="13569" max="13569" width="6.09765625" style="421" customWidth="1"/>
    <col min="13570" max="13570" width="15.19921875" style="421" customWidth="1"/>
    <col min="13571" max="13571" width="6.69921875" style="421" customWidth="1"/>
    <col min="13572" max="13572" width="6.19921875" style="421" customWidth="1"/>
    <col min="13573" max="13573" width="6.69921875" style="421" customWidth="1"/>
    <col min="13574" max="13574" width="6.8984375" style="421" customWidth="1"/>
    <col min="13575" max="13575" width="9.5" style="421" customWidth="1"/>
    <col min="13576" max="13576" width="9.19921875" style="421" customWidth="1"/>
    <col min="13577" max="13577" width="6.5" style="421" customWidth="1"/>
    <col min="13578" max="13578" width="6.19921875" style="421" customWidth="1"/>
    <col min="13579" max="13579" width="6.69921875" style="421" customWidth="1"/>
    <col min="13580" max="13580" width="31.5" style="421" customWidth="1"/>
    <col min="13581" max="13581" width="8.8984375" style="421" customWidth="1"/>
    <col min="13582" max="13582" width="9.19921875" style="421" customWidth="1"/>
    <col min="13583" max="13584" width="7.5" style="421" customWidth="1"/>
    <col min="13585" max="13585" width="6.69921875" style="421" customWidth="1"/>
    <col min="13586" max="13586" width="11.59765625" style="421" customWidth="1"/>
    <col min="13587" max="13588" width="12.5" style="421" customWidth="1"/>
    <col min="13589" max="13592" width="7.5" style="421" customWidth="1"/>
    <col min="13593" max="13593" width="12.69921875" style="421" customWidth="1"/>
    <col min="13594" max="13824" width="7.5" style="421" customWidth="1"/>
    <col min="13825" max="13825" width="6.09765625" style="421" customWidth="1"/>
    <col min="13826" max="13826" width="15.19921875" style="421" customWidth="1"/>
    <col min="13827" max="13827" width="6.69921875" style="421" customWidth="1"/>
    <col min="13828" max="13828" width="6.19921875" style="421" customWidth="1"/>
    <col min="13829" max="13829" width="6.69921875" style="421" customWidth="1"/>
    <col min="13830" max="13830" width="6.8984375" style="421" customWidth="1"/>
    <col min="13831" max="13831" width="9.5" style="421" customWidth="1"/>
    <col min="13832" max="13832" width="9.19921875" style="421" customWidth="1"/>
    <col min="13833" max="13833" width="6.5" style="421" customWidth="1"/>
    <col min="13834" max="13834" width="6.19921875" style="421" customWidth="1"/>
    <col min="13835" max="13835" width="6.69921875" style="421" customWidth="1"/>
    <col min="13836" max="13836" width="31.5" style="421" customWidth="1"/>
    <col min="13837" max="13837" width="8.8984375" style="421" customWidth="1"/>
    <col min="13838" max="13838" width="9.19921875" style="421" customWidth="1"/>
    <col min="13839" max="13840" width="7.5" style="421" customWidth="1"/>
    <col min="13841" max="13841" width="6.69921875" style="421" customWidth="1"/>
    <col min="13842" max="13842" width="11.59765625" style="421" customWidth="1"/>
    <col min="13843" max="13844" width="12.5" style="421" customWidth="1"/>
    <col min="13845" max="13848" width="7.5" style="421" customWidth="1"/>
    <col min="13849" max="13849" width="12.69921875" style="421" customWidth="1"/>
    <col min="13850" max="14080" width="7.5" style="421" customWidth="1"/>
    <col min="14081" max="14081" width="6.09765625" style="421" customWidth="1"/>
    <col min="14082" max="14082" width="15.19921875" style="421" customWidth="1"/>
    <col min="14083" max="14083" width="6.69921875" style="421" customWidth="1"/>
    <col min="14084" max="14084" width="6.19921875" style="421" customWidth="1"/>
    <col min="14085" max="14085" width="6.69921875" style="421" customWidth="1"/>
    <col min="14086" max="14086" width="6.8984375" style="421" customWidth="1"/>
    <col min="14087" max="14087" width="9.5" style="421" customWidth="1"/>
    <col min="14088" max="14088" width="9.19921875" style="421" customWidth="1"/>
    <col min="14089" max="14089" width="6.5" style="421" customWidth="1"/>
    <col min="14090" max="14090" width="6.19921875" style="421" customWidth="1"/>
    <col min="14091" max="14091" width="6.69921875" style="421" customWidth="1"/>
    <col min="14092" max="14092" width="31.5" style="421" customWidth="1"/>
    <col min="14093" max="14093" width="8.8984375" style="421" customWidth="1"/>
    <col min="14094" max="14094" width="9.19921875" style="421" customWidth="1"/>
    <col min="14095" max="14096" width="7.5" style="421" customWidth="1"/>
    <col min="14097" max="14097" width="6.69921875" style="421" customWidth="1"/>
    <col min="14098" max="14098" width="11.59765625" style="421" customWidth="1"/>
    <col min="14099" max="14100" width="12.5" style="421" customWidth="1"/>
    <col min="14101" max="14104" width="7.5" style="421" customWidth="1"/>
    <col min="14105" max="14105" width="12.69921875" style="421" customWidth="1"/>
    <col min="14106" max="14336" width="7.5" style="421" customWidth="1"/>
    <col min="14337" max="14337" width="6.09765625" style="421" customWidth="1"/>
    <col min="14338" max="14338" width="15.19921875" style="421" customWidth="1"/>
    <col min="14339" max="14339" width="6.69921875" style="421" customWidth="1"/>
    <col min="14340" max="14340" width="6.19921875" style="421" customWidth="1"/>
    <col min="14341" max="14341" width="6.69921875" style="421" customWidth="1"/>
    <col min="14342" max="14342" width="6.8984375" style="421" customWidth="1"/>
    <col min="14343" max="14343" width="9.5" style="421" customWidth="1"/>
    <col min="14344" max="14344" width="9.19921875" style="421" customWidth="1"/>
    <col min="14345" max="14345" width="6.5" style="421" customWidth="1"/>
    <col min="14346" max="14346" width="6.19921875" style="421" customWidth="1"/>
    <col min="14347" max="14347" width="6.69921875" style="421" customWidth="1"/>
    <col min="14348" max="14348" width="31.5" style="421" customWidth="1"/>
    <col min="14349" max="14349" width="8.8984375" style="421" customWidth="1"/>
    <col min="14350" max="14350" width="9.19921875" style="421" customWidth="1"/>
    <col min="14351" max="14352" width="7.5" style="421" customWidth="1"/>
    <col min="14353" max="14353" width="6.69921875" style="421" customWidth="1"/>
    <col min="14354" max="14354" width="11.59765625" style="421" customWidth="1"/>
    <col min="14355" max="14356" width="12.5" style="421" customWidth="1"/>
    <col min="14357" max="14360" width="7.5" style="421" customWidth="1"/>
    <col min="14361" max="14361" width="12.69921875" style="421" customWidth="1"/>
    <col min="14362" max="14592" width="7.5" style="421" customWidth="1"/>
    <col min="14593" max="14593" width="6.09765625" style="421" customWidth="1"/>
    <col min="14594" max="14594" width="15.19921875" style="421" customWidth="1"/>
    <col min="14595" max="14595" width="6.69921875" style="421" customWidth="1"/>
    <col min="14596" max="14596" width="6.19921875" style="421" customWidth="1"/>
    <col min="14597" max="14597" width="6.69921875" style="421" customWidth="1"/>
    <col min="14598" max="14598" width="6.8984375" style="421" customWidth="1"/>
    <col min="14599" max="14599" width="9.5" style="421" customWidth="1"/>
    <col min="14600" max="14600" width="9.19921875" style="421" customWidth="1"/>
    <col min="14601" max="14601" width="6.5" style="421" customWidth="1"/>
    <col min="14602" max="14602" width="6.19921875" style="421" customWidth="1"/>
    <col min="14603" max="14603" width="6.69921875" style="421" customWidth="1"/>
    <col min="14604" max="14604" width="31.5" style="421" customWidth="1"/>
    <col min="14605" max="14605" width="8.8984375" style="421" customWidth="1"/>
    <col min="14606" max="14606" width="9.19921875" style="421" customWidth="1"/>
    <col min="14607" max="14608" width="7.5" style="421" customWidth="1"/>
    <col min="14609" max="14609" width="6.69921875" style="421" customWidth="1"/>
    <col min="14610" max="14610" width="11.59765625" style="421" customWidth="1"/>
    <col min="14611" max="14612" width="12.5" style="421" customWidth="1"/>
    <col min="14613" max="14616" width="7.5" style="421" customWidth="1"/>
    <col min="14617" max="14617" width="12.69921875" style="421" customWidth="1"/>
    <col min="14618" max="14848" width="7.5" style="421" customWidth="1"/>
    <col min="14849" max="14849" width="6.09765625" style="421" customWidth="1"/>
    <col min="14850" max="14850" width="15.19921875" style="421" customWidth="1"/>
    <col min="14851" max="14851" width="6.69921875" style="421" customWidth="1"/>
    <col min="14852" max="14852" width="6.19921875" style="421" customWidth="1"/>
    <col min="14853" max="14853" width="6.69921875" style="421" customWidth="1"/>
    <col min="14854" max="14854" width="6.8984375" style="421" customWidth="1"/>
    <col min="14855" max="14855" width="9.5" style="421" customWidth="1"/>
    <col min="14856" max="14856" width="9.19921875" style="421" customWidth="1"/>
    <col min="14857" max="14857" width="6.5" style="421" customWidth="1"/>
    <col min="14858" max="14858" width="6.19921875" style="421" customWidth="1"/>
    <col min="14859" max="14859" width="6.69921875" style="421" customWidth="1"/>
    <col min="14860" max="14860" width="31.5" style="421" customWidth="1"/>
    <col min="14861" max="14861" width="8.8984375" style="421" customWidth="1"/>
    <col min="14862" max="14862" width="9.19921875" style="421" customWidth="1"/>
    <col min="14863" max="14864" width="7.5" style="421" customWidth="1"/>
    <col min="14865" max="14865" width="6.69921875" style="421" customWidth="1"/>
    <col min="14866" max="14866" width="11.59765625" style="421" customWidth="1"/>
    <col min="14867" max="14868" width="12.5" style="421" customWidth="1"/>
    <col min="14869" max="14872" width="7.5" style="421" customWidth="1"/>
    <col min="14873" max="14873" width="12.69921875" style="421" customWidth="1"/>
    <col min="14874" max="15104" width="7.5" style="421" customWidth="1"/>
    <col min="15105" max="15105" width="6.09765625" style="421" customWidth="1"/>
    <col min="15106" max="15106" width="15.19921875" style="421" customWidth="1"/>
    <col min="15107" max="15107" width="6.69921875" style="421" customWidth="1"/>
    <col min="15108" max="15108" width="6.19921875" style="421" customWidth="1"/>
    <col min="15109" max="15109" width="6.69921875" style="421" customWidth="1"/>
    <col min="15110" max="15110" width="6.8984375" style="421" customWidth="1"/>
    <col min="15111" max="15111" width="9.5" style="421" customWidth="1"/>
    <col min="15112" max="15112" width="9.19921875" style="421" customWidth="1"/>
    <col min="15113" max="15113" width="6.5" style="421" customWidth="1"/>
    <col min="15114" max="15114" width="6.19921875" style="421" customWidth="1"/>
    <col min="15115" max="15115" width="6.69921875" style="421" customWidth="1"/>
    <col min="15116" max="15116" width="31.5" style="421" customWidth="1"/>
    <col min="15117" max="15117" width="8.8984375" style="421" customWidth="1"/>
    <col min="15118" max="15118" width="9.19921875" style="421" customWidth="1"/>
    <col min="15119" max="15120" width="7.5" style="421" customWidth="1"/>
    <col min="15121" max="15121" width="6.69921875" style="421" customWidth="1"/>
    <col min="15122" max="15122" width="11.59765625" style="421" customWidth="1"/>
    <col min="15123" max="15124" width="12.5" style="421" customWidth="1"/>
    <col min="15125" max="15128" width="7.5" style="421" customWidth="1"/>
    <col min="15129" max="15129" width="12.69921875" style="421" customWidth="1"/>
    <col min="15130" max="15360" width="7.5" style="421" customWidth="1"/>
    <col min="15361" max="15361" width="6.09765625" style="421" customWidth="1"/>
    <col min="15362" max="15362" width="15.19921875" style="421" customWidth="1"/>
    <col min="15363" max="15363" width="6.69921875" style="421" customWidth="1"/>
    <col min="15364" max="15364" width="6.19921875" style="421" customWidth="1"/>
    <col min="15365" max="15365" width="6.69921875" style="421" customWidth="1"/>
    <col min="15366" max="15366" width="6.8984375" style="421" customWidth="1"/>
    <col min="15367" max="15367" width="9.5" style="421" customWidth="1"/>
    <col min="15368" max="15368" width="9.19921875" style="421" customWidth="1"/>
    <col min="15369" max="15369" width="6.5" style="421" customWidth="1"/>
    <col min="15370" max="15370" width="6.19921875" style="421" customWidth="1"/>
    <col min="15371" max="15371" width="6.69921875" style="421" customWidth="1"/>
    <col min="15372" max="15372" width="31.5" style="421" customWidth="1"/>
    <col min="15373" max="15373" width="8.8984375" style="421" customWidth="1"/>
    <col min="15374" max="15374" width="9.19921875" style="421" customWidth="1"/>
    <col min="15375" max="15376" width="7.5" style="421" customWidth="1"/>
    <col min="15377" max="15377" width="6.69921875" style="421" customWidth="1"/>
    <col min="15378" max="15378" width="11.59765625" style="421" customWidth="1"/>
    <col min="15379" max="15380" width="12.5" style="421" customWidth="1"/>
    <col min="15381" max="15384" width="7.5" style="421" customWidth="1"/>
    <col min="15385" max="15385" width="12.69921875" style="421" customWidth="1"/>
    <col min="15386" max="15616" width="7.5" style="421" customWidth="1"/>
    <col min="15617" max="15617" width="6.09765625" style="421" customWidth="1"/>
    <col min="15618" max="15618" width="15.19921875" style="421" customWidth="1"/>
    <col min="15619" max="15619" width="6.69921875" style="421" customWidth="1"/>
    <col min="15620" max="15620" width="6.19921875" style="421" customWidth="1"/>
    <col min="15621" max="15621" width="6.69921875" style="421" customWidth="1"/>
    <col min="15622" max="15622" width="6.8984375" style="421" customWidth="1"/>
    <col min="15623" max="15623" width="9.5" style="421" customWidth="1"/>
    <col min="15624" max="15624" width="9.19921875" style="421" customWidth="1"/>
    <col min="15625" max="15625" width="6.5" style="421" customWidth="1"/>
    <col min="15626" max="15626" width="6.19921875" style="421" customWidth="1"/>
    <col min="15627" max="15627" width="6.69921875" style="421" customWidth="1"/>
    <col min="15628" max="15628" width="31.5" style="421" customWidth="1"/>
    <col min="15629" max="15629" width="8.8984375" style="421" customWidth="1"/>
    <col min="15630" max="15630" width="9.19921875" style="421" customWidth="1"/>
    <col min="15631" max="15632" width="7.5" style="421" customWidth="1"/>
    <col min="15633" max="15633" width="6.69921875" style="421" customWidth="1"/>
    <col min="15634" max="15634" width="11.59765625" style="421" customWidth="1"/>
    <col min="15635" max="15636" width="12.5" style="421" customWidth="1"/>
    <col min="15637" max="15640" width="7.5" style="421" customWidth="1"/>
    <col min="15641" max="15641" width="12.69921875" style="421" customWidth="1"/>
    <col min="15642" max="15872" width="7.5" style="421" customWidth="1"/>
    <col min="15873" max="15873" width="6.09765625" style="421" customWidth="1"/>
    <col min="15874" max="15874" width="15.19921875" style="421" customWidth="1"/>
    <col min="15875" max="15875" width="6.69921875" style="421" customWidth="1"/>
    <col min="15876" max="15876" width="6.19921875" style="421" customWidth="1"/>
    <col min="15877" max="15877" width="6.69921875" style="421" customWidth="1"/>
    <col min="15878" max="15878" width="6.8984375" style="421" customWidth="1"/>
    <col min="15879" max="15879" width="9.5" style="421" customWidth="1"/>
    <col min="15880" max="15880" width="9.19921875" style="421" customWidth="1"/>
    <col min="15881" max="15881" width="6.5" style="421" customWidth="1"/>
    <col min="15882" max="15882" width="6.19921875" style="421" customWidth="1"/>
    <col min="15883" max="15883" width="6.69921875" style="421" customWidth="1"/>
    <col min="15884" max="15884" width="31.5" style="421" customWidth="1"/>
    <col min="15885" max="15885" width="8.8984375" style="421" customWidth="1"/>
    <col min="15886" max="15886" width="9.19921875" style="421" customWidth="1"/>
    <col min="15887" max="15888" width="7.5" style="421" customWidth="1"/>
    <col min="15889" max="15889" width="6.69921875" style="421" customWidth="1"/>
    <col min="15890" max="15890" width="11.59765625" style="421" customWidth="1"/>
    <col min="15891" max="15892" width="12.5" style="421" customWidth="1"/>
    <col min="15893" max="15896" width="7.5" style="421" customWidth="1"/>
    <col min="15897" max="15897" width="12.69921875" style="421" customWidth="1"/>
    <col min="15898" max="16128" width="7.5" style="421" customWidth="1"/>
    <col min="16129" max="16129" width="6.09765625" style="421" customWidth="1"/>
    <col min="16130" max="16130" width="15.19921875" style="421" customWidth="1"/>
    <col min="16131" max="16131" width="6.69921875" style="421" customWidth="1"/>
    <col min="16132" max="16132" width="6.19921875" style="421" customWidth="1"/>
    <col min="16133" max="16133" width="6.69921875" style="421" customWidth="1"/>
    <col min="16134" max="16134" width="6.8984375" style="421" customWidth="1"/>
    <col min="16135" max="16135" width="9.5" style="421" customWidth="1"/>
    <col min="16136" max="16136" width="9.19921875" style="421" customWidth="1"/>
    <col min="16137" max="16137" width="6.5" style="421" customWidth="1"/>
    <col min="16138" max="16138" width="6.19921875" style="421" customWidth="1"/>
    <col min="16139" max="16139" width="6.69921875" style="421" customWidth="1"/>
    <col min="16140" max="16140" width="31.5" style="421" customWidth="1"/>
    <col min="16141" max="16141" width="8.8984375" style="421" customWidth="1"/>
    <col min="16142" max="16142" width="9.19921875" style="421" customWidth="1"/>
    <col min="16143" max="16144" width="7.5" style="421" customWidth="1"/>
    <col min="16145" max="16145" width="6.69921875" style="421" customWidth="1"/>
    <col min="16146" max="16146" width="11.59765625" style="421" customWidth="1"/>
    <col min="16147" max="16148" width="12.5" style="421" customWidth="1"/>
    <col min="16149" max="16152" width="7.5" style="421" customWidth="1"/>
    <col min="16153" max="16153" width="12.69921875" style="421" customWidth="1"/>
    <col min="16154" max="16384" width="7.5" style="421" customWidth="1"/>
  </cols>
  <sheetData>
    <row r="1" ht="32.25" customHeight="1" spans="1:14" x14ac:dyDescent="0.25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</row>
    <row r="2" ht="33.75" customHeight="1" spans="1:14" x14ac:dyDescent="0.25">
      <c r="A2" s="426" t="s">
        <v>201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8"/>
    </row>
    <row r="3" ht="6" customHeight="1" spans="1:14" x14ac:dyDescent="0.25">
      <c r="A3" s="429"/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30"/>
    </row>
    <row r="4" ht="21.75" customHeight="1" spans="1:24" s="431" customFormat="1" x14ac:dyDescent="0.25">
      <c r="A4" s="432" t="s">
        <v>202</v>
      </c>
      <c r="B4" s="433"/>
      <c r="C4" s="434"/>
      <c r="D4" s="434"/>
      <c r="E4" s="435"/>
      <c r="F4" s="434"/>
      <c r="G4" s="436" t="s">
        <v>203</v>
      </c>
      <c r="H4" s="437"/>
      <c r="I4" s="434"/>
      <c r="J4" s="438"/>
      <c r="K4" s="439" t="s">
        <v>204</v>
      </c>
      <c r="L4" s="439"/>
      <c r="M4" s="440"/>
      <c r="N4" s="441" t="s">
        <v>205</v>
      </c>
      <c r="O4" s="442"/>
      <c r="P4" s="442"/>
      <c r="R4" s="443"/>
      <c r="X4" s="443"/>
    </row>
    <row r="5" ht="6.75" customHeight="1" spans="1:14" x14ac:dyDescent="0.25">
      <c r="A5" s="444"/>
      <c r="B5" s="444"/>
      <c r="C5" s="445"/>
      <c r="D5" s="445"/>
      <c r="E5" s="446"/>
      <c r="F5" s="445"/>
      <c r="G5" s="447"/>
      <c r="H5" s="447"/>
      <c r="I5" s="445"/>
      <c r="J5" s="445"/>
      <c r="K5" s="445"/>
      <c r="L5" s="448"/>
      <c r="M5" s="444"/>
      <c r="N5" s="444"/>
    </row>
    <row r="6" ht="15" customHeight="1" spans="1:14" x14ac:dyDescent="0.25">
      <c r="A6" s="449" t="s">
        <v>206</v>
      </c>
      <c r="B6" s="449" t="s">
        <v>207</v>
      </c>
      <c r="C6" s="449" t="s">
        <v>69</v>
      </c>
      <c r="D6" s="449" t="s">
        <v>208</v>
      </c>
      <c r="E6" s="450" t="s">
        <v>209</v>
      </c>
      <c r="F6" s="449" t="s">
        <v>210</v>
      </c>
      <c r="G6" s="451" t="s">
        <v>211</v>
      </c>
      <c r="H6" s="451" t="s">
        <v>212</v>
      </c>
      <c r="I6" s="449" t="s">
        <v>213</v>
      </c>
      <c r="J6" s="449" t="s">
        <v>214</v>
      </c>
      <c r="K6" s="449" t="s">
        <v>215</v>
      </c>
      <c r="L6" s="449" t="s">
        <v>216</v>
      </c>
      <c r="M6" s="449" t="s">
        <v>217</v>
      </c>
      <c r="N6" s="449" t="s">
        <v>218</v>
      </c>
    </row>
    <row r="7" ht="15.75" customHeight="1" spans="1:14" x14ac:dyDescent="0.25">
      <c r="A7" s="452"/>
      <c r="B7" s="452"/>
      <c r="C7" s="452"/>
      <c r="D7" s="453"/>
      <c r="E7" s="454"/>
      <c r="F7" s="452"/>
      <c r="G7" s="455" t="s">
        <v>219</v>
      </c>
      <c r="H7" s="455" t="s">
        <v>219</v>
      </c>
      <c r="I7" s="452"/>
      <c r="J7" s="452"/>
      <c r="K7" s="452"/>
      <c r="L7" s="453"/>
      <c r="M7" s="452"/>
      <c r="N7" s="452"/>
    </row>
    <row r="8" ht="13.8" customHeight="1" spans="1:14" x14ac:dyDescent="0.25">
      <c r="A8" s="456"/>
      <c r="B8" s="457"/>
      <c r="C8" s="457"/>
      <c r="D8" s="458"/>
      <c r="E8" s="459"/>
      <c r="F8" s="457"/>
      <c r="G8" s="457"/>
      <c r="H8" s="457"/>
      <c r="I8" s="457"/>
      <c r="J8" s="457"/>
      <c r="K8" s="457"/>
      <c r="L8" s="460"/>
      <c r="M8" s="460"/>
      <c r="N8" s="460"/>
    </row>
    <row r="9" ht="15" customHeight="1" spans="1:14" x14ac:dyDescent="0.25">
      <c r="A9" s="456"/>
      <c r="B9" s="457"/>
      <c r="C9" s="457"/>
      <c r="D9" s="458"/>
      <c r="E9" s="459"/>
      <c r="F9" s="457"/>
      <c r="G9" s="457"/>
      <c r="H9" s="457"/>
      <c r="I9" s="457"/>
      <c r="J9" s="457"/>
      <c r="K9" s="457"/>
      <c r="L9" s="460"/>
      <c r="M9" s="460"/>
      <c r="N9" s="460"/>
    </row>
    <row r="10" ht="15" customHeight="1" spans="1:14" x14ac:dyDescent="0.25">
      <c r="A10" s="456"/>
      <c r="B10" s="461"/>
      <c r="C10" s="461"/>
      <c r="D10" s="394"/>
      <c r="E10" s="462"/>
      <c r="F10" s="461"/>
      <c r="G10" s="461"/>
      <c r="H10" s="461"/>
      <c r="I10" s="461"/>
      <c r="J10" s="461"/>
      <c r="K10" s="461"/>
      <c r="L10" s="411"/>
      <c r="M10" s="411"/>
      <c r="N10" s="411"/>
    </row>
    <row r="11" ht="15" customHeight="1" spans="1:14" x14ac:dyDescent="0.25">
      <c r="A11" s="456"/>
      <c r="B11" s="457"/>
      <c r="C11" s="457"/>
      <c r="D11" s="458"/>
      <c r="E11" s="459"/>
      <c r="F11" s="457"/>
      <c r="G11" s="457"/>
      <c r="H11" s="457"/>
      <c r="I11" s="457"/>
      <c r="J11" s="457"/>
      <c r="K11" s="457"/>
      <c r="L11" s="460"/>
      <c r="M11" s="460"/>
      <c r="N11" s="460"/>
    </row>
    <row r="12" ht="15" customHeight="1" spans="1:14" x14ac:dyDescent="0.25">
      <c r="A12" s="456"/>
      <c r="B12" s="457"/>
      <c r="C12" s="457"/>
      <c r="D12" s="458"/>
      <c r="E12" s="459"/>
      <c r="F12" s="457"/>
      <c r="G12" s="457"/>
      <c r="H12" s="457"/>
      <c r="I12" s="457"/>
      <c r="J12" s="457"/>
      <c r="K12" s="457"/>
      <c r="L12" s="460"/>
      <c r="M12" s="460"/>
      <c r="N12" s="460"/>
    </row>
    <row r="13" ht="13.8" customHeight="1" spans="1:14" x14ac:dyDescent="0.25">
      <c r="A13" s="456"/>
      <c r="B13" s="457"/>
      <c r="C13" s="457"/>
      <c r="D13" s="458"/>
      <c r="E13" s="459"/>
      <c r="F13" s="457"/>
      <c r="G13" s="457"/>
      <c r="H13" s="457"/>
      <c r="I13" s="457"/>
      <c r="J13" s="457"/>
      <c r="K13" s="457"/>
      <c r="L13" s="460"/>
      <c r="M13" s="460"/>
      <c r="N13" s="460"/>
    </row>
    <row r="14" ht="13.8" customHeight="1" spans="1:14" x14ac:dyDescent="0.25">
      <c r="A14" s="456"/>
      <c r="B14" s="457"/>
      <c r="C14" s="457"/>
      <c r="D14" s="458"/>
      <c r="E14" s="459"/>
      <c r="F14" s="457"/>
      <c r="G14" s="457"/>
      <c r="H14" s="457"/>
      <c r="I14" s="457"/>
      <c r="J14" s="457"/>
      <c r="K14" s="457"/>
      <c r="L14" s="460"/>
      <c r="M14" s="460"/>
      <c r="N14" s="460"/>
    </row>
    <row r="15" ht="13.8" customHeight="1" spans="1:14" x14ac:dyDescent="0.25">
      <c r="A15" s="456"/>
      <c r="B15" s="457"/>
      <c r="C15" s="457"/>
      <c r="D15" s="458"/>
      <c r="E15" s="459"/>
      <c r="F15" s="457"/>
      <c r="G15" s="457"/>
      <c r="H15" s="457"/>
      <c r="I15" s="457"/>
      <c r="J15" s="457"/>
      <c r="K15" s="457"/>
      <c r="L15" s="460"/>
      <c r="M15" s="460"/>
      <c r="N15" s="460"/>
    </row>
    <row r="16" ht="13.8" customHeight="1" spans="1:14" x14ac:dyDescent="0.25">
      <c r="A16" s="456"/>
      <c r="B16" s="457"/>
      <c r="C16" s="457"/>
      <c r="D16" s="458"/>
      <c r="E16" s="459"/>
      <c r="F16" s="457"/>
      <c r="G16" s="457"/>
      <c r="H16" s="457"/>
      <c r="I16" s="457"/>
      <c r="J16" s="457"/>
      <c r="K16" s="457"/>
      <c r="L16" s="460"/>
      <c r="M16" s="460"/>
      <c r="N16" s="460"/>
    </row>
    <row r="17" ht="13.8" customHeight="1" spans="1:14" x14ac:dyDescent="0.25">
      <c r="A17" s="456"/>
      <c r="B17" s="457"/>
      <c r="C17" s="457"/>
      <c r="D17" s="458"/>
      <c r="E17" s="459"/>
      <c r="F17" s="457"/>
      <c r="G17" s="457"/>
      <c r="H17" s="457"/>
      <c r="I17" s="457"/>
      <c r="J17" s="457"/>
      <c r="K17" s="457"/>
      <c r="L17" s="460"/>
      <c r="M17" s="460"/>
      <c r="N17" s="460"/>
    </row>
    <row r="18" spans="1:11" x14ac:dyDescent="0.25">
      <c r="A18" s="421"/>
      <c r="B18" s="421"/>
      <c r="C18" s="421"/>
      <c r="D18" s="421"/>
      <c r="E18" s="422"/>
      <c r="F18" s="421"/>
      <c r="G18" s="423"/>
      <c r="H18" s="423"/>
      <c r="I18" s="421"/>
      <c r="J18" s="421"/>
      <c r="K18" s="421"/>
    </row>
    <row r="19" spans="1:11" x14ac:dyDescent="0.25">
      <c r="A19" s="421"/>
      <c r="B19" s="421"/>
      <c r="C19" s="421"/>
      <c r="D19" s="421"/>
      <c r="E19" s="422"/>
      <c r="F19" s="421"/>
      <c r="G19" s="423"/>
      <c r="H19" s="423"/>
      <c r="I19" s="421"/>
      <c r="J19" s="421"/>
      <c r="K19" s="421"/>
    </row>
    <row r="20" spans="1:11" x14ac:dyDescent="0.25">
      <c r="A20" s="421"/>
      <c r="B20" s="421"/>
      <c r="C20" s="421"/>
      <c r="D20" s="421"/>
      <c r="E20" s="422"/>
      <c r="F20" s="421"/>
      <c r="G20" s="423"/>
      <c r="H20" s="423"/>
      <c r="I20" s="421"/>
      <c r="J20" s="421"/>
      <c r="K20" s="421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2026-07-21T21:18:37Z</cp:lastPrinted>
  <dcterms:created xsi:type="dcterms:W3CDTF">2016-08-02T06:12:57Z</dcterms:created>
  <dcterms:modified xsi:type="dcterms:W3CDTF">2026-07-21T21:20:58Z</dcterms:modified>
</cp:coreProperties>
</file>