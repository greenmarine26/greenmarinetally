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4" name="OS-IN" state="visible" r:id="rId6"/>
    <sheet sheetId="6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<sst xmlns="http://schemas.openxmlformats.org/spreadsheetml/2006/main" count="476" uniqueCount="177">
  <si>
    <t xml:space="preserve">GREEN  MARINE  CO.,  LTD.  </t>
  </si>
  <si>
    <t>FINAL  WORKING  REPORT (VOUCHER)</t>
  </si>
  <si>
    <t xml:space="preserve">M / V : </t>
  </si>
  <si>
    <t>SAWASDEE DENEB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</si>
  <si>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</si>
  <si>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</si>
  <si>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</si>
  <si>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</si>
  <si>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</si>
  <si>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</si>
  <si>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</si>
  <si>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</si>
  <si>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</si>
  <si>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</si>
  <si>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</si>
  <si>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</si>
  <si>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</si>
  <si>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</si>
  <si>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</si>
  <si>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</si>
  <si>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</si>
  <si>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</si>
  <si>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</si>
  <si>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</si>
  <si>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</si>
  <si>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</si>
  <si>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</si>
  <si>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</si>
  <si>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>M / V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</si>
  <si>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>VOY # : 2607N &amp; 2608S</t>
  </si>
  <si>
    <t xml:space="preserve">DATE : </t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</si>
  <si>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</si>
  <si>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</si>
  <si>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</si>
  <si>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</si>
  <si>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t>Rainy</t>
  </si>
  <si>
    <r>
      <t xml:space="preserve">PORT : </t>
    </r>
    <r>
      <rPr>
        <u/>
        <charset val="129"/>
        <family val="3"/>
        <sz val="9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</si>
  <si>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</si>
  <si>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</si>
  <si>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14th</t>
  </si>
  <si>
    <t xml:space="preserve"> </t>
  </si>
  <si>
    <t>15th</t>
  </si>
  <si>
    <t xml:space="preserve"> CARGO  OVERAGE &amp; SHORTAGE  REPORT  (DISCH)</t>
  </si>
  <si>
    <r>
      <t>M / V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</si>
  <si>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</si>
  <si>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</si>
  <si>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</si>
  <si>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</si>
  <si>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</si>
  <si>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</si>
  <si>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</si>
  <si>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</si>
  <si>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</si>
  <si>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</si>
  <si>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</si>
  <si>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</si>
  <si>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</si>
  <si>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</si>
  <si>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</si>
  <si>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</si>
  <si>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</si>
  <si>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</si>
  <si>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z val="10"/>
        <rFont val="Arial Unicode MS"/>
      </rPr>
      <t>REMARKS</t>
    </r>
  </si>
  <si>
    <t>STEVEDORE  PCTC</t>
  </si>
  <si>
    <t xml:space="preserve"> CARGO DAMAGE REPORT </t>
  </si>
  <si>
    <r>
      <t xml:space="preserve">M / V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</si>
  <si>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2607N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</si>
  <si>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</si>
  <si>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</si>
  <si>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 PCTC</t>
    </r>
  </si>
  <si>
    <r>
      <t xml:space="preserve">BERTH 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</si>
  <si>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</si>
  <si>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</si>
  <si>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</si>
  <si>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</si>
  <si>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</si>
  <si>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</si>
  <si>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</si>
  <si>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</si>
  <si>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2608S</t>
    </r>
  </si>
  <si>
    <r>
      <t xml:space="preserve">BERTH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</si>
  <si>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</si>
  <si>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SAWASDEE DENEB</t>
    </r>
  </si>
  <si>
    <t>DATE  :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</si>
  <si>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2607N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</si>
  <si>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</si>
  <si>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</si>
  <si>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</si>
  <si>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</si>
  <si>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</si>
  <si>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</si>
  <si>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</si>
  <si>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</si>
  <si>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</si>
  <si>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</si>
  <si>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</si>
  <si>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</si>
  <si>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</si>
  <si>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</si>
  <si>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2608S</t>
    </r>
  </si>
  <si>
    <t>LOAD.</t>
  </si>
  <si>
    <t>HLHU8521486</t>
  </si>
  <si>
    <t>HAL08550</t>
  </si>
  <si>
    <t>HAL085550</t>
  </si>
  <si>
    <t>SGN - HAS</t>
  </si>
  <si>
    <t>REEFER CONTAINER CONDITION REPORT</t>
  </si>
  <si>
    <t>Discharging  /  Loading</t>
  </si>
  <si>
    <t>( 1/1 )</t>
  </si>
  <si>
    <t>VOY # :</t>
  </si>
  <si>
    <t>PIER : PCTC</t>
  </si>
  <si>
    <r>
      <t xml:space="preserve"> </t>
    </r>
    <r>
      <rPr>
        <u/>
        <charset val="129"/>
        <family val="3"/>
        <sz val="12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</si>
  <si>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</si>
  <si>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</si>
  <si>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</si>
  <si>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</si>
  <si>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</si>
  <si>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</si>
  <si>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</si>
  <si>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</si>
  <si>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</si>
  <si>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(2/2 )</t>
  </si>
  <si>
    <t>SKRU9903109</t>
  </si>
  <si>
    <t>40'RH</t>
  </si>
  <si>
    <t>SKR-SGN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</si>
  <si>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</si>
  <si>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</si>
  <si>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</si>
  <si>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</si>
  <si>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</si>
  <si>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</si>
  <si>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FBIU5373094</t>
  </si>
  <si>
    <t>14:50HR'S</t>
  </si>
  <si>
    <t>SKR-PUS</t>
  </si>
  <si>
    <t>FSCU5895715</t>
  </si>
  <si>
    <t>"</t>
  </si>
  <si>
    <t>FSCU5897220</t>
  </si>
  <si>
    <t>SKRU9908857</t>
  </si>
  <si>
    <t>SKRU9908923</t>
  </si>
  <si>
    <t>SZLU9372001</t>
  </si>
  <si>
    <t>GREEN MARINE CO., LTD</t>
  </si>
  <si>
    <t>PERFORMANCE REPORT</t>
  </si>
  <si>
    <r>
      <t xml:space="preserve">M/V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</si>
  <si>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</si>
  <si>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>PCTC</t>
  </si>
  <si>
    <t>Status</t>
  </si>
  <si>
    <t xml:space="preserve"> Description</t>
  </si>
  <si>
    <t>HC</t>
  </si>
  <si>
    <t>IN BOUND</t>
  </si>
  <si>
    <t>40'RH x 3</t>
  </si>
  <si>
    <t>20'RF x 1 , 40'RH x 1</t>
  </si>
  <si>
    <t>40'RH x 4</t>
  </si>
  <si>
    <t>S-TOTAL</t>
  </si>
  <si>
    <t>OUT BOUND</t>
  </si>
  <si>
    <t>40'DG x 1 , 40'RH x 6</t>
  </si>
  <si>
    <t>40'RH x 8</t>
  </si>
  <si>
    <t>20'DG x 9</t>
  </si>
  <si>
    <t>20'DG x 7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</si>
  <si>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</si>
  <si>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</si>
  <si>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</si>
  <si>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</si>
  <si>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</si>
  <si>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</si>
  <si>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</si>
  <si>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</si>
  <si>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#2 (G/C)</t>
  </si>
  <si>
    <t>COMMENCED LOAD.</t>
  </si>
  <si>
    <t>LOAD. OF CONT'R</t>
  </si>
  <si>
    <t>MEAL TIME</t>
  </si>
  <si>
    <t>COMPLETED LOAD. &amp; GANGS K/OFF</t>
  </si>
  <si>
    <t>#3 (G/C)</t>
  </si>
  <si>
    <t>COMMENCED DISCH.</t>
  </si>
  <si>
    <t>DISCH. OF CONT'R</t>
  </si>
  <si>
    <t>COMPLETED DISCH.</t>
  </si>
  <si>
    <t>#4 (G/C)</t>
  </si>
  <si>
    <t>WAITED DUE TO STRONG WIND</t>
  </si>
  <si>
    <t>TEA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</si>
</sst>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#,##0.00_ "/>
    <numFmt numFmtId="170" formatCode="0_ "/>
    <numFmt numFmtId="171" formatCode="hh:mm&quot; HRS&quot;"/>
    <numFmt numFmtId="172" formatCode="hh:mm"/>
  </numFmts>
  <fonts count="37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9"/>
      <name val="Arial Unicode MS"/>
    </font>
    <font>
      <charset val="129"/>
      <family val="3"/>
      <sz val="10"/>
      <name val="Arial Unicode MS"/>
    </font>
    <font>
      <b/>
      <charset val="129"/>
      <family val="3"/>
      <sz val="12"/>
      <name val="Arial Unicode MS"/>
    </font>
    <font>
      <family val="2"/>
      <sz val="12"/>
      <name val="Arial Black"/>
    </font>
    <font>
      <b/>
      <charset val="129"/>
      <family val="3"/>
      <sz val="14"/>
      <name val="돋움"/>
    </font>
    <font>
      <b/>
      <charset val="129"/>
      <family val="3"/>
      <sz val="22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10"/>
      <name val="Arial Unicode MS"/>
    </font>
    <font>
      <u/>
      <charset val="129"/>
      <family val="3"/>
      <sz val="10"/>
      <name val="Arial Unicode MS"/>
    </font>
    <font>
      <b/>
      <charset val="129"/>
      <color indexed="8"/>
      <family val="3"/>
      <sz val="16"/>
      <name val="Arial Unicode MS"/>
    </font>
    <font>
      <charset val="129"/>
      <color indexed="8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family val="2"/>
      <sz val="22"/>
      <name val="Arial Black"/>
    </font>
    <font>
      <charset val="129"/>
      <family val="3"/>
      <sz val="10"/>
      <name val="돋움"/>
    </font>
    <font>
      <charset val="129"/>
      <color indexed="8"/>
      <family val="3"/>
      <sz val="10"/>
      <name val="Arial Unicode MS"/>
    </font>
    <font>
      <charset val="129"/>
      <color indexed="8"/>
      <family val="3"/>
      <sz val="9"/>
      <name val="Arial Unicode MS"/>
    </font>
    <font>
      <charset val="129"/>
      <color rgb="FF000000"/>
      <family val="3"/>
      <sz val="10"/>
      <name val="Arial Unicode MS"/>
    </font>
    <font>
      <charset val="129"/>
      <color rgb="FF000000"/>
      <family val="3"/>
      <sz val="9"/>
      <name val="Arial Unicode MS"/>
    </font>
    <font>
      <charset val="129"/>
      <color theme="1"/>
      <family val="3"/>
      <sz val="10"/>
      <name val="Arial Unicode MS"/>
    </font>
    <font>
      <charset val="129"/>
      <family val="3"/>
      <sz val="11"/>
      <name val="돋움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charset val="129"/>
      <family val="3"/>
      <sz val="7"/>
      <name val="Arial Unicode MS"/>
    </font>
    <font>
      <u/>
      <charset val="129"/>
      <family val="3"/>
      <sz val="1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0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4" fontId="8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5" fillId="0" borderId="0" xfId="0" applyNumberFormat="1" applyFont="1"/>
    <xf numFmtId="0" fontId="7" fillId="0" borderId="0" xfId="0" applyFont="1"/>
    <xf numFmtId="164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center" shrinkToFi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shrinkToFit="1"/>
    </xf>
    <xf numFmtId="16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164" fontId="10" fillId="0" borderId="31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shrinkToFit="1"/>
    </xf>
    <xf numFmtId="164" fontId="10" fillId="0" borderId="36" xfId="0" applyNumberFormat="1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shrinkToFit="1"/>
    </xf>
    <xf numFmtId="164" fontId="10" fillId="0" borderId="43" xfId="0" applyNumberFormat="1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 shrinkToFit="1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 shrinkToFit="1"/>
    </xf>
    <xf numFmtId="164" fontId="10" fillId="0" borderId="40" xfId="0" applyNumberFormat="1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64" fontId="10" fillId="0" borderId="12" xfId="0" applyNumberFormat="1" applyFont="1" applyBorder="1" applyAlignment="1">
      <alignment horizontal="center" vertical="center" shrinkToFit="1"/>
    </xf>
    <xf numFmtId="0" fontId="10" fillId="0" borderId="5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4" fontId="10" fillId="0" borderId="53" xfId="0" applyNumberFormat="1" applyFont="1" applyBorder="1" applyAlignment="1">
      <alignment horizontal="center" vertical="center" shrinkToFit="1"/>
    </xf>
    <xf numFmtId="0" fontId="10" fillId="0" borderId="5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164" fontId="10" fillId="0" borderId="58" xfId="0" applyNumberFormat="1" applyFont="1" applyBorder="1" applyAlignment="1">
      <alignment horizontal="center" vertical="center" shrinkToFit="1"/>
    </xf>
    <xf numFmtId="0" fontId="10" fillId="0" borderId="53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165" fontId="10" fillId="0" borderId="52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shrinkToFit="1"/>
    </xf>
    <xf numFmtId="0" fontId="11" fillId="0" borderId="45" xfId="0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165" fontId="10" fillId="0" borderId="44" xfId="0" applyNumberFormat="1" applyFont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165" fontId="10" fillId="0" borderId="43" xfId="0" applyNumberFormat="1" applyFont="1" applyBorder="1" applyAlignment="1">
      <alignment horizontal="center" vertical="center"/>
    </xf>
    <xf numFmtId="165" fontId="10" fillId="0" borderId="46" xfId="0" applyNumberFormat="1" applyFont="1" applyBorder="1" applyAlignment="1">
      <alignment horizontal="center" vertical="center"/>
    </xf>
    <xf numFmtId="165" fontId="10" fillId="0" borderId="4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62" xfId="0" applyFont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7" fillId="0" borderId="64" xfId="0" applyFont="1" applyBorder="1" applyAlignment="1">
      <alignment horizontal="left" vertical="center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164" fontId="11" fillId="0" borderId="4" xfId="0" applyNumberFormat="1" applyFont="1" applyBorder="1" applyAlignment="1">
      <alignment horizontal="left" vertical="center" wrapText="1" shrinkToFit="1"/>
    </xf>
    <xf numFmtId="164" fontId="11" fillId="0" borderId="65" xfId="0" applyNumberFormat="1" applyFont="1" applyBorder="1" applyAlignment="1">
      <alignment horizontal="left" vertical="center" wrapText="1" shrinkToFit="1"/>
    </xf>
    <xf numFmtId="164" fontId="11" fillId="0" borderId="66" xfId="0" applyNumberFormat="1" applyFont="1" applyBorder="1" applyAlignment="1">
      <alignment horizontal="left" vertical="center" wrapText="1" shrinkToFit="1"/>
    </xf>
    <xf numFmtId="164" fontId="11" fillId="0" borderId="67" xfId="0" applyNumberFormat="1" applyFont="1" applyBorder="1" applyAlignment="1">
      <alignment horizontal="center" vertical="center" wrapText="1" shrinkToFit="1"/>
    </xf>
    <xf numFmtId="164" fontId="11" fillId="0" borderId="0" xfId="0" applyNumberFormat="1" applyFont="1" applyAlignment="1">
      <alignment horizontal="center" vertical="center" wrapText="1" shrinkToFit="1"/>
    </xf>
    <xf numFmtId="164" fontId="11" fillId="0" borderId="68" xfId="0" applyNumberFormat="1" applyFont="1" applyBorder="1" applyAlignment="1">
      <alignment horizontal="center" vertical="center" wrapText="1" shrinkToFit="1"/>
    </xf>
    <xf numFmtId="164" fontId="11" fillId="0" borderId="67" xfId="0" applyNumberFormat="1" applyFont="1" applyBorder="1" applyAlignment="1">
      <alignment horizontal="left" vertical="center" shrinkToFit="1"/>
    </xf>
    <xf numFmtId="164" fontId="11" fillId="0" borderId="0" xfId="0" applyNumberFormat="1" applyFont="1" applyAlignment="1">
      <alignment horizontal="left" vertical="center" shrinkToFit="1"/>
    </xf>
    <xf numFmtId="164" fontId="11" fillId="0" borderId="68" xfId="0" applyNumberFormat="1" applyFont="1" applyBorder="1" applyAlignment="1">
      <alignment horizontal="left" vertical="center" shrinkToFit="1"/>
    </xf>
    <xf numFmtId="164" fontId="11" fillId="0" borderId="67" xfId="0" applyNumberFormat="1" applyFont="1" applyBorder="1" applyAlignment="1">
      <alignment horizontal="left" vertical="center" wrapText="1" shrinkToFit="1" indent="1"/>
    </xf>
    <xf numFmtId="164" fontId="11" fillId="0" borderId="0" xfId="0" applyNumberFormat="1" applyFont="1" applyAlignment="1">
      <alignment horizontal="left" vertical="center" wrapText="1" shrinkToFit="1" indent="1"/>
    </xf>
    <xf numFmtId="164" fontId="11" fillId="0" borderId="68" xfId="0" applyNumberFormat="1" applyFont="1" applyBorder="1" applyAlignment="1">
      <alignment horizontal="left" vertical="center" wrapText="1" shrinkToFit="1" indent="1"/>
    </xf>
    <xf numFmtId="164" fontId="11" fillId="0" borderId="67" xfId="0" applyNumberFormat="1" applyFont="1" applyBorder="1" applyAlignment="1">
      <alignment horizontal="left" vertical="center" wrapText="1" shrinkToFit="1"/>
    </xf>
    <xf numFmtId="164" fontId="11" fillId="0" borderId="0" xfId="0" applyNumberFormat="1" applyFont="1" applyAlignment="1">
      <alignment horizontal="left" vertical="center" wrapText="1" shrinkToFit="1"/>
    </xf>
    <xf numFmtId="164" fontId="11" fillId="0" borderId="68" xfId="0" applyNumberFormat="1" applyFont="1" applyBorder="1" applyAlignment="1">
      <alignment horizontal="left" vertical="center" wrapText="1" shrinkToFit="1"/>
    </xf>
    <xf numFmtId="164" fontId="11" fillId="0" borderId="67" xfId="0" applyNumberFormat="1" applyFont="1" applyBorder="1" applyAlignment="1">
      <alignment vertical="center" wrapText="1" shrinkToFit="1"/>
    </xf>
    <xf numFmtId="164" fontId="11" fillId="0" borderId="0" xfId="0" applyNumberFormat="1" applyFont="1" applyAlignment="1">
      <alignment vertical="center" wrapText="1" shrinkToFit="1"/>
    </xf>
    <xf numFmtId="164" fontId="11" fillId="0" borderId="68" xfId="0" applyNumberFormat="1" applyFont="1" applyBorder="1" applyAlignment="1">
      <alignment vertical="center" wrapText="1" shrinkToFit="1"/>
    </xf>
    <xf numFmtId="164" fontId="11" fillId="0" borderId="69" xfId="0" applyNumberFormat="1" applyFont="1" applyBorder="1" applyAlignment="1">
      <alignment horizontal="left" vertical="center" wrapText="1" shrinkToFit="1"/>
    </xf>
    <xf numFmtId="164" fontId="11" fillId="0" borderId="70" xfId="0" applyNumberFormat="1" applyFont="1" applyBorder="1" applyAlignment="1">
      <alignment horizontal="left" vertical="center" wrapText="1" shrinkToFit="1"/>
    </xf>
    <xf numFmtId="164" fontId="11" fillId="0" borderId="71" xfId="0" applyNumberFormat="1" applyFont="1" applyBorder="1" applyAlignment="1">
      <alignment horizontal="left" vertical="center" wrapText="1" shrinkToFit="1"/>
    </xf>
    <xf numFmtId="164" fontId="11" fillId="0" borderId="69" xfId="0" applyNumberFormat="1" applyFont="1" applyBorder="1" applyAlignment="1">
      <alignment horizontal="center" vertical="center" wrapText="1" shrinkToFit="1"/>
    </xf>
    <xf numFmtId="164" fontId="11" fillId="0" borderId="70" xfId="0" applyNumberFormat="1" applyFont="1" applyBorder="1" applyAlignment="1">
      <alignment horizontal="center" vertical="center" wrapText="1" shrinkToFit="1"/>
    </xf>
    <xf numFmtId="164" fontId="11" fillId="0" borderId="71" xfId="0" applyNumberFormat="1" applyFont="1" applyBorder="1" applyAlignment="1">
      <alignment horizontal="center" vertical="center" wrapText="1" shrinkToFit="1"/>
    </xf>
    <xf numFmtId="0" fontId="5" fillId="0" borderId="48" xfId="0" applyFont="1" applyBorder="1"/>
    <xf numFmtId="164" fontId="8" fillId="0" borderId="48" xfId="0" applyNumberFormat="1" applyFont="1" applyBorder="1"/>
    <xf numFmtId="0" fontId="7" fillId="0" borderId="55" xfId="0" applyFont="1" applyBorder="1" applyAlignment="1">
      <alignment horizontal="center"/>
    </xf>
    <xf numFmtId="0" fontId="11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6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11" fillId="0" borderId="72" xfId="0" applyNumberFormat="1" applyFont="1" applyBorder="1" applyAlignment="1">
      <alignment horizontal="center" vertical="center"/>
    </xf>
    <xf numFmtId="20" fontId="11" fillId="0" borderId="28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indent="1"/>
    </xf>
    <xf numFmtId="0" fontId="11" fillId="0" borderId="61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47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indent="1"/>
    </xf>
    <xf numFmtId="0" fontId="11" fillId="0" borderId="73" xfId="0" applyFont="1" applyBorder="1" applyAlignment="1">
      <alignment horizontal="left" vertical="center" indent="1"/>
    </xf>
    <xf numFmtId="0" fontId="11" fillId="0" borderId="47" xfId="0" applyFont="1" applyBorder="1" applyAlignment="1">
      <alignment horizontal="left" vertical="center" indent="1"/>
    </xf>
    <xf numFmtId="166" fontId="11" fillId="0" borderId="6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166" fontId="11" fillId="0" borderId="61" xfId="0" applyNumberFormat="1" applyFont="1" applyBorder="1" applyAlignment="1">
      <alignment horizontal="center" vertical="center"/>
    </xf>
    <xf numFmtId="49" fontId="11" fillId="0" borderId="58" xfId="0" applyNumberFormat="1" applyFont="1" applyBorder="1" applyAlignment="1">
      <alignment horizontal="center" vertical="center"/>
    </xf>
    <xf numFmtId="166" fontId="11" fillId="0" borderId="43" xfId="0" applyNumberFormat="1" applyFont="1" applyBorder="1" applyAlignment="1">
      <alignment horizontal="center" vertical="center"/>
    </xf>
    <xf numFmtId="166" fontId="11" fillId="0" borderId="40" xfId="0" applyNumberFormat="1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 indent="1"/>
    </xf>
    <xf numFmtId="0" fontId="11" fillId="0" borderId="48" xfId="0" applyFont="1" applyBorder="1" applyAlignment="1">
      <alignment horizontal="left" vertical="center" indent="1"/>
    </xf>
    <xf numFmtId="0" fontId="11" fillId="0" borderId="39" xfId="0" applyFont="1" applyBorder="1" applyAlignment="1">
      <alignment horizontal="left" vertical="center" indent="1"/>
    </xf>
    <xf numFmtId="0" fontId="11" fillId="0" borderId="58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5" fillId="0" borderId="74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11" fillId="0" borderId="30" xfId="0" applyFont="1" applyBorder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5" fillId="0" borderId="55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59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48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164" fontId="11" fillId="0" borderId="40" xfId="0" applyNumberFormat="1" applyFont="1" applyBorder="1" applyAlignment="1">
      <alignment horizontal="center" vertical="center" wrapText="1" shrinkToFit="1"/>
    </xf>
    <xf numFmtId="0" fontId="11" fillId="0" borderId="39" xfId="0" applyFont="1" applyBorder="1" applyAlignment="1">
      <alignment horizontal="center" vertical="center" wrapText="1" shrinkToFit="1"/>
    </xf>
    <xf numFmtId="164" fontId="11" fillId="0" borderId="30" xfId="0" applyNumberFormat="1" applyFont="1" applyBorder="1" applyAlignment="1">
      <alignment horizontal="center" vertical="center" wrapText="1" shrinkToFit="1"/>
    </xf>
    <xf numFmtId="0" fontId="11" fillId="0" borderId="30" xfId="0" applyFont="1" applyBorder="1" applyAlignment="1">
      <alignment horizontal="left" vertical="center" shrinkToFit="1"/>
    </xf>
    <xf numFmtId="0" fontId="7" fillId="0" borderId="30" xfId="0" applyFont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 vertical="center" wrapText="1" shrinkToFit="1"/>
    </xf>
    <xf numFmtId="0" fontId="7" fillId="0" borderId="39" xfId="0" applyFont="1" applyBorder="1" applyAlignment="1">
      <alignment horizontal="center" vertical="center" wrapText="1" shrinkToFit="1"/>
    </xf>
    <xf numFmtId="164" fontId="7" fillId="0" borderId="30" xfId="0" applyNumberFormat="1" applyFont="1" applyBorder="1" applyAlignment="1">
      <alignment horizontal="center" vertical="center" wrapText="1" shrinkToFit="1"/>
    </xf>
    <xf numFmtId="0" fontId="10" fillId="0" borderId="30" xfId="0" applyFont="1" applyBorder="1" applyAlignment="1">
      <alignment horizontal="left" vertical="center" shrinkToFit="1"/>
    </xf>
    <xf numFmtId="0" fontId="7" fillId="0" borderId="33" xfId="0" applyFont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33" xfId="0" applyNumberFormat="1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wrapText="1" shrinkToFit="1"/>
    </xf>
    <xf numFmtId="0" fontId="10" fillId="0" borderId="33" xfId="0" applyFont="1" applyBorder="1" applyAlignment="1">
      <alignment horizontal="left" vertical="center" shrinkToFit="1"/>
    </xf>
    <xf numFmtId="0" fontId="10" fillId="0" borderId="33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 wrapText="1" shrinkToFit="1"/>
    </xf>
    <xf numFmtId="0" fontId="11" fillId="0" borderId="1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 wrapText="1" shrinkToFit="1"/>
    </xf>
    <xf numFmtId="164" fontId="18" fillId="0" borderId="3" xfId="0" applyNumberFormat="1" applyFont="1" applyBorder="1" applyAlignment="1">
      <alignment horizontal="center" vertical="center" wrapText="1" shrinkToFit="1"/>
    </xf>
    <xf numFmtId="164" fontId="18" fillId="0" borderId="30" xfId="0" applyNumberFormat="1" applyFont="1" applyBorder="1" applyAlignment="1">
      <alignment horizontal="center" vertical="center" wrapText="1" shrinkToFit="1"/>
    </xf>
    <xf numFmtId="0" fontId="11" fillId="0" borderId="30" xfId="0" applyFont="1" applyBorder="1" applyAlignment="1">
      <alignment horizontal="left" vertical="center"/>
    </xf>
    <xf numFmtId="0" fontId="11" fillId="0" borderId="35" xfId="0" applyFont="1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164" fontId="11" fillId="0" borderId="35" xfId="0" applyNumberFormat="1" applyFont="1" applyBorder="1" applyAlignment="1">
      <alignment horizontal="center" vertical="center" wrapText="1" shrinkToFit="1"/>
    </xf>
    <xf numFmtId="0" fontId="11" fillId="0" borderId="58" xfId="0" applyFont="1" applyBorder="1" applyAlignment="1">
      <alignment horizontal="left" vertical="center"/>
    </xf>
    <xf numFmtId="0" fontId="19" fillId="0" borderId="55" xfId="0" applyFont="1" applyBorder="1" applyAlignment="1">
      <alignment horizontal="left" vertical="center"/>
    </xf>
    <xf numFmtId="0" fontId="19" fillId="0" borderId="57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75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 shrinkToFit="1"/>
    </xf>
    <xf numFmtId="0" fontId="11" fillId="0" borderId="40" xfId="0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5" fillId="0" borderId="58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72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59" xfId="0" applyFont="1" applyBorder="1" applyAlignment="1">
      <alignment horizontal="center" vertical="center"/>
    </xf>
    <xf numFmtId="0" fontId="11" fillId="0" borderId="6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59" xfId="0" applyFont="1" applyBorder="1" applyAlignment="1">
      <alignment horizontal="left" vertical="center" indent="1"/>
    </xf>
    <xf numFmtId="0" fontId="12" fillId="0" borderId="0" xfId="0" applyFont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72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64" fontId="7" fillId="0" borderId="25" xfId="0" applyNumberFormat="1" applyFont="1" applyBorder="1" applyAlignment="1">
      <alignment horizontal="center" vertical="center" wrapText="1" shrinkToFit="1"/>
    </xf>
    <xf numFmtId="0" fontId="7" fillId="0" borderId="25" xfId="0" applyFont="1" applyBorder="1" applyAlignment="1">
      <alignment horizontal="center" vertical="center" wrapText="1" shrinkToFit="1"/>
    </xf>
    <xf numFmtId="0" fontId="10" fillId="0" borderId="25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58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7" fillId="0" borderId="35" xfId="0" applyFont="1" applyBorder="1" applyAlignment="1">
      <alignment horizontal="center" vertical="center" wrapText="1" shrinkToFit="1"/>
    </xf>
    <xf numFmtId="0" fontId="10" fillId="0" borderId="35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11" fillId="0" borderId="33" xfId="0" applyFont="1" applyBorder="1" applyAlignment="1">
      <alignment horizontal="left" vertical="center"/>
    </xf>
    <xf numFmtId="164" fontId="17" fillId="0" borderId="6" xfId="0" applyNumberFormat="1" applyFont="1" applyBorder="1" applyAlignment="1">
      <alignment horizontal="center" vertical="center" wrapText="1" shrinkToFit="1"/>
    </xf>
    <xf numFmtId="164" fontId="17" fillId="0" borderId="10" xfId="0" applyNumberFormat="1" applyFont="1" applyBorder="1" applyAlignment="1">
      <alignment horizontal="center" vertical="center" wrapText="1" shrinkToFit="1"/>
    </xf>
    <xf numFmtId="0" fontId="17" fillId="0" borderId="33" xfId="0" applyFont="1" applyBorder="1" applyAlignment="1">
      <alignment vertical="center"/>
    </xf>
    <xf numFmtId="0" fontId="17" fillId="0" borderId="3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4" fontId="17" fillId="0" borderId="33" xfId="0" applyNumberFormat="1" applyFont="1" applyBorder="1" applyAlignment="1">
      <alignment horizontal="center" vertical="center" wrapText="1" shrinkToFit="1"/>
    </xf>
    <xf numFmtId="0" fontId="18" fillId="0" borderId="33" xfId="0" applyFont="1" applyBorder="1" applyAlignment="1">
      <alignment horizontal="left" vertical="center"/>
    </xf>
    <xf numFmtId="0" fontId="11" fillId="0" borderId="55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shrinkToFit="1"/>
    </xf>
    <xf numFmtId="0" fontId="11" fillId="0" borderId="72" xfId="0" applyFont="1" applyBorder="1" applyAlignment="1">
      <alignment horizontal="left" vertical="center" shrinkToFit="1"/>
    </xf>
    <xf numFmtId="0" fontId="11" fillId="0" borderId="26" xfId="0" applyFont="1" applyBorder="1" applyAlignment="1">
      <alignment horizontal="left" vertical="center" shrinkToFit="1"/>
    </xf>
    <xf numFmtId="0" fontId="11" fillId="0" borderId="28" xfId="0" applyFont="1" applyBorder="1" applyAlignment="1">
      <alignment horizontal="left" vertical="center" shrinkToFit="1"/>
    </xf>
    <xf numFmtId="0" fontId="1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7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20" fillId="0" borderId="1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4" xfId="0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 shrinkToFit="1"/>
    </xf>
    <xf numFmtId="0" fontId="21" fillId="0" borderId="25" xfId="0" applyFont="1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shrinkToFit="1"/>
    </xf>
    <xf numFmtId="0" fontId="21" fillId="0" borderId="30" xfId="0" applyFont="1" applyBorder="1" applyAlignment="1">
      <alignment horizontal="center" vertical="center" shrinkToFit="1"/>
    </xf>
    <xf numFmtId="0" fontId="21" fillId="0" borderId="33" xfId="0" applyFont="1" applyBorder="1" applyAlignment="1">
      <alignment horizontal="center" vertical="center" shrinkToFit="1"/>
    </xf>
    <xf numFmtId="0" fontId="22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49" fontId="23" fillId="0" borderId="33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7" xfId="0" applyFont="1" applyBorder="1" applyAlignment="1">
      <alignment horizontal="center" vertical="center" shrinkToFit="1"/>
    </xf>
    <xf numFmtId="0" fontId="21" fillId="0" borderId="6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49" fontId="23" fillId="0" borderId="11" xfId="0" applyNumberFormat="1" applyFont="1" applyBorder="1" applyAlignment="1">
      <alignment horizontal="center" vertical="center" shrinkToFit="1"/>
    </xf>
    <xf numFmtId="0" fontId="21" fillId="0" borderId="45" xfId="0" applyFont="1" applyBorder="1" applyAlignment="1">
      <alignment horizontal="center" vertical="center" shrinkToFit="1"/>
    </xf>
    <xf numFmtId="0" fontId="23" fillId="0" borderId="45" xfId="0" applyFont="1" applyBorder="1" applyAlignment="1">
      <alignment horizontal="center" vertical="center" shrinkToFit="1"/>
    </xf>
    <xf numFmtId="49" fontId="23" fillId="0" borderId="45" xfId="0" applyNumberFormat="1" applyFont="1" applyBorder="1" applyAlignment="1">
      <alignment horizontal="center" vertical="center" shrinkToFit="1"/>
    </xf>
    <xf numFmtId="49" fontId="23" fillId="0" borderId="30" xfId="0" applyNumberFormat="1" applyFont="1" applyBorder="1" applyAlignment="1">
      <alignment horizontal="center" vertical="center" shrinkToFit="1"/>
    </xf>
    <xf numFmtId="0" fontId="21" fillId="0" borderId="35" xfId="0" applyFont="1" applyBorder="1" applyAlignment="1">
      <alignment horizontal="center" vertical="center" shrinkToFit="1"/>
    </xf>
    <xf numFmtId="0" fontId="23" fillId="0" borderId="35" xfId="0" applyFont="1" applyBorder="1" applyAlignment="1">
      <alignment horizontal="center" vertical="center" shrinkToFit="1"/>
    </xf>
    <xf numFmtId="49" fontId="23" fillId="0" borderId="35" xfId="0" applyNumberFormat="1" applyFont="1" applyBorder="1" applyAlignment="1">
      <alignment horizontal="center" vertical="center" shrinkToFit="1"/>
    </xf>
    <xf numFmtId="49" fontId="21" fillId="0" borderId="11" xfId="0" applyNumberFormat="1" applyFont="1" applyBorder="1" applyAlignment="1">
      <alignment horizontal="center" vertical="center" shrinkToFit="1"/>
    </xf>
    <xf numFmtId="49" fontId="21" fillId="0" borderId="33" xfId="0" applyNumberFormat="1" applyFont="1" applyBorder="1" applyAlignment="1">
      <alignment horizontal="center" vertical="center" shrinkToFit="1"/>
    </xf>
    <xf numFmtId="0" fontId="21" fillId="0" borderId="33" xfId="0" applyFont="1" applyBorder="1" applyAlignment="1">
      <alignment vertical="center" shrinkToFit="1"/>
    </xf>
    <xf numFmtId="49" fontId="21" fillId="0" borderId="33" xfId="0" applyNumberFormat="1" applyFont="1" applyBorder="1" applyAlignment="1">
      <alignment vertical="center" shrinkToFit="1"/>
    </xf>
    <xf numFmtId="0" fontId="5" fillId="0" borderId="30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23" fillId="0" borderId="30" xfId="0" applyFont="1" applyBorder="1" applyAlignment="1" applyProtection="1">
      <alignment horizontal="center" vertical="center"/>
      <protection locked="0"/>
    </xf>
    <xf numFmtId="0" fontId="22" fillId="0" borderId="30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shrinkToFit="1"/>
    </xf>
    <xf numFmtId="49" fontId="21" fillId="2" borderId="3" xfId="0" applyNumberFormat="1" applyFont="1" applyFill="1" applyBorder="1" applyAlignment="1">
      <alignment horizontal="center" vertical="center" shrinkToFit="1"/>
    </xf>
    <xf numFmtId="49" fontId="21" fillId="2" borderId="33" xfId="0" applyNumberFormat="1" applyFont="1" applyFill="1" applyBorder="1" applyAlignment="1">
      <alignment horizontal="center" vertical="center" shrinkToFit="1"/>
    </xf>
    <xf numFmtId="49" fontId="21" fillId="2" borderId="35" xfId="0" applyNumberFormat="1" applyFont="1" applyFill="1" applyBorder="1" applyAlignment="1">
      <alignment horizontal="center" vertical="center" shrinkToFit="1"/>
    </xf>
    <xf numFmtId="49" fontId="21" fillId="0" borderId="35" xfId="0" applyNumberFormat="1" applyFont="1" applyBorder="1" applyAlignment="1">
      <alignment horizontal="center" vertical="center" shrinkToFit="1"/>
    </xf>
    <xf numFmtId="49" fontId="21" fillId="2" borderId="11" xfId="0" applyNumberFormat="1" applyFont="1" applyFill="1" applyBorder="1" applyAlignment="1">
      <alignment horizontal="center" vertical="center" shrinkToFit="1"/>
    </xf>
    <xf numFmtId="49" fontId="21" fillId="2" borderId="30" xfId="0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164" fontId="13" fillId="0" borderId="77" xfId="0" applyNumberFormat="1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1" fillId="0" borderId="30" xfId="0" applyFont="1" applyBorder="1" applyAlignment="1" applyProtection="1">
      <alignment horizontal="center" vertical="center" shrinkToFit="1"/>
      <protection locked="0"/>
    </xf>
    <xf numFmtId="0" fontId="26" fillId="0" borderId="30" xfId="0" applyFont="1" applyBorder="1" applyAlignment="1">
      <alignment horizontal="center" vertical="center" shrinkToFit="1"/>
    </xf>
    <xf numFmtId="0" fontId="11" fillId="3" borderId="30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67" fontId="11" fillId="0" borderId="30" xfId="0" applyNumberFormat="1" applyFont="1" applyBorder="1" applyAlignment="1" applyProtection="1">
      <alignment horizontal="center" vertical="center" shrinkToFit="1"/>
      <protection locked="0"/>
    </xf>
    <xf numFmtId="168" fontId="11" fillId="0" borderId="30" xfId="0" applyNumberFormat="1" applyFont="1" applyBorder="1" applyAlignment="1">
      <alignment horizontal="center" vertical="center" shrinkToFit="1"/>
    </xf>
    <xf numFmtId="169" fontId="27" fillId="0" borderId="30" xfId="0" applyNumberFormat="1" applyFont="1" applyBorder="1" applyAlignment="1">
      <alignment horizontal="center" vertical="center" shrinkToFit="1"/>
    </xf>
    <xf numFmtId="0" fontId="11" fillId="0" borderId="33" xfId="0" applyFont="1" applyBorder="1" applyAlignment="1" applyProtection="1">
      <alignment horizontal="center" vertical="center" shrinkToFit="1"/>
      <protection locked="0"/>
    </xf>
    <xf numFmtId="0" fontId="26" fillId="0" borderId="33" xfId="0" applyFont="1" applyBorder="1" applyAlignment="1">
      <alignment horizontal="center" vertical="center" shrinkToFit="1"/>
    </xf>
    <xf numFmtId="0" fontId="11" fillId="3" borderId="33" xfId="0" applyFont="1" applyFill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167" fontId="11" fillId="0" borderId="33" xfId="0" applyNumberFormat="1" applyFont="1" applyBorder="1" applyAlignment="1" applyProtection="1">
      <alignment horizontal="center" vertical="center" shrinkToFit="1"/>
      <protection locked="0"/>
    </xf>
    <xf numFmtId="168" fontId="11" fillId="0" borderId="33" xfId="0" applyNumberFormat="1" applyFont="1" applyBorder="1" applyAlignment="1">
      <alignment horizontal="center" vertical="center" shrinkToFit="1"/>
    </xf>
    <xf numFmtId="169" fontId="27" fillId="0" borderId="33" xfId="0" applyNumberFormat="1" applyFont="1" applyBorder="1" applyAlignment="1">
      <alignment horizontal="center" vertical="center" shrinkToFit="1"/>
    </xf>
    <xf numFmtId="49" fontId="28" fillId="0" borderId="45" xfId="0" applyNumberFormat="1" applyFont="1" applyBorder="1" applyAlignment="1">
      <alignment horizontal="center" vertical="center" shrinkToFit="1"/>
    </xf>
    <xf numFmtId="0" fontId="26" fillId="0" borderId="45" xfId="0" applyFont="1" applyBorder="1" applyAlignment="1">
      <alignment horizontal="center" vertical="center" shrinkToFit="1"/>
    </xf>
    <xf numFmtId="167" fontId="28" fillId="0" borderId="45" xfId="0" applyNumberFormat="1" applyFont="1" applyBorder="1" applyAlignment="1">
      <alignment horizontal="center" vertical="center" shrinkToFit="1"/>
    </xf>
    <xf numFmtId="168" fontId="11" fillId="0" borderId="45" xfId="0" applyNumberFormat="1" applyFont="1" applyBorder="1" applyAlignment="1">
      <alignment horizontal="center" vertical="center" shrinkToFit="1"/>
    </xf>
    <xf numFmtId="49" fontId="29" fillId="0" borderId="45" xfId="0" applyNumberFormat="1" applyFont="1" applyBorder="1" applyAlignment="1">
      <alignment horizontal="center" vertical="center" shrinkToFit="1"/>
    </xf>
    <xf numFmtId="49" fontId="28" fillId="0" borderId="30" xfId="0" applyNumberFormat="1" applyFont="1" applyBorder="1" applyAlignment="1">
      <alignment horizontal="center" vertical="center" shrinkToFit="1"/>
    </xf>
    <xf numFmtId="167" fontId="28" fillId="0" borderId="30" xfId="0" applyNumberFormat="1" applyFont="1" applyBorder="1" applyAlignment="1">
      <alignment horizontal="center" vertical="center" shrinkToFit="1"/>
    </xf>
    <xf numFmtId="20" fontId="11" fillId="0" borderId="30" xfId="0" applyNumberFormat="1" applyFont="1" applyBorder="1" applyAlignment="1">
      <alignment horizontal="center" vertical="center" shrinkToFit="1"/>
    </xf>
    <xf numFmtId="49" fontId="29" fillId="0" borderId="30" xfId="0" applyNumberFormat="1" applyFont="1" applyBorder="1" applyAlignment="1">
      <alignment horizontal="center" vertical="center" shrinkToFit="1"/>
    </xf>
    <xf numFmtId="49" fontId="28" fillId="4" borderId="33" xfId="0" applyNumberFormat="1" applyFont="1" applyFill="1" applyBorder="1" applyAlignment="1">
      <alignment horizontal="center" vertical="center" shrinkToFit="1"/>
    </xf>
    <xf numFmtId="0" fontId="11" fillId="3" borderId="59" xfId="0" applyFont="1" applyFill="1" applyBorder="1" applyAlignment="1">
      <alignment horizontal="center" vertical="center" shrinkToFit="1"/>
    </xf>
    <xf numFmtId="0" fontId="11" fillId="0" borderId="61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167" fontId="28" fillId="4" borderId="33" xfId="0" applyNumberFormat="1" applyFont="1" applyFill="1" applyBorder="1" applyAlignment="1">
      <alignment horizontal="center" vertical="center" shrinkToFit="1"/>
    </xf>
    <xf numFmtId="20" fontId="11" fillId="0" borderId="59" xfId="0" applyNumberFormat="1" applyFont="1" applyBorder="1" applyAlignment="1">
      <alignment horizontal="center" vertical="center" shrinkToFit="1"/>
    </xf>
    <xf numFmtId="0" fontId="27" fillId="0" borderId="59" xfId="0" applyFont="1" applyBorder="1" applyAlignment="1">
      <alignment horizontal="center" vertical="center" shrinkToFit="1"/>
    </xf>
    <xf numFmtId="167" fontId="30" fillId="0" borderId="59" xfId="0" applyNumberFormat="1" applyFont="1" applyBorder="1" applyAlignment="1">
      <alignment horizontal="center" vertical="center" shrinkToFit="1"/>
    </xf>
    <xf numFmtId="0" fontId="10" fillId="3" borderId="59" xfId="0" applyFont="1" applyFill="1" applyBorder="1" applyAlignment="1">
      <alignment horizontal="center" vertical="center" shrinkToFit="1"/>
    </xf>
    <xf numFmtId="0" fontId="11" fillId="3" borderId="45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 shrinkToFit="1"/>
    </xf>
    <xf numFmtId="167" fontId="30" fillId="0" borderId="45" xfId="0" applyNumberFormat="1" applyFont="1" applyBorder="1" applyAlignment="1">
      <alignment horizontal="center" vertical="center" shrinkToFit="1"/>
    </xf>
    <xf numFmtId="20" fontId="11" fillId="0" borderId="45" xfId="0" applyNumberFormat="1" applyFont="1" applyBorder="1" applyAlignment="1">
      <alignment horizontal="center" vertical="center" shrinkToFit="1"/>
    </xf>
    <xf numFmtId="0" fontId="10" fillId="3" borderId="45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167" fontId="30" fillId="0" borderId="30" xfId="0" applyNumberFormat="1" applyFont="1" applyBorder="1" applyAlignment="1">
      <alignment horizontal="center" vertical="center" shrinkToFit="1"/>
    </xf>
    <xf numFmtId="0" fontId="10" fillId="3" borderId="30" xfId="0" applyFont="1" applyFill="1" applyBorder="1" applyAlignment="1">
      <alignment horizontal="center" vertical="center" shrinkToFit="1"/>
    </xf>
    <xf numFmtId="0" fontId="11" fillId="3" borderId="35" xfId="0" applyFont="1" applyFill="1" applyBorder="1" applyAlignment="1">
      <alignment horizontal="center" vertical="center" shrinkToFit="1"/>
    </xf>
    <xf numFmtId="167" fontId="30" fillId="0" borderId="35" xfId="0" applyNumberFormat="1" applyFont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 shrinkToFit="1"/>
    </xf>
    <xf numFmtId="0" fontId="10" fillId="3" borderId="35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shrinkToFit="1"/>
    </xf>
    <xf numFmtId="167" fontId="30" fillId="0" borderId="11" xfId="0" applyNumberFormat="1" applyFont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1" fillId="0" borderId="59" xfId="0" applyFont="1" applyBorder="1" applyAlignment="1">
      <alignment horizontal="center" vertical="center" shrinkToFit="1"/>
    </xf>
    <xf numFmtId="0" fontId="26" fillId="0" borderId="59" xfId="0" applyFont="1" applyBorder="1" applyAlignment="1">
      <alignment horizontal="center" vertical="center" shrinkToFit="1"/>
    </xf>
    <xf numFmtId="167" fontId="26" fillId="0" borderId="59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167" fontId="26" fillId="0" borderId="33" xfId="0" applyNumberFormat="1" applyFont="1" applyBorder="1" applyAlignment="1">
      <alignment horizontal="center" vertical="center" shrinkToFit="1"/>
    </xf>
    <xf numFmtId="0" fontId="11" fillId="0" borderId="30" xfId="0" applyFont="1" applyBorder="1" applyAlignment="1" applyProtection="1">
      <alignment horizontal="center" vertical="center"/>
      <protection locked="0"/>
    </xf>
    <xf numFmtId="0" fontId="26" fillId="0" borderId="30" xfId="0" applyFont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67" fontId="11" fillId="0" borderId="30" xfId="0" applyNumberFormat="1" applyFont="1" applyBorder="1" applyAlignment="1" applyProtection="1">
      <alignment horizontal="center" vertical="center"/>
      <protection locked="0"/>
    </xf>
    <xf numFmtId="168" fontId="11" fillId="0" borderId="30" xfId="0" applyNumberFormat="1" applyFont="1" applyBorder="1" applyAlignment="1">
      <alignment horizontal="center" vertical="center"/>
    </xf>
    <xf numFmtId="169" fontId="27" fillId="0" borderId="30" xfId="0" applyNumberFormat="1" applyFont="1" applyBorder="1" applyAlignment="1">
      <alignment horizontal="center" vertical="center"/>
    </xf>
    <xf numFmtId="0" fontId="11" fillId="0" borderId="33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67" fontId="11" fillId="0" borderId="33" xfId="0" applyNumberFormat="1" applyFont="1" applyBorder="1" applyAlignment="1" applyProtection="1">
      <alignment horizontal="center" vertical="center"/>
      <protection locked="0"/>
    </xf>
    <xf numFmtId="167" fontId="26" fillId="0" borderId="33" xfId="0" applyNumberFormat="1" applyFont="1" applyBorder="1" applyAlignment="1">
      <alignment horizontal="center" vertical="center"/>
    </xf>
    <xf numFmtId="168" fontId="11" fillId="0" borderId="33" xfId="0" applyNumberFormat="1" applyFont="1" applyBorder="1" applyAlignment="1">
      <alignment horizontal="center" vertical="center"/>
    </xf>
    <xf numFmtId="169" fontId="27" fillId="0" borderId="33" xfId="0" applyNumberFormat="1" applyFont="1" applyBorder="1" applyAlignment="1">
      <alignment horizontal="center" vertical="center"/>
    </xf>
    <xf numFmtId="167" fontId="28" fillId="0" borderId="33" xfId="0" applyNumberFormat="1" applyFont="1" applyBorder="1" applyAlignment="1">
      <alignment horizontal="center" vertical="center" shrinkToFit="1"/>
    </xf>
    <xf numFmtId="0" fontId="26" fillId="0" borderId="45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/>
    </xf>
    <xf numFmtId="167" fontId="28" fillId="5" borderId="45" xfId="0" applyNumberFormat="1" applyFont="1" applyFill="1" applyBorder="1" applyAlignment="1">
      <alignment horizontal="center" vertical="center" shrinkToFit="1"/>
    </xf>
    <xf numFmtId="168" fontId="11" fillId="0" borderId="45" xfId="0" applyNumberFormat="1" applyFont="1" applyBorder="1" applyAlignment="1">
      <alignment horizontal="center" vertical="center"/>
    </xf>
    <xf numFmtId="20" fontId="11" fillId="0" borderId="30" xfId="0" applyNumberFormat="1" applyFont="1" applyBorder="1" applyAlignment="1">
      <alignment horizontal="center" vertical="center"/>
    </xf>
    <xf numFmtId="49" fontId="28" fillId="4" borderId="33" xfId="0" applyNumberFormat="1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 wrapText="1"/>
    </xf>
    <xf numFmtId="167" fontId="28" fillId="4" borderId="33" xfId="0" applyNumberFormat="1" applyFont="1" applyFill="1" applyBorder="1" applyAlignment="1">
      <alignment horizontal="center" vertical="center"/>
    </xf>
    <xf numFmtId="167" fontId="30" fillId="0" borderId="59" xfId="0" applyNumberFormat="1" applyFont="1" applyBorder="1" applyAlignment="1">
      <alignment horizontal="center" vertical="center"/>
    </xf>
    <xf numFmtId="20" fontId="11" fillId="0" borderId="59" xfId="0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167" fontId="30" fillId="0" borderId="45" xfId="0" applyNumberFormat="1" applyFont="1" applyBorder="1" applyAlignment="1">
      <alignment horizontal="center" vertical="center"/>
    </xf>
    <xf numFmtId="20" fontId="11" fillId="0" borderId="45" xfId="0" applyNumberFormat="1" applyFont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167" fontId="30" fillId="0" borderId="30" xfId="0" applyNumberFormat="1" applyFont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 wrapText="1"/>
    </xf>
    <xf numFmtId="0" fontId="10" fillId="3" borderId="59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167" fontId="30" fillId="0" borderId="35" xfId="0" applyNumberFormat="1" applyFont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167" fontId="30" fillId="0" borderId="11" xfId="0" applyNumberFormat="1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/>
    </xf>
    <xf numFmtId="167" fontId="26" fillId="0" borderId="59" xfId="0" applyNumberFormat="1" applyFont="1" applyBorder="1" applyAlignment="1">
      <alignment horizontal="center" vertical="center"/>
    </xf>
    <xf numFmtId="167" fontId="11" fillId="0" borderId="59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67" fontId="11" fillId="0" borderId="33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7" fillId="0" borderId="70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65" xfId="0" applyFont="1" applyBorder="1" applyAlignment="1">
      <alignment horizontal="right" vertical="center"/>
    </xf>
    <xf numFmtId="0" fontId="11" fillId="0" borderId="5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77" xfId="0" applyFont="1" applyBorder="1" applyAlignment="1">
      <alignment horizontal="left" vertical="center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165" fontId="10" fillId="0" borderId="83" xfId="0" applyNumberFormat="1" applyFont="1" applyBorder="1" applyAlignment="1">
      <alignment horizontal="center" vertical="center"/>
    </xf>
    <xf numFmtId="165" fontId="10" fillId="0" borderId="72" xfId="0" applyNumberFormat="1" applyFont="1" applyBorder="1" applyAlignment="1">
      <alignment horizontal="center" vertical="center"/>
    </xf>
    <xf numFmtId="165" fontId="10" fillId="0" borderId="26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horizontal="center" vertical="center"/>
    </xf>
    <xf numFmtId="170" fontId="33" fillId="0" borderId="83" xfId="0" applyNumberFormat="1" applyFont="1" applyBorder="1" applyAlignment="1">
      <alignment horizontal="left" vertical="center"/>
    </xf>
    <xf numFmtId="170" fontId="33" fillId="0" borderId="26" xfId="0" applyNumberFormat="1" applyFont="1" applyBorder="1" applyAlignment="1">
      <alignment horizontal="left" vertical="center"/>
    </xf>
    <xf numFmtId="170" fontId="33" fillId="0" borderId="27" xfId="0" applyNumberFormat="1" applyFont="1" applyBorder="1" applyAlignment="1">
      <alignment horizontal="left" vertical="center"/>
    </xf>
    <xf numFmtId="0" fontId="11" fillId="0" borderId="6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165" fontId="10" fillId="0" borderId="84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34" xfId="0" applyNumberFormat="1" applyFont="1" applyBorder="1" applyAlignment="1">
      <alignment horizontal="center" vertical="center"/>
    </xf>
    <xf numFmtId="0" fontId="33" fillId="0" borderId="84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34" xfId="0" applyFont="1" applyBorder="1" applyAlignment="1">
      <alignment horizontal="left" vertical="center" wrapText="1"/>
    </xf>
    <xf numFmtId="0" fontId="33" fillId="0" borderId="84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33" fillId="0" borderId="3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165" fontId="10" fillId="0" borderId="85" xfId="0" applyNumberFormat="1" applyFont="1" applyBorder="1" applyAlignment="1">
      <alignment horizontal="center" vertical="center"/>
    </xf>
    <xf numFmtId="165" fontId="10" fillId="0" borderId="15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19" xfId="0" applyNumberFormat="1" applyFont="1" applyBorder="1" applyAlignment="1">
      <alignment horizontal="center" vertical="center"/>
    </xf>
    <xf numFmtId="170" fontId="33" fillId="0" borderId="85" xfId="0" applyNumberFormat="1" applyFont="1" applyBorder="1" applyAlignment="1">
      <alignment horizontal="left" vertical="center"/>
    </xf>
    <xf numFmtId="170" fontId="33" fillId="0" borderId="18" xfId="0" applyNumberFormat="1" applyFont="1" applyBorder="1" applyAlignment="1">
      <alignment horizontal="left" vertical="center"/>
    </xf>
    <xf numFmtId="170" fontId="33" fillId="0" borderId="19" xfId="0" applyNumberFormat="1" applyFont="1" applyBorder="1" applyAlignment="1">
      <alignment horizontal="left" vertical="center"/>
    </xf>
    <xf numFmtId="0" fontId="11" fillId="0" borderId="69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165" fontId="34" fillId="0" borderId="90" xfId="0" applyNumberFormat="1" applyFont="1" applyBorder="1" applyAlignment="1">
      <alignment horizontal="center" vertical="center" shrinkToFit="1"/>
    </xf>
    <xf numFmtId="165" fontId="34" fillId="0" borderId="91" xfId="0" applyNumberFormat="1" applyFont="1" applyBorder="1" applyAlignment="1">
      <alignment horizontal="center" vertical="center" shrinkToFit="1"/>
    </xf>
    <xf numFmtId="165" fontId="34" fillId="0" borderId="87" xfId="0" applyNumberFormat="1" applyFont="1" applyBorder="1" applyAlignment="1">
      <alignment horizontal="center" vertical="center" shrinkToFit="1"/>
    </xf>
    <xf numFmtId="165" fontId="34" fillId="0" borderId="89" xfId="0" applyNumberFormat="1" applyFont="1" applyBorder="1" applyAlignment="1">
      <alignment horizontal="center" vertical="center" shrinkToFit="1"/>
    </xf>
    <xf numFmtId="165" fontId="34" fillId="0" borderId="90" xfId="0" applyNumberFormat="1" applyFont="1" applyBorder="1" applyAlignment="1">
      <alignment horizontal="center" vertical="center"/>
    </xf>
    <xf numFmtId="165" fontId="34" fillId="0" borderId="88" xfId="0" applyNumberFormat="1" applyFont="1" applyBorder="1" applyAlignment="1">
      <alignment horizontal="center" vertical="center"/>
    </xf>
    <xf numFmtId="165" fontId="34" fillId="0" borderId="89" xfId="0" applyNumberFormat="1" applyFont="1" applyBorder="1" applyAlignment="1">
      <alignment horizontal="center" vertical="center"/>
    </xf>
    <xf numFmtId="0" fontId="35" fillId="0" borderId="90" xfId="0" applyFont="1" applyBorder="1" applyAlignment="1">
      <alignment horizontal="left" vertical="center"/>
    </xf>
    <xf numFmtId="0" fontId="35" fillId="0" borderId="88" xfId="0" applyFont="1" applyBorder="1" applyAlignment="1">
      <alignment horizontal="left" vertical="center"/>
    </xf>
    <xf numFmtId="0" fontId="35" fillId="0" borderId="89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 vertical="center"/>
    </xf>
    <xf numFmtId="165" fontId="10" fillId="0" borderId="93" xfId="0" applyNumberFormat="1" applyFont="1" applyBorder="1" applyAlignment="1">
      <alignment horizontal="center" vertical="center"/>
    </xf>
    <xf numFmtId="165" fontId="10" fillId="0" borderId="48" xfId="0" applyNumberFormat="1" applyFont="1" applyBorder="1" applyAlignment="1">
      <alignment horizontal="center" vertical="center"/>
    </xf>
    <xf numFmtId="165" fontId="10" fillId="0" borderId="49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center" wrapText="1" shrinkToFit="1"/>
    </xf>
    <xf numFmtId="0" fontId="33" fillId="0" borderId="8" xfId="0" applyFont="1" applyBorder="1" applyAlignment="1">
      <alignment vertical="center" wrapText="1" shrinkToFit="1"/>
    </xf>
    <xf numFmtId="0" fontId="33" fillId="0" borderId="9" xfId="0" applyFont="1" applyBorder="1" applyAlignment="1">
      <alignment vertical="center" wrapText="1" shrinkToFit="1"/>
    </xf>
    <xf numFmtId="0" fontId="33" fillId="0" borderId="8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Border="1" applyAlignment="1">
      <alignment vertical="center"/>
    </xf>
    <xf numFmtId="49" fontId="11" fillId="0" borderId="15" xfId="0" applyNumberFormat="1" applyFont="1" applyBorder="1" applyAlignment="1">
      <alignment horizontal="center" vertical="center"/>
    </xf>
    <xf numFmtId="49" fontId="33" fillId="0" borderId="85" xfId="0" applyNumberFormat="1" applyFont="1" applyBorder="1" applyAlignment="1">
      <alignment vertical="center"/>
    </xf>
    <xf numFmtId="49" fontId="33" fillId="0" borderId="18" xfId="0" applyNumberFormat="1" applyFont="1" applyBorder="1" applyAlignment="1">
      <alignment vertical="center"/>
    </xf>
    <xf numFmtId="49" fontId="33" fillId="0" borderId="19" xfId="0" applyNumberFormat="1" applyFont="1" applyBorder="1" applyAlignment="1">
      <alignment vertical="center"/>
    </xf>
    <xf numFmtId="165" fontId="34" fillId="0" borderId="88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0" fontId="35" fillId="0" borderId="85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19" xfId="0" applyFont="1" applyBorder="1" applyAlignment="1">
      <alignment horizontal="left" vertical="center"/>
    </xf>
    <xf numFmtId="0" fontId="11" fillId="0" borderId="90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94" xfId="0" applyFont="1" applyBorder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4" fillId="0" borderId="5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171" fontId="10" fillId="0" borderId="84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71" fontId="10" fillId="0" borderId="34" xfId="0" applyNumberFormat="1" applyFont="1" applyBorder="1" applyAlignment="1">
      <alignment horizontal="center" vertical="center"/>
    </xf>
    <xf numFmtId="172" fontId="10" fillId="0" borderId="84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3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9" xfId="0" applyFont="1" applyBorder="1" applyAlignment="1">
      <alignment horizontal="left" vertical="center" indent="1"/>
    </xf>
    <xf numFmtId="0" fontId="10" fillId="0" borderId="84" xfId="0" applyFont="1" applyBorder="1" applyAlignment="1">
      <alignment horizontal="center" vertical="center"/>
    </xf>
    <xf numFmtId="0" fontId="10" fillId="0" borderId="84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indent="1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172" fontId="34" fillId="0" borderId="97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horizontal="left" vertical="center" indent="1"/>
    </xf>
    <xf numFmtId="0" fontId="10" fillId="0" borderId="63" xfId="0" applyFont="1" applyBorder="1" applyAlignment="1">
      <alignment horizontal="left" vertical="center" indent="1"/>
    </xf>
    <xf numFmtId="0" fontId="10" fillId="0" borderId="64" xfId="0" applyFont="1" applyBorder="1" applyAlignment="1">
      <alignment horizontal="left" vertical="center" indent="1"/>
    </xf>
    <xf numFmtId="0" fontId="10" fillId="0" borderId="98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171" fontId="10" fillId="0" borderId="98" xfId="0" applyNumberFormat="1" applyFont="1" applyBorder="1" applyAlignment="1">
      <alignment horizontal="center" vertical="center"/>
    </xf>
    <xf numFmtId="171" fontId="10" fillId="0" borderId="73" xfId="0" applyNumberFormat="1" applyFont="1" applyBorder="1" applyAlignment="1">
      <alignment horizontal="center" vertical="center"/>
    </xf>
    <xf numFmtId="171" fontId="10" fillId="0" borderId="47" xfId="0" applyNumberFormat="1" applyFont="1" applyBorder="1" applyAlignment="1">
      <alignment horizontal="center" vertical="center"/>
    </xf>
    <xf numFmtId="171" fontId="10" fillId="0" borderId="43" xfId="0" applyNumberFormat="1" applyFont="1" applyBorder="1" applyAlignment="1">
      <alignment horizontal="center" vertical="center"/>
    </xf>
    <xf numFmtId="171" fontId="10" fillId="0" borderId="99" xfId="0" applyNumberFormat="1" applyFont="1" applyBorder="1" applyAlignment="1">
      <alignment horizontal="center" vertical="center"/>
    </xf>
    <xf numFmtId="172" fontId="10" fillId="0" borderId="98" xfId="0" applyNumberFormat="1" applyFont="1" applyBorder="1" applyAlignment="1">
      <alignment horizontal="center" vertical="center"/>
    </xf>
    <xf numFmtId="172" fontId="10" fillId="0" borderId="73" xfId="0" applyNumberFormat="1" applyFont="1" applyBorder="1" applyAlignment="1">
      <alignment horizontal="center" vertical="center"/>
    </xf>
    <xf numFmtId="172" fontId="10" fillId="0" borderId="99" xfId="0" applyNumberFormat="1" applyFont="1" applyBorder="1" applyAlignment="1">
      <alignment horizontal="center" vertical="center"/>
    </xf>
    <xf numFmtId="0" fontId="10" fillId="0" borderId="98" xfId="0" applyFont="1" applyBorder="1" applyAlignment="1">
      <alignment horizontal="left" vertical="center" indent="1"/>
    </xf>
    <xf numFmtId="0" fontId="10" fillId="0" borderId="73" xfId="0" applyFont="1" applyBorder="1" applyAlignment="1">
      <alignment horizontal="left" vertical="center" indent="1"/>
    </xf>
    <xf numFmtId="0" fontId="10" fillId="0" borderId="99" xfId="0" applyFont="1" applyBorder="1" applyAlignment="1">
      <alignment horizontal="left" vertical="center" indent="1"/>
    </xf>
    <xf numFmtId="172" fontId="34" fillId="0" borderId="62" xfId="0" applyNumberFormat="1" applyFont="1" applyBorder="1" applyAlignment="1">
      <alignment horizontal="center" vertical="center"/>
    </xf>
    <xf numFmtId="172" fontId="34" fillId="0" borderId="63" xfId="0" applyNumberFormat="1" applyFont="1" applyBorder="1" applyAlignment="1">
      <alignment horizontal="center" vertical="center"/>
    </xf>
    <xf numFmtId="172" fontId="34" fillId="0" borderId="64" xfId="0" applyNumberFormat="1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 zoomScale="90" zoomScaleNormal="90">
      <selection activeCell="C3" sqref="C3"/>
    </sheetView>
  </sheetViews>
  <sheetFormatPr defaultRowHeight="14.25" outlineLevelRow="0" outlineLevelCol="0" x14ac:dyDescent="0" customHeight="1"/>
  <cols>
    <col min="1" max="1" width="6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5" customHeight="1" spans="1:25" x14ac:dyDescent="0.25">
      <c r="A2" s="155" t="s">
        <v>26</v>
      </c>
      <c r="B2" s="155"/>
      <c r="C2" s="155"/>
      <c r="D2" s="155"/>
      <c r="E2" s="155"/>
      <c r="F2" s="155"/>
      <c r="G2" s="155"/>
      <c r="H2" s="15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s="156" customFormat="1" x14ac:dyDescent="0.25">
      <c r="A3" s="156"/>
      <c r="B3" s="156"/>
      <c r="C3" s="157" t="s">
        <v>27</v>
      </c>
      <c r="D3" s="7"/>
      <c r="E3" s="7"/>
      <c r="F3" s="8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11.25" customHeight="1" spans="1:25" x14ac:dyDescent="0.25">
      <c r="A4" s="158"/>
      <c r="B4" s="158"/>
      <c r="C4" s="158"/>
      <c r="D4" s="158"/>
      <c r="E4" s="158"/>
      <c r="F4" s="158"/>
      <c r="G4" s="158"/>
      <c r="H4" s="15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10" customFormat="1" x14ac:dyDescent="0.25">
      <c r="A5" s="159" t="s">
        <v>28</v>
      </c>
      <c r="B5" s="159" t="s">
        <v>3</v>
      </c>
      <c r="C5" s="119" t="s">
        <v>29</v>
      </c>
      <c r="D5" s="119"/>
      <c r="E5" s="119"/>
      <c r="F5" s="119"/>
      <c r="G5" s="10" t="s">
        <v>30</v>
      </c>
      <c r="H5" s="160">
        <f>'Final Work'!L4</f>
        <v>46218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1.25" customHeight="1" spans="1:25" s="10" customForma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24" customHeight="1" spans="1:25" s="10" customFormat="1" x14ac:dyDescent="0.25">
      <c r="A7" s="159" t="s">
        <v>31</v>
      </c>
      <c r="B7" s="159" t="s">
        <v>32</v>
      </c>
      <c r="C7" s="161"/>
      <c r="D7" s="119" t="s">
        <v>33</v>
      </c>
      <c r="E7" s="119">
        <f>'Final Work'!G6</f>
        <v>6</v>
      </c>
      <c r="F7" s="159"/>
      <c r="G7" s="162" t="s">
        <v>34</v>
      </c>
      <c r="H7" s="163" t="s">
        <v>35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1.25" customHeight="1" spans="1:25" s="10" customForma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" customHeight="1" spans="1:25" s="10" customFormat="1" x14ac:dyDescent="0.25">
      <c r="A9" s="10"/>
      <c r="B9" s="10"/>
      <c r="C9" s="10"/>
      <c r="D9" s="10"/>
      <c r="E9" s="10"/>
      <c r="F9" s="41"/>
      <c r="G9" s="10"/>
      <c r="H9" s="164" t="s">
        <v>36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1.25" customHeight="1" spans="1:25" s="10" customForma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4.75" customHeight="1" spans="1:25" s="10" customFormat="1" x14ac:dyDescent="0.25">
      <c r="A11" s="165" t="s">
        <v>37</v>
      </c>
      <c r="B11" s="166"/>
      <c r="C11" s="167" t="s">
        <v>38</v>
      </c>
      <c r="D11" s="167"/>
      <c r="E11" s="167"/>
      <c r="F11" s="167"/>
      <c r="G11" s="167"/>
      <c r="H11" s="16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9.9" customHeight="1" spans="1:25" s="10" customFormat="1" x14ac:dyDescent="0.25">
      <c r="A12" s="168" t="s">
        <v>39</v>
      </c>
      <c r="B12" s="169"/>
      <c r="C12" s="170"/>
      <c r="D12" s="170"/>
      <c r="E12" s="170"/>
      <c r="F12" s="170"/>
      <c r="G12" s="170"/>
      <c r="H12" s="17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9.9" customHeight="1" spans="1:25" s="156" customFormat="1" x14ac:dyDescent="0.25">
      <c r="A13" s="171"/>
      <c r="B13" s="172"/>
      <c r="C13" s="173"/>
      <c r="D13" s="173"/>
      <c r="E13" s="173"/>
      <c r="F13" s="173"/>
      <c r="G13" s="173"/>
      <c r="H13" s="173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9.9" customHeight="1" spans="1:25" s="156" customFormat="1" x14ac:dyDescent="0.25">
      <c r="A14" s="171"/>
      <c r="B14" s="174"/>
      <c r="C14" s="175"/>
      <c r="D14" s="176"/>
      <c r="E14" s="176"/>
      <c r="F14" s="176"/>
      <c r="G14" s="176"/>
      <c r="H14" s="177"/>
      <c r="I14" s="156"/>
      <c r="J14" s="156" t="s">
        <v>40</v>
      </c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9.9" customHeight="1" spans="1:25" s="156" customFormat="1" x14ac:dyDescent="0.25">
      <c r="A15" s="171" t="s">
        <v>41</v>
      </c>
      <c r="B15" s="174"/>
      <c r="C15" s="175"/>
      <c r="D15" s="176"/>
      <c r="E15" s="176"/>
      <c r="F15" s="176"/>
      <c r="G15" s="176"/>
      <c r="H15" s="177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9.9" customHeight="1" spans="1:25" s="156" customFormat="1" x14ac:dyDescent="0.25">
      <c r="A16" s="171"/>
      <c r="B16" s="178"/>
      <c r="C16" s="179"/>
      <c r="D16" s="180"/>
      <c r="E16" s="180"/>
      <c r="F16" s="180"/>
      <c r="G16" s="180"/>
      <c r="H16" s="181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9.9" customHeight="1" spans="1:25" s="156" customFormat="1" x14ac:dyDescent="0.25">
      <c r="A17" s="182"/>
      <c r="B17" s="183"/>
      <c r="C17" s="184"/>
      <c r="D17" s="185"/>
      <c r="E17" s="185"/>
      <c r="F17" s="185"/>
      <c r="G17" s="185"/>
      <c r="H17" s="18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9.9" customHeight="1" spans="1:25" s="156" customFormat="1" x14ac:dyDescent="0.25">
      <c r="A18" s="187"/>
      <c r="B18" s="174"/>
      <c r="C18" s="175"/>
      <c r="D18" s="176"/>
      <c r="E18" s="176"/>
      <c r="F18" s="176"/>
      <c r="G18" s="176"/>
      <c r="H18" s="177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9.9" customHeight="1" spans="1:25" s="156" customFormat="1" x14ac:dyDescent="0.25">
      <c r="A19" s="171"/>
      <c r="B19" s="183"/>
      <c r="C19" s="175"/>
      <c r="D19" s="176"/>
      <c r="E19" s="176"/>
      <c r="F19" s="176"/>
      <c r="G19" s="176"/>
      <c r="H19" s="177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9.9" customHeight="1" spans="1:25" s="156" customFormat="1" x14ac:dyDescent="0.25">
      <c r="A20" s="188"/>
      <c r="B20" s="183"/>
      <c r="C20" s="175"/>
      <c r="D20" s="176"/>
      <c r="E20" s="176"/>
      <c r="F20" s="176"/>
      <c r="G20" s="176"/>
      <c r="H20" s="177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9.9" customHeight="1" spans="1:25" s="156" customFormat="1" x14ac:dyDescent="0.25">
      <c r="A21" s="189"/>
      <c r="B21" s="178"/>
      <c r="C21" s="179"/>
      <c r="D21" s="180"/>
      <c r="E21" s="180"/>
      <c r="F21" s="180"/>
      <c r="G21" s="180"/>
      <c r="H21" s="181"/>
      <c r="I21" s="156"/>
      <c r="J21" s="41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9.9" customHeight="1" spans="1:25" s="156" customFormat="1" x14ac:dyDescent="0.25">
      <c r="A22" s="190"/>
      <c r="B22" s="183"/>
      <c r="C22" s="184"/>
      <c r="D22" s="185"/>
      <c r="E22" s="185"/>
      <c r="F22" s="185"/>
      <c r="G22" s="185"/>
      <c r="H22" s="186"/>
      <c r="I22" s="156"/>
      <c r="J22" s="41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9.9" customHeight="1" spans="1:25" s="156" customFormat="1" x14ac:dyDescent="0.25">
      <c r="A23" s="191"/>
      <c r="B23" s="174"/>
      <c r="C23" s="175"/>
      <c r="D23" s="176"/>
      <c r="E23" s="176"/>
      <c r="F23" s="176"/>
      <c r="G23" s="176"/>
      <c r="H23" s="177"/>
      <c r="I23" s="156"/>
      <c r="J23" s="41"/>
      <c r="K23" s="156"/>
      <c r="L23" s="156"/>
      <c r="M23" s="192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9.9" customHeight="1" spans="1:25" s="156" customFormat="1" x14ac:dyDescent="0.25">
      <c r="A24" s="171"/>
      <c r="B24" s="174"/>
      <c r="C24" s="193"/>
      <c r="D24" s="194"/>
      <c r="E24" s="194"/>
      <c r="F24" s="194"/>
      <c r="G24" s="194"/>
      <c r="H24" s="195"/>
      <c r="I24" s="156"/>
      <c r="J24" s="156"/>
      <c r="K24" s="156"/>
      <c r="L24" s="156"/>
      <c r="M24" s="192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9.9" customHeight="1" spans="1:25" s="156" customFormat="1" x14ac:dyDescent="0.25">
      <c r="A25" s="196"/>
      <c r="B25" s="174"/>
      <c r="C25" s="193"/>
      <c r="D25" s="194"/>
      <c r="E25" s="194"/>
      <c r="F25" s="194"/>
      <c r="G25" s="194"/>
      <c r="H25" s="195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9.9" customHeight="1" spans="1:25" s="156" customFormat="1" x14ac:dyDescent="0.25">
      <c r="A26" s="197"/>
      <c r="B26" s="178"/>
      <c r="C26" s="179"/>
      <c r="D26" s="180"/>
      <c r="E26" s="180"/>
      <c r="F26" s="180"/>
      <c r="G26" s="180"/>
      <c r="H26" s="181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9.9" customHeight="1" spans="1:25" s="156" customFormat="1" x14ac:dyDescent="0.25">
      <c r="A27" s="30"/>
      <c r="B27" s="183"/>
      <c r="C27" s="193"/>
      <c r="D27" s="194"/>
      <c r="E27" s="194"/>
      <c r="F27" s="194"/>
      <c r="G27" s="194"/>
      <c r="H27" s="195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9.9" customHeight="1" spans="1:25" s="156" customFormat="1" x14ac:dyDescent="0.25">
      <c r="A28" s="171"/>
      <c r="B28" s="174"/>
      <c r="C28" s="175"/>
      <c r="D28" s="176"/>
      <c r="E28" s="176"/>
      <c r="F28" s="176"/>
      <c r="G28" s="176"/>
      <c r="H28" s="177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9.9" customHeight="1" spans="1:25" s="156" customFormat="1" x14ac:dyDescent="0.25">
      <c r="A29" s="171"/>
      <c r="B29" s="174"/>
      <c r="C29" s="193"/>
      <c r="D29" s="194"/>
      <c r="E29" s="194"/>
      <c r="F29" s="194"/>
      <c r="G29" s="194"/>
      <c r="H29" s="195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9.9" customHeight="1" spans="1:25" s="156" customFormat="1" x14ac:dyDescent="0.25">
      <c r="A30" s="198"/>
      <c r="B30" s="174"/>
      <c r="C30" s="175"/>
      <c r="D30" s="176"/>
      <c r="E30" s="176"/>
      <c r="F30" s="176"/>
      <c r="G30" s="176"/>
      <c r="H30" s="177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9.9" customHeight="1" spans="1:25" s="156" customFormat="1" x14ac:dyDescent="0.25">
      <c r="A31" s="199"/>
      <c r="B31" s="178"/>
      <c r="C31" s="175"/>
      <c r="D31" s="176"/>
      <c r="E31" s="176"/>
      <c r="F31" s="176"/>
      <c r="G31" s="176"/>
      <c r="H31" s="177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9.9" customHeight="1" spans="1:25" s="156" customFormat="1" x14ac:dyDescent="0.25">
      <c r="A32" s="30"/>
      <c r="B32" s="28"/>
      <c r="C32" s="184"/>
      <c r="D32" s="185"/>
      <c r="E32" s="185"/>
      <c r="F32" s="185"/>
      <c r="G32" s="185"/>
      <c r="H32" s="18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9.9" customHeight="1" spans="1:25" s="156" customFormat="1" x14ac:dyDescent="0.25">
      <c r="A33" s="171"/>
      <c r="B33" s="174"/>
      <c r="C33" s="175"/>
      <c r="D33" s="176"/>
      <c r="E33" s="176"/>
      <c r="F33" s="176"/>
      <c r="G33" s="176"/>
      <c r="H33" s="177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9.9" customHeight="1" spans="1:25" s="156" customFormat="1" x14ac:dyDescent="0.25">
      <c r="A34" s="198"/>
      <c r="B34" s="174"/>
      <c r="C34" s="193"/>
      <c r="D34" s="194"/>
      <c r="E34" s="194"/>
      <c r="F34" s="194"/>
      <c r="G34" s="194"/>
      <c r="H34" s="195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9.9" customHeight="1" spans="1:25" s="156" customFormat="1" x14ac:dyDescent="0.25">
      <c r="A35" s="198"/>
      <c r="B35" s="172"/>
      <c r="C35" s="175"/>
      <c r="D35" s="176"/>
      <c r="E35" s="176"/>
      <c r="F35" s="176"/>
      <c r="G35" s="176"/>
      <c r="H35" s="177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9.9" customHeight="1" spans="1:25" s="156" customFormat="1" x14ac:dyDescent="0.25">
      <c r="A36" s="199"/>
      <c r="B36" s="183"/>
      <c r="C36" s="200"/>
      <c r="D36" s="200"/>
      <c r="E36" s="200"/>
      <c r="F36" s="200"/>
      <c r="G36" s="200"/>
      <c r="H36" s="200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20.1" customHeight="1" spans="1:25" s="156" customFormat="1" x14ac:dyDescent="0.25">
      <c r="A37" s="156"/>
      <c r="B37" s="201"/>
      <c r="C37" s="41"/>
      <c r="D37" s="41"/>
      <c r="E37" s="41"/>
      <c r="F37" s="41"/>
      <c r="G37" s="41"/>
      <c r="H37" s="41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20.1" customHeight="1" spans="1:25" s="156" customFormat="1" x14ac:dyDescent="0.25">
      <c r="A38" s="156"/>
      <c r="B38" s="201"/>
      <c r="C38" s="41"/>
      <c r="D38" s="41"/>
      <c r="E38" s="41"/>
      <c r="F38" s="41"/>
      <c r="G38" s="41"/>
      <c r="H38" s="41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ht="19.9" customHeight="1" spans="1:25" s="156" customFormat="1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ht="14.25" customHeight="1" spans="1:25" s="156" customFormat="1" x14ac:dyDescent="0.25">
      <c r="A40" s="202"/>
      <c r="B40" s="202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s="156" customFormat="1" x14ac:dyDescent="0.25">
      <c r="A41" s="203" t="s">
        <v>23</v>
      </c>
      <c r="B41" s="204"/>
      <c r="C41" s="10"/>
      <c r="D41" s="10"/>
      <c r="E41" s="10"/>
      <c r="F41" s="156"/>
      <c r="G41" s="192"/>
      <c r="H41" s="119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3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43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" style="156" customWidth="1"/>
    <col min="2" max="2" width="7" style="156" customWidth="1"/>
    <col min="3" max="3" width="7.625" style="156" customWidth="1"/>
    <col min="4" max="6" width="8.625" style="156" customWidth="1"/>
    <col min="7" max="7" width="10.125" style="156" customWidth="1"/>
    <col min="8" max="9" width="7.875" style="156" customWidth="1"/>
    <col min="10" max="10" width="15" style="156" customWidth="1"/>
    <col min="11" max="12" width="9.625" style="156" customWidth="1"/>
    <col min="13" max="13" width="19.125" style="156" customWidth="1"/>
    <col min="14" max="250" width="9" style="156" customWidth="1"/>
    <col min="251" max="251" width="9.25" style="156" customWidth="1"/>
    <col min="252" max="252" width="7" style="156" customWidth="1"/>
    <col min="253" max="253" width="7.625" style="156" customWidth="1"/>
    <col min="254" max="256" width="9.125" style="156" customWidth="1"/>
    <col min="257" max="257" width="10.125" style="156" customWidth="1"/>
    <col min="258" max="259" width="7.875" style="156" customWidth="1"/>
    <col min="260" max="260" width="15" style="156" customWidth="1"/>
    <col min="261" max="262" width="9.875" style="156" customWidth="1"/>
    <col min="263" max="263" width="18.75" style="156" customWidth="1"/>
    <col min="264" max="506" width="9" style="156" customWidth="1"/>
    <col min="507" max="507" width="9.25" style="156" customWidth="1"/>
    <col min="508" max="508" width="7" style="156" customWidth="1"/>
    <col min="509" max="509" width="7.625" style="156" customWidth="1"/>
    <col min="510" max="512" width="9.125" style="156" customWidth="1"/>
    <col min="513" max="513" width="10.125" style="156" customWidth="1"/>
    <col min="514" max="515" width="7.875" style="156" customWidth="1"/>
    <col min="516" max="516" width="15" style="156" customWidth="1"/>
    <col min="517" max="518" width="9.875" style="156" customWidth="1"/>
    <col min="519" max="519" width="18.75" style="156" customWidth="1"/>
    <col min="520" max="762" width="9" style="156" customWidth="1"/>
    <col min="763" max="763" width="9.25" style="156" customWidth="1"/>
    <col min="764" max="764" width="7" style="156" customWidth="1"/>
    <col min="765" max="765" width="7.625" style="156" customWidth="1"/>
    <col min="766" max="768" width="9.125" style="156" customWidth="1"/>
    <col min="769" max="769" width="10.125" style="156" customWidth="1"/>
    <col min="770" max="771" width="7.875" style="156" customWidth="1"/>
    <col min="772" max="772" width="15" style="156" customWidth="1"/>
    <col min="773" max="774" width="9.875" style="156" customWidth="1"/>
    <col min="775" max="775" width="18.75" style="156" customWidth="1"/>
    <col min="776" max="1018" width="9" style="156" customWidth="1"/>
    <col min="1019" max="1019" width="9.25" style="156" customWidth="1"/>
    <col min="1020" max="1020" width="7" style="156" customWidth="1"/>
    <col min="1021" max="1021" width="7.625" style="156" customWidth="1"/>
    <col min="1022" max="1024" width="9.125" style="156" customWidth="1"/>
    <col min="1025" max="1025" width="10.125" style="156" customWidth="1"/>
    <col min="1026" max="1027" width="7.875" style="156" customWidth="1"/>
    <col min="1028" max="1028" width="15" style="156" customWidth="1"/>
    <col min="1029" max="1030" width="9.875" style="156" customWidth="1"/>
    <col min="1031" max="1031" width="18.75" style="156" customWidth="1"/>
    <col min="1032" max="1274" width="9" style="156" customWidth="1"/>
    <col min="1275" max="1275" width="9.25" style="156" customWidth="1"/>
    <col min="1276" max="1276" width="7" style="156" customWidth="1"/>
    <col min="1277" max="1277" width="7.625" style="156" customWidth="1"/>
    <col min="1278" max="1280" width="9.125" style="156" customWidth="1"/>
    <col min="1281" max="1281" width="10.125" style="156" customWidth="1"/>
    <col min="1282" max="1283" width="7.875" style="156" customWidth="1"/>
    <col min="1284" max="1284" width="15" style="156" customWidth="1"/>
    <col min="1285" max="1286" width="9.875" style="156" customWidth="1"/>
    <col min="1287" max="1287" width="18.75" style="156" customWidth="1"/>
    <col min="1288" max="1530" width="9" style="156" customWidth="1"/>
    <col min="1531" max="1531" width="9.25" style="156" customWidth="1"/>
    <col min="1532" max="1532" width="7" style="156" customWidth="1"/>
    <col min="1533" max="1533" width="7.625" style="156" customWidth="1"/>
    <col min="1534" max="1536" width="9.125" style="156" customWidth="1"/>
    <col min="1537" max="1537" width="10.125" style="156" customWidth="1"/>
    <col min="1538" max="1539" width="7.875" style="156" customWidth="1"/>
    <col min="1540" max="1540" width="15" style="156" customWidth="1"/>
    <col min="1541" max="1542" width="9.875" style="156" customWidth="1"/>
    <col min="1543" max="1543" width="18.75" style="156" customWidth="1"/>
    <col min="1544" max="1786" width="9" style="156" customWidth="1"/>
    <col min="1787" max="1787" width="9.25" style="156" customWidth="1"/>
    <col min="1788" max="1788" width="7" style="156" customWidth="1"/>
    <col min="1789" max="1789" width="7.625" style="156" customWidth="1"/>
    <col min="1790" max="1792" width="9.125" style="156" customWidth="1"/>
    <col min="1793" max="1793" width="10.125" style="156" customWidth="1"/>
    <col min="1794" max="1795" width="7.875" style="156" customWidth="1"/>
    <col min="1796" max="1796" width="15" style="156" customWidth="1"/>
    <col min="1797" max="1798" width="9.875" style="156" customWidth="1"/>
    <col min="1799" max="1799" width="18.75" style="156" customWidth="1"/>
    <col min="1800" max="2042" width="9" style="156" customWidth="1"/>
    <col min="2043" max="2043" width="9.25" style="156" customWidth="1"/>
    <col min="2044" max="2044" width="7" style="156" customWidth="1"/>
    <col min="2045" max="2045" width="7.625" style="156" customWidth="1"/>
    <col min="2046" max="2048" width="9.125" style="156" customWidth="1"/>
    <col min="2049" max="2049" width="10.125" style="156" customWidth="1"/>
    <col min="2050" max="2051" width="7.875" style="156" customWidth="1"/>
    <col min="2052" max="2052" width="15" style="156" customWidth="1"/>
    <col min="2053" max="2054" width="9.875" style="156" customWidth="1"/>
    <col min="2055" max="2055" width="18.75" style="156" customWidth="1"/>
    <col min="2056" max="2298" width="9" style="156" customWidth="1"/>
    <col min="2299" max="2299" width="9.25" style="156" customWidth="1"/>
    <col min="2300" max="2300" width="7" style="156" customWidth="1"/>
    <col min="2301" max="2301" width="7.625" style="156" customWidth="1"/>
    <col min="2302" max="2304" width="9.125" style="156" customWidth="1"/>
    <col min="2305" max="2305" width="10.125" style="156" customWidth="1"/>
    <col min="2306" max="2307" width="7.875" style="156" customWidth="1"/>
    <col min="2308" max="2308" width="15" style="156" customWidth="1"/>
    <col min="2309" max="2310" width="9.875" style="156" customWidth="1"/>
    <col min="2311" max="2311" width="18.75" style="156" customWidth="1"/>
    <col min="2312" max="2554" width="9" style="156" customWidth="1"/>
    <col min="2555" max="2555" width="9.25" style="156" customWidth="1"/>
    <col min="2556" max="2556" width="7" style="156" customWidth="1"/>
    <col min="2557" max="2557" width="7.625" style="156" customWidth="1"/>
    <col min="2558" max="2560" width="9.125" style="156" customWidth="1"/>
    <col min="2561" max="2561" width="10.125" style="156" customWidth="1"/>
    <col min="2562" max="2563" width="7.875" style="156" customWidth="1"/>
    <col min="2564" max="2564" width="15" style="156" customWidth="1"/>
    <col min="2565" max="2566" width="9.875" style="156" customWidth="1"/>
    <col min="2567" max="2567" width="18.75" style="156" customWidth="1"/>
    <col min="2568" max="2810" width="9" style="156" customWidth="1"/>
    <col min="2811" max="2811" width="9.25" style="156" customWidth="1"/>
    <col min="2812" max="2812" width="7" style="156" customWidth="1"/>
    <col min="2813" max="2813" width="7.625" style="156" customWidth="1"/>
    <col min="2814" max="2816" width="9.125" style="156" customWidth="1"/>
    <col min="2817" max="2817" width="10.125" style="156" customWidth="1"/>
    <col min="2818" max="2819" width="7.875" style="156" customWidth="1"/>
    <col min="2820" max="2820" width="15" style="156" customWidth="1"/>
    <col min="2821" max="2822" width="9.875" style="156" customWidth="1"/>
    <col min="2823" max="2823" width="18.75" style="156" customWidth="1"/>
    <col min="2824" max="3066" width="9" style="156" customWidth="1"/>
    <col min="3067" max="3067" width="9.25" style="156" customWidth="1"/>
    <col min="3068" max="3068" width="7" style="156" customWidth="1"/>
    <col min="3069" max="3069" width="7.625" style="156" customWidth="1"/>
    <col min="3070" max="3072" width="9.125" style="156" customWidth="1"/>
    <col min="3073" max="3073" width="10.125" style="156" customWidth="1"/>
    <col min="3074" max="3075" width="7.875" style="156" customWidth="1"/>
    <col min="3076" max="3076" width="15" style="156" customWidth="1"/>
    <col min="3077" max="3078" width="9.875" style="156" customWidth="1"/>
    <col min="3079" max="3079" width="18.75" style="156" customWidth="1"/>
    <col min="3080" max="3322" width="9" style="156" customWidth="1"/>
    <col min="3323" max="3323" width="9.25" style="156" customWidth="1"/>
    <col min="3324" max="3324" width="7" style="156" customWidth="1"/>
    <col min="3325" max="3325" width="7.625" style="156" customWidth="1"/>
    <col min="3326" max="3328" width="9.125" style="156" customWidth="1"/>
    <col min="3329" max="3329" width="10.125" style="156" customWidth="1"/>
    <col min="3330" max="3331" width="7.875" style="156" customWidth="1"/>
    <col min="3332" max="3332" width="15" style="156" customWidth="1"/>
    <col min="3333" max="3334" width="9.875" style="156" customWidth="1"/>
    <col min="3335" max="3335" width="18.75" style="156" customWidth="1"/>
    <col min="3336" max="3578" width="9" style="156" customWidth="1"/>
    <col min="3579" max="3579" width="9.25" style="156" customWidth="1"/>
    <col min="3580" max="3580" width="7" style="156" customWidth="1"/>
    <col min="3581" max="3581" width="7.625" style="156" customWidth="1"/>
    <col min="3582" max="3584" width="9.125" style="156" customWidth="1"/>
    <col min="3585" max="3585" width="10.125" style="156" customWidth="1"/>
    <col min="3586" max="3587" width="7.875" style="156" customWidth="1"/>
    <col min="3588" max="3588" width="15" style="156" customWidth="1"/>
    <col min="3589" max="3590" width="9.875" style="156" customWidth="1"/>
    <col min="3591" max="3591" width="18.75" style="156" customWidth="1"/>
    <col min="3592" max="3834" width="9" style="156" customWidth="1"/>
    <col min="3835" max="3835" width="9.25" style="156" customWidth="1"/>
    <col min="3836" max="3836" width="7" style="156" customWidth="1"/>
    <col min="3837" max="3837" width="7.625" style="156" customWidth="1"/>
    <col min="3838" max="3840" width="9.125" style="156" customWidth="1"/>
    <col min="3841" max="3841" width="10.125" style="156" customWidth="1"/>
    <col min="3842" max="3843" width="7.875" style="156" customWidth="1"/>
    <col min="3844" max="3844" width="15" style="156" customWidth="1"/>
    <col min="3845" max="3846" width="9.875" style="156" customWidth="1"/>
    <col min="3847" max="3847" width="18.75" style="156" customWidth="1"/>
    <col min="3848" max="4090" width="9" style="156" customWidth="1"/>
    <col min="4091" max="4091" width="9.25" style="156" customWidth="1"/>
    <col min="4092" max="4092" width="7" style="156" customWidth="1"/>
    <col min="4093" max="4093" width="7.625" style="156" customWidth="1"/>
    <col min="4094" max="4096" width="9.125" style="156" customWidth="1"/>
    <col min="4097" max="4097" width="10.125" style="156" customWidth="1"/>
    <col min="4098" max="4099" width="7.875" style="156" customWidth="1"/>
    <col min="4100" max="4100" width="15" style="156" customWidth="1"/>
    <col min="4101" max="4102" width="9.875" style="156" customWidth="1"/>
    <col min="4103" max="4103" width="18.75" style="156" customWidth="1"/>
    <col min="4104" max="4346" width="9" style="156" customWidth="1"/>
    <col min="4347" max="4347" width="9.25" style="156" customWidth="1"/>
    <col min="4348" max="4348" width="7" style="156" customWidth="1"/>
    <col min="4349" max="4349" width="7.625" style="156" customWidth="1"/>
    <col min="4350" max="4352" width="9.125" style="156" customWidth="1"/>
    <col min="4353" max="4353" width="10.125" style="156" customWidth="1"/>
    <col min="4354" max="4355" width="7.875" style="156" customWidth="1"/>
    <col min="4356" max="4356" width="15" style="156" customWidth="1"/>
    <col min="4357" max="4358" width="9.875" style="156" customWidth="1"/>
    <col min="4359" max="4359" width="18.75" style="156" customWidth="1"/>
    <col min="4360" max="4602" width="9" style="156" customWidth="1"/>
    <col min="4603" max="4603" width="9.25" style="156" customWidth="1"/>
    <col min="4604" max="4604" width="7" style="156" customWidth="1"/>
    <col min="4605" max="4605" width="7.625" style="156" customWidth="1"/>
    <col min="4606" max="4608" width="9.125" style="156" customWidth="1"/>
    <col min="4609" max="4609" width="10.125" style="156" customWidth="1"/>
    <col min="4610" max="4611" width="7.875" style="156" customWidth="1"/>
    <col min="4612" max="4612" width="15" style="156" customWidth="1"/>
    <col min="4613" max="4614" width="9.875" style="156" customWidth="1"/>
    <col min="4615" max="4615" width="18.75" style="156" customWidth="1"/>
    <col min="4616" max="4858" width="9" style="156" customWidth="1"/>
    <col min="4859" max="4859" width="9.25" style="156" customWidth="1"/>
    <col min="4860" max="4860" width="7" style="156" customWidth="1"/>
    <col min="4861" max="4861" width="7.625" style="156" customWidth="1"/>
    <col min="4862" max="4864" width="9.125" style="156" customWidth="1"/>
    <col min="4865" max="4865" width="10.125" style="156" customWidth="1"/>
    <col min="4866" max="4867" width="7.875" style="156" customWidth="1"/>
    <col min="4868" max="4868" width="15" style="156" customWidth="1"/>
    <col min="4869" max="4870" width="9.875" style="156" customWidth="1"/>
    <col min="4871" max="4871" width="18.75" style="156" customWidth="1"/>
    <col min="4872" max="5114" width="9" style="156" customWidth="1"/>
    <col min="5115" max="5115" width="9.25" style="156" customWidth="1"/>
    <col min="5116" max="5116" width="7" style="156" customWidth="1"/>
    <col min="5117" max="5117" width="7.625" style="156" customWidth="1"/>
    <col min="5118" max="5120" width="9.125" style="156" customWidth="1"/>
    <col min="5121" max="5121" width="10.125" style="156" customWidth="1"/>
    <col min="5122" max="5123" width="7.875" style="156" customWidth="1"/>
    <col min="5124" max="5124" width="15" style="156" customWidth="1"/>
    <col min="5125" max="5126" width="9.875" style="156" customWidth="1"/>
    <col min="5127" max="5127" width="18.75" style="156" customWidth="1"/>
    <col min="5128" max="5370" width="9" style="156" customWidth="1"/>
    <col min="5371" max="5371" width="9.25" style="156" customWidth="1"/>
    <col min="5372" max="5372" width="7" style="156" customWidth="1"/>
    <col min="5373" max="5373" width="7.625" style="156" customWidth="1"/>
    <col min="5374" max="5376" width="9.125" style="156" customWidth="1"/>
    <col min="5377" max="5377" width="10.125" style="156" customWidth="1"/>
    <col min="5378" max="5379" width="7.875" style="156" customWidth="1"/>
    <col min="5380" max="5380" width="15" style="156" customWidth="1"/>
    <col min="5381" max="5382" width="9.875" style="156" customWidth="1"/>
    <col min="5383" max="5383" width="18.75" style="156" customWidth="1"/>
    <col min="5384" max="5626" width="9" style="156" customWidth="1"/>
    <col min="5627" max="5627" width="9.25" style="156" customWidth="1"/>
    <col min="5628" max="5628" width="7" style="156" customWidth="1"/>
    <col min="5629" max="5629" width="7.625" style="156" customWidth="1"/>
    <col min="5630" max="5632" width="9.125" style="156" customWidth="1"/>
    <col min="5633" max="5633" width="10.125" style="156" customWidth="1"/>
    <col min="5634" max="5635" width="7.875" style="156" customWidth="1"/>
    <col min="5636" max="5636" width="15" style="156" customWidth="1"/>
    <col min="5637" max="5638" width="9.875" style="156" customWidth="1"/>
    <col min="5639" max="5639" width="18.75" style="156" customWidth="1"/>
    <col min="5640" max="5882" width="9" style="156" customWidth="1"/>
    <col min="5883" max="5883" width="9.25" style="156" customWidth="1"/>
    <col min="5884" max="5884" width="7" style="156" customWidth="1"/>
    <col min="5885" max="5885" width="7.625" style="156" customWidth="1"/>
    <col min="5886" max="5888" width="9.125" style="156" customWidth="1"/>
    <col min="5889" max="5889" width="10.125" style="156" customWidth="1"/>
    <col min="5890" max="5891" width="7.875" style="156" customWidth="1"/>
    <col min="5892" max="5892" width="15" style="156" customWidth="1"/>
    <col min="5893" max="5894" width="9.875" style="156" customWidth="1"/>
    <col min="5895" max="5895" width="18.75" style="156" customWidth="1"/>
    <col min="5896" max="6138" width="9" style="156" customWidth="1"/>
    <col min="6139" max="6139" width="9.25" style="156" customWidth="1"/>
    <col min="6140" max="6140" width="7" style="156" customWidth="1"/>
    <col min="6141" max="6141" width="7.625" style="156" customWidth="1"/>
    <col min="6142" max="6144" width="9.125" style="156" customWidth="1"/>
    <col min="6145" max="6145" width="10.125" style="156" customWidth="1"/>
    <col min="6146" max="6147" width="7.875" style="156" customWidth="1"/>
    <col min="6148" max="6148" width="15" style="156" customWidth="1"/>
    <col min="6149" max="6150" width="9.875" style="156" customWidth="1"/>
    <col min="6151" max="6151" width="18.75" style="156" customWidth="1"/>
    <col min="6152" max="6394" width="9" style="156" customWidth="1"/>
    <col min="6395" max="6395" width="9.25" style="156" customWidth="1"/>
    <col min="6396" max="6396" width="7" style="156" customWidth="1"/>
    <col min="6397" max="6397" width="7.625" style="156" customWidth="1"/>
    <col min="6398" max="6400" width="9.125" style="156" customWidth="1"/>
    <col min="6401" max="6401" width="10.125" style="156" customWidth="1"/>
    <col min="6402" max="6403" width="7.875" style="156" customWidth="1"/>
    <col min="6404" max="6404" width="15" style="156" customWidth="1"/>
    <col min="6405" max="6406" width="9.875" style="156" customWidth="1"/>
    <col min="6407" max="6407" width="18.75" style="156" customWidth="1"/>
    <col min="6408" max="6650" width="9" style="156" customWidth="1"/>
    <col min="6651" max="6651" width="9.25" style="156" customWidth="1"/>
    <col min="6652" max="6652" width="7" style="156" customWidth="1"/>
    <col min="6653" max="6653" width="7.625" style="156" customWidth="1"/>
    <col min="6654" max="6656" width="9.125" style="156" customWidth="1"/>
    <col min="6657" max="6657" width="10.125" style="156" customWidth="1"/>
    <col min="6658" max="6659" width="7.875" style="156" customWidth="1"/>
    <col min="6660" max="6660" width="15" style="156" customWidth="1"/>
    <col min="6661" max="6662" width="9.875" style="156" customWidth="1"/>
    <col min="6663" max="6663" width="18.75" style="156" customWidth="1"/>
    <col min="6664" max="6906" width="9" style="156" customWidth="1"/>
    <col min="6907" max="6907" width="9.25" style="156" customWidth="1"/>
    <col min="6908" max="6908" width="7" style="156" customWidth="1"/>
    <col min="6909" max="6909" width="7.625" style="156" customWidth="1"/>
    <col min="6910" max="6912" width="9.125" style="156" customWidth="1"/>
    <col min="6913" max="6913" width="10.125" style="156" customWidth="1"/>
    <col min="6914" max="6915" width="7.875" style="156" customWidth="1"/>
    <col min="6916" max="6916" width="15" style="156" customWidth="1"/>
    <col min="6917" max="6918" width="9.875" style="156" customWidth="1"/>
    <col min="6919" max="6919" width="18.75" style="156" customWidth="1"/>
    <col min="6920" max="7162" width="9" style="156" customWidth="1"/>
    <col min="7163" max="7163" width="9.25" style="156" customWidth="1"/>
    <col min="7164" max="7164" width="7" style="156" customWidth="1"/>
    <col min="7165" max="7165" width="7.625" style="156" customWidth="1"/>
    <col min="7166" max="7168" width="9.125" style="156" customWidth="1"/>
    <col min="7169" max="7169" width="10.125" style="156" customWidth="1"/>
    <col min="7170" max="7171" width="7.875" style="156" customWidth="1"/>
    <col min="7172" max="7172" width="15" style="156" customWidth="1"/>
    <col min="7173" max="7174" width="9.875" style="156" customWidth="1"/>
    <col min="7175" max="7175" width="18.75" style="156" customWidth="1"/>
    <col min="7176" max="7418" width="9" style="156" customWidth="1"/>
    <col min="7419" max="7419" width="9.25" style="156" customWidth="1"/>
    <col min="7420" max="7420" width="7" style="156" customWidth="1"/>
    <col min="7421" max="7421" width="7.625" style="156" customWidth="1"/>
    <col min="7422" max="7424" width="9.125" style="156" customWidth="1"/>
    <col min="7425" max="7425" width="10.125" style="156" customWidth="1"/>
    <col min="7426" max="7427" width="7.875" style="156" customWidth="1"/>
    <col min="7428" max="7428" width="15" style="156" customWidth="1"/>
    <col min="7429" max="7430" width="9.875" style="156" customWidth="1"/>
    <col min="7431" max="7431" width="18.75" style="156" customWidth="1"/>
    <col min="7432" max="7674" width="9" style="156" customWidth="1"/>
    <col min="7675" max="7675" width="9.25" style="156" customWidth="1"/>
    <col min="7676" max="7676" width="7" style="156" customWidth="1"/>
    <col min="7677" max="7677" width="7.625" style="156" customWidth="1"/>
    <col min="7678" max="7680" width="9.125" style="156" customWidth="1"/>
    <col min="7681" max="7681" width="10.125" style="156" customWidth="1"/>
    <col min="7682" max="7683" width="7.875" style="156" customWidth="1"/>
    <col min="7684" max="7684" width="15" style="156" customWidth="1"/>
    <col min="7685" max="7686" width="9.875" style="156" customWidth="1"/>
    <col min="7687" max="7687" width="18.75" style="156" customWidth="1"/>
    <col min="7688" max="7930" width="9" style="156" customWidth="1"/>
    <col min="7931" max="7931" width="9.25" style="156" customWidth="1"/>
    <col min="7932" max="7932" width="7" style="156" customWidth="1"/>
    <col min="7933" max="7933" width="7.625" style="156" customWidth="1"/>
    <col min="7934" max="7936" width="9.125" style="156" customWidth="1"/>
    <col min="7937" max="7937" width="10.125" style="156" customWidth="1"/>
    <col min="7938" max="7939" width="7.875" style="156" customWidth="1"/>
    <col min="7940" max="7940" width="15" style="156" customWidth="1"/>
    <col min="7941" max="7942" width="9.875" style="156" customWidth="1"/>
    <col min="7943" max="7943" width="18.75" style="156" customWidth="1"/>
    <col min="7944" max="8186" width="9" style="156" customWidth="1"/>
    <col min="8187" max="8187" width="9.25" style="156" customWidth="1"/>
    <col min="8188" max="8188" width="7" style="156" customWidth="1"/>
    <col min="8189" max="8189" width="7.625" style="156" customWidth="1"/>
    <col min="8190" max="8192" width="9.125" style="156" customWidth="1"/>
    <col min="8193" max="8193" width="10.125" style="156" customWidth="1"/>
    <col min="8194" max="8195" width="7.875" style="156" customWidth="1"/>
    <col min="8196" max="8196" width="15" style="156" customWidth="1"/>
    <col min="8197" max="8198" width="9.875" style="156" customWidth="1"/>
    <col min="8199" max="8199" width="18.75" style="156" customWidth="1"/>
    <col min="8200" max="8442" width="9" style="156" customWidth="1"/>
    <col min="8443" max="8443" width="9.25" style="156" customWidth="1"/>
    <col min="8444" max="8444" width="7" style="156" customWidth="1"/>
    <col min="8445" max="8445" width="7.625" style="156" customWidth="1"/>
    <col min="8446" max="8448" width="9.125" style="156" customWidth="1"/>
    <col min="8449" max="8449" width="10.125" style="156" customWidth="1"/>
    <col min="8450" max="8451" width="7.875" style="156" customWidth="1"/>
    <col min="8452" max="8452" width="15" style="156" customWidth="1"/>
    <col min="8453" max="8454" width="9.875" style="156" customWidth="1"/>
    <col min="8455" max="8455" width="18.75" style="156" customWidth="1"/>
    <col min="8456" max="8698" width="9" style="156" customWidth="1"/>
    <col min="8699" max="8699" width="9.25" style="156" customWidth="1"/>
    <col min="8700" max="8700" width="7" style="156" customWidth="1"/>
    <col min="8701" max="8701" width="7.625" style="156" customWidth="1"/>
    <col min="8702" max="8704" width="9.125" style="156" customWidth="1"/>
    <col min="8705" max="8705" width="10.125" style="156" customWidth="1"/>
    <col min="8706" max="8707" width="7.875" style="156" customWidth="1"/>
    <col min="8708" max="8708" width="15" style="156" customWidth="1"/>
    <col min="8709" max="8710" width="9.875" style="156" customWidth="1"/>
    <col min="8711" max="8711" width="18.75" style="156" customWidth="1"/>
    <col min="8712" max="8954" width="9" style="156" customWidth="1"/>
    <col min="8955" max="8955" width="9.25" style="156" customWidth="1"/>
    <col min="8956" max="8956" width="7" style="156" customWidth="1"/>
    <col min="8957" max="8957" width="7.625" style="156" customWidth="1"/>
    <col min="8958" max="8960" width="9.125" style="156" customWidth="1"/>
    <col min="8961" max="8961" width="10.125" style="156" customWidth="1"/>
    <col min="8962" max="8963" width="7.875" style="156" customWidth="1"/>
    <col min="8964" max="8964" width="15" style="156" customWidth="1"/>
    <col min="8965" max="8966" width="9.875" style="156" customWidth="1"/>
    <col min="8967" max="8967" width="18.75" style="156" customWidth="1"/>
    <col min="8968" max="9210" width="9" style="156" customWidth="1"/>
    <col min="9211" max="9211" width="9.25" style="156" customWidth="1"/>
    <col min="9212" max="9212" width="7" style="156" customWidth="1"/>
    <col min="9213" max="9213" width="7.625" style="156" customWidth="1"/>
    <col min="9214" max="9216" width="9.125" style="156" customWidth="1"/>
    <col min="9217" max="9217" width="10.125" style="156" customWidth="1"/>
    <col min="9218" max="9219" width="7.875" style="156" customWidth="1"/>
    <col min="9220" max="9220" width="15" style="156" customWidth="1"/>
    <col min="9221" max="9222" width="9.875" style="156" customWidth="1"/>
    <col min="9223" max="9223" width="18.75" style="156" customWidth="1"/>
    <col min="9224" max="9466" width="9" style="156" customWidth="1"/>
    <col min="9467" max="9467" width="9.25" style="156" customWidth="1"/>
    <col min="9468" max="9468" width="7" style="156" customWidth="1"/>
    <col min="9469" max="9469" width="7.625" style="156" customWidth="1"/>
    <col min="9470" max="9472" width="9.125" style="156" customWidth="1"/>
    <col min="9473" max="9473" width="10.125" style="156" customWidth="1"/>
    <col min="9474" max="9475" width="7.875" style="156" customWidth="1"/>
    <col min="9476" max="9476" width="15" style="156" customWidth="1"/>
    <col min="9477" max="9478" width="9.875" style="156" customWidth="1"/>
    <col min="9479" max="9479" width="18.75" style="156" customWidth="1"/>
    <col min="9480" max="9722" width="9" style="156" customWidth="1"/>
    <col min="9723" max="9723" width="9.25" style="156" customWidth="1"/>
    <col min="9724" max="9724" width="7" style="156" customWidth="1"/>
    <col min="9725" max="9725" width="7.625" style="156" customWidth="1"/>
    <col min="9726" max="9728" width="9.125" style="156" customWidth="1"/>
    <col min="9729" max="9729" width="10.125" style="156" customWidth="1"/>
    <col min="9730" max="9731" width="7.875" style="156" customWidth="1"/>
    <col min="9732" max="9732" width="15" style="156" customWidth="1"/>
    <col min="9733" max="9734" width="9.875" style="156" customWidth="1"/>
    <col min="9735" max="9735" width="18.75" style="156" customWidth="1"/>
    <col min="9736" max="9978" width="9" style="156" customWidth="1"/>
    <col min="9979" max="9979" width="9.25" style="156" customWidth="1"/>
    <col min="9980" max="9980" width="7" style="156" customWidth="1"/>
    <col min="9981" max="9981" width="7.625" style="156" customWidth="1"/>
    <col min="9982" max="9984" width="9.125" style="156" customWidth="1"/>
    <col min="9985" max="9985" width="10.125" style="156" customWidth="1"/>
    <col min="9986" max="9987" width="7.875" style="156" customWidth="1"/>
    <col min="9988" max="9988" width="15" style="156" customWidth="1"/>
    <col min="9989" max="9990" width="9.875" style="156" customWidth="1"/>
    <col min="9991" max="9991" width="18.75" style="156" customWidth="1"/>
    <col min="9992" max="10234" width="9" style="156" customWidth="1"/>
    <col min="10235" max="10235" width="9.25" style="156" customWidth="1"/>
    <col min="10236" max="10236" width="7" style="156" customWidth="1"/>
    <col min="10237" max="10237" width="7.625" style="156" customWidth="1"/>
    <col min="10238" max="10240" width="9.125" style="156" customWidth="1"/>
    <col min="10241" max="10241" width="10.125" style="156" customWidth="1"/>
    <col min="10242" max="10243" width="7.875" style="156" customWidth="1"/>
    <col min="10244" max="10244" width="15" style="156" customWidth="1"/>
    <col min="10245" max="10246" width="9.875" style="156" customWidth="1"/>
    <col min="10247" max="10247" width="18.75" style="156" customWidth="1"/>
    <col min="10248" max="10490" width="9" style="156" customWidth="1"/>
    <col min="10491" max="10491" width="9.25" style="156" customWidth="1"/>
    <col min="10492" max="10492" width="7" style="156" customWidth="1"/>
    <col min="10493" max="10493" width="7.625" style="156" customWidth="1"/>
    <col min="10494" max="10496" width="9.125" style="156" customWidth="1"/>
    <col min="10497" max="10497" width="10.125" style="156" customWidth="1"/>
    <col min="10498" max="10499" width="7.875" style="156" customWidth="1"/>
    <col min="10500" max="10500" width="15" style="156" customWidth="1"/>
    <col min="10501" max="10502" width="9.875" style="156" customWidth="1"/>
    <col min="10503" max="10503" width="18.75" style="156" customWidth="1"/>
    <col min="10504" max="10746" width="9" style="156" customWidth="1"/>
    <col min="10747" max="10747" width="9.25" style="156" customWidth="1"/>
    <col min="10748" max="10748" width="7" style="156" customWidth="1"/>
    <col min="10749" max="10749" width="7.625" style="156" customWidth="1"/>
    <col min="10750" max="10752" width="9.125" style="156" customWidth="1"/>
    <col min="10753" max="10753" width="10.125" style="156" customWidth="1"/>
    <col min="10754" max="10755" width="7.875" style="156" customWidth="1"/>
    <col min="10756" max="10756" width="15" style="156" customWidth="1"/>
    <col min="10757" max="10758" width="9.875" style="156" customWidth="1"/>
    <col min="10759" max="10759" width="18.75" style="156" customWidth="1"/>
    <col min="10760" max="11002" width="9" style="156" customWidth="1"/>
    <col min="11003" max="11003" width="9.25" style="156" customWidth="1"/>
    <col min="11004" max="11004" width="7" style="156" customWidth="1"/>
    <col min="11005" max="11005" width="7.625" style="156" customWidth="1"/>
    <col min="11006" max="11008" width="9.125" style="156" customWidth="1"/>
    <col min="11009" max="11009" width="10.125" style="156" customWidth="1"/>
    <col min="11010" max="11011" width="7.875" style="156" customWidth="1"/>
    <col min="11012" max="11012" width="15" style="156" customWidth="1"/>
    <col min="11013" max="11014" width="9.875" style="156" customWidth="1"/>
    <col min="11015" max="11015" width="18.75" style="156" customWidth="1"/>
    <col min="11016" max="11258" width="9" style="156" customWidth="1"/>
    <col min="11259" max="11259" width="9.25" style="156" customWidth="1"/>
    <col min="11260" max="11260" width="7" style="156" customWidth="1"/>
    <col min="11261" max="11261" width="7.625" style="156" customWidth="1"/>
    <col min="11262" max="11264" width="9.125" style="156" customWidth="1"/>
    <col min="11265" max="11265" width="10.125" style="156" customWidth="1"/>
    <col min="11266" max="11267" width="7.875" style="156" customWidth="1"/>
    <col min="11268" max="11268" width="15" style="156" customWidth="1"/>
    <col min="11269" max="11270" width="9.875" style="156" customWidth="1"/>
    <col min="11271" max="11271" width="18.75" style="156" customWidth="1"/>
    <col min="11272" max="11514" width="9" style="156" customWidth="1"/>
    <col min="11515" max="11515" width="9.25" style="156" customWidth="1"/>
    <col min="11516" max="11516" width="7" style="156" customWidth="1"/>
    <col min="11517" max="11517" width="7.625" style="156" customWidth="1"/>
    <col min="11518" max="11520" width="9.125" style="156" customWidth="1"/>
    <col min="11521" max="11521" width="10.125" style="156" customWidth="1"/>
    <col min="11522" max="11523" width="7.875" style="156" customWidth="1"/>
    <col min="11524" max="11524" width="15" style="156" customWidth="1"/>
    <col min="11525" max="11526" width="9.875" style="156" customWidth="1"/>
    <col min="11527" max="11527" width="18.75" style="156" customWidth="1"/>
    <col min="11528" max="11770" width="9" style="156" customWidth="1"/>
    <col min="11771" max="11771" width="9.25" style="156" customWidth="1"/>
    <col min="11772" max="11772" width="7" style="156" customWidth="1"/>
    <col min="11773" max="11773" width="7.625" style="156" customWidth="1"/>
    <col min="11774" max="11776" width="9.125" style="156" customWidth="1"/>
    <col min="11777" max="11777" width="10.125" style="156" customWidth="1"/>
    <col min="11778" max="11779" width="7.875" style="156" customWidth="1"/>
    <col min="11780" max="11780" width="15" style="156" customWidth="1"/>
    <col min="11781" max="11782" width="9.875" style="156" customWidth="1"/>
    <col min="11783" max="11783" width="18.75" style="156" customWidth="1"/>
    <col min="11784" max="12026" width="9" style="156" customWidth="1"/>
    <col min="12027" max="12027" width="9.25" style="156" customWidth="1"/>
    <col min="12028" max="12028" width="7" style="156" customWidth="1"/>
    <col min="12029" max="12029" width="7.625" style="156" customWidth="1"/>
    <col min="12030" max="12032" width="9.125" style="156" customWidth="1"/>
    <col min="12033" max="12033" width="10.125" style="156" customWidth="1"/>
    <col min="12034" max="12035" width="7.875" style="156" customWidth="1"/>
    <col min="12036" max="12036" width="15" style="156" customWidth="1"/>
    <col min="12037" max="12038" width="9.875" style="156" customWidth="1"/>
    <col min="12039" max="12039" width="18.75" style="156" customWidth="1"/>
    <col min="12040" max="12282" width="9" style="156" customWidth="1"/>
    <col min="12283" max="12283" width="9.25" style="156" customWidth="1"/>
    <col min="12284" max="12284" width="7" style="156" customWidth="1"/>
    <col min="12285" max="12285" width="7.625" style="156" customWidth="1"/>
    <col min="12286" max="12288" width="9.125" style="156" customWidth="1"/>
    <col min="12289" max="12289" width="10.125" style="156" customWidth="1"/>
    <col min="12290" max="12291" width="7.875" style="156" customWidth="1"/>
    <col min="12292" max="12292" width="15" style="156" customWidth="1"/>
    <col min="12293" max="12294" width="9.875" style="156" customWidth="1"/>
    <col min="12295" max="12295" width="18.75" style="156" customWidth="1"/>
    <col min="12296" max="12538" width="9" style="156" customWidth="1"/>
    <col min="12539" max="12539" width="9.25" style="156" customWidth="1"/>
    <col min="12540" max="12540" width="7" style="156" customWidth="1"/>
    <col min="12541" max="12541" width="7.625" style="156" customWidth="1"/>
    <col min="12542" max="12544" width="9.125" style="156" customWidth="1"/>
    <col min="12545" max="12545" width="10.125" style="156" customWidth="1"/>
    <col min="12546" max="12547" width="7.875" style="156" customWidth="1"/>
    <col min="12548" max="12548" width="15" style="156" customWidth="1"/>
    <col min="12549" max="12550" width="9.875" style="156" customWidth="1"/>
    <col min="12551" max="12551" width="18.75" style="156" customWidth="1"/>
    <col min="12552" max="12794" width="9" style="156" customWidth="1"/>
    <col min="12795" max="12795" width="9.25" style="156" customWidth="1"/>
    <col min="12796" max="12796" width="7" style="156" customWidth="1"/>
    <col min="12797" max="12797" width="7.625" style="156" customWidth="1"/>
    <col min="12798" max="12800" width="9.125" style="156" customWidth="1"/>
    <col min="12801" max="12801" width="10.125" style="156" customWidth="1"/>
    <col min="12802" max="12803" width="7.875" style="156" customWidth="1"/>
    <col min="12804" max="12804" width="15" style="156" customWidth="1"/>
    <col min="12805" max="12806" width="9.875" style="156" customWidth="1"/>
    <col min="12807" max="12807" width="18.75" style="156" customWidth="1"/>
    <col min="12808" max="13050" width="9" style="156" customWidth="1"/>
    <col min="13051" max="13051" width="9.25" style="156" customWidth="1"/>
    <col min="13052" max="13052" width="7" style="156" customWidth="1"/>
    <col min="13053" max="13053" width="7.625" style="156" customWidth="1"/>
    <col min="13054" max="13056" width="9.125" style="156" customWidth="1"/>
    <col min="13057" max="13057" width="10.125" style="156" customWidth="1"/>
    <col min="13058" max="13059" width="7.875" style="156" customWidth="1"/>
    <col min="13060" max="13060" width="15" style="156" customWidth="1"/>
    <col min="13061" max="13062" width="9.875" style="156" customWidth="1"/>
    <col min="13063" max="13063" width="18.75" style="156" customWidth="1"/>
    <col min="13064" max="13306" width="9" style="156" customWidth="1"/>
    <col min="13307" max="13307" width="9.25" style="156" customWidth="1"/>
    <col min="13308" max="13308" width="7" style="156" customWidth="1"/>
    <col min="13309" max="13309" width="7.625" style="156" customWidth="1"/>
    <col min="13310" max="13312" width="9.125" style="156" customWidth="1"/>
    <col min="13313" max="13313" width="10.125" style="156" customWidth="1"/>
    <col min="13314" max="13315" width="7.875" style="156" customWidth="1"/>
    <col min="13316" max="13316" width="15" style="156" customWidth="1"/>
    <col min="13317" max="13318" width="9.875" style="156" customWidth="1"/>
    <col min="13319" max="13319" width="18.75" style="156" customWidth="1"/>
    <col min="13320" max="13562" width="9" style="156" customWidth="1"/>
    <col min="13563" max="13563" width="9.25" style="156" customWidth="1"/>
    <col min="13564" max="13564" width="7" style="156" customWidth="1"/>
    <col min="13565" max="13565" width="7.625" style="156" customWidth="1"/>
    <col min="13566" max="13568" width="9.125" style="156" customWidth="1"/>
    <col min="13569" max="13569" width="10.125" style="156" customWidth="1"/>
    <col min="13570" max="13571" width="7.875" style="156" customWidth="1"/>
    <col min="13572" max="13572" width="15" style="156" customWidth="1"/>
    <col min="13573" max="13574" width="9.875" style="156" customWidth="1"/>
    <col min="13575" max="13575" width="18.75" style="156" customWidth="1"/>
    <col min="13576" max="13818" width="9" style="156" customWidth="1"/>
    <col min="13819" max="13819" width="9.25" style="156" customWidth="1"/>
    <col min="13820" max="13820" width="7" style="156" customWidth="1"/>
    <col min="13821" max="13821" width="7.625" style="156" customWidth="1"/>
    <col min="13822" max="13824" width="9.125" style="156" customWidth="1"/>
    <col min="13825" max="13825" width="10.125" style="156" customWidth="1"/>
    <col min="13826" max="13827" width="7.875" style="156" customWidth="1"/>
    <col min="13828" max="13828" width="15" style="156" customWidth="1"/>
    <col min="13829" max="13830" width="9.875" style="156" customWidth="1"/>
    <col min="13831" max="13831" width="18.75" style="156" customWidth="1"/>
    <col min="13832" max="14074" width="9" style="156" customWidth="1"/>
    <col min="14075" max="14075" width="9.25" style="156" customWidth="1"/>
    <col min="14076" max="14076" width="7" style="156" customWidth="1"/>
    <col min="14077" max="14077" width="7.625" style="156" customWidth="1"/>
    <col min="14078" max="14080" width="9.125" style="156" customWidth="1"/>
    <col min="14081" max="14081" width="10.125" style="156" customWidth="1"/>
    <col min="14082" max="14083" width="7.875" style="156" customWidth="1"/>
    <col min="14084" max="14084" width="15" style="156" customWidth="1"/>
    <col min="14085" max="14086" width="9.875" style="156" customWidth="1"/>
    <col min="14087" max="14087" width="18.75" style="156" customWidth="1"/>
    <col min="14088" max="14330" width="9" style="156" customWidth="1"/>
    <col min="14331" max="14331" width="9.25" style="156" customWidth="1"/>
    <col min="14332" max="14332" width="7" style="156" customWidth="1"/>
    <col min="14333" max="14333" width="7.625" style="156" customWidth="1"/>
    <col min="14334" max="14336" width="9.125" style="156" customWidth="1"/>
    <col min="14337" max="14337" width="10.125" style="156" customWidth="1"/>
    <col min="14338" max="14339" width="7.875" style="156" customWidth="1"/>
    <col min="14340" max="14340" width="15" style="156" customWidth="1"/>
    <col min="14341" max="14342" width="9.875" style="156" customWidth="1"/>
    <col min="14343" max="14343" width="18.75" style="156" customWidth="1"/>
    <col min="14344" max="14586" width="9" style="156" customWidth="1"/>
    <col min="14587" max="14587" width="9.25" style="156" customWidth="1"/>
    <col min="14588" max="14588" width="7" style="156" customWidth="1"/>
    <col min="14589" max="14589" width="7.625" style="156" customWidth="1"/>
    <col min="14590" max="14592" width="9.125" style="156" customWidth="1"/>
    <col min="14593" max="14593" width="10.125" style="156" customWidth="1"/>
    <col min="14594" max="14595" width="7.875" style="156" customWidth="1"/>
    <col min="14596" max="14596" width="15" style="156" customWidth="1"/>
    <col min="14597" max="14598" width="9.875" style="156" customWidth="1"/>
    <col min="14599" max="14599" width="18.75" style="156" customWidth="1"/>
    <col min="14600" max="14842" width="9" style="156" customWidth="1"/>
    <col min="14843" max="14843" width="9.25" style="156" customWidth="1"/>
    <col min="14844" max="14844" width="7" style="156" customWidth="1"/>
    <col min="14845" max="14845" width="7.625" style="156" customWidth="1"/>
    <col min="14846" max="14848" width="9.125" style="156" customWidth="1"/>
    <col min="14849" max="14849" width="10.125" style="156" customWidth="1"/>
    <col min="14850" max="14851" width="7.875" style="156" customWidth="1"/>
    <col min="14852" max="14852" width="15" style="156" customWidth="1"/>
    <col min="14853" max="14854" width="9.875" style="156" customWidth="1"/>
    <col min="14855" max="14855" width="18.75" style="156" customWidth="1"/>
    <col min="14856" max="15098" width="9" style="156" customWidth="1"/>
    <col min="15099" max="15099" width="9.25" style="156" customWidth="1"/>
    <col min="15100" max="15100" width="7" style="156" customWidth="1"/>
    <col min="15101" max="15101" width="7.625" style="156" customWidth="1"/>
    <col min="15102" max="15104" width="9.125" style="156" customWidth="1"/>
    <col min="15105" max="15105" width="10.125" style="156" customWidth="1"/>
    <col min="15106" max="15107" width="7.875" style="156" customWidth="1"/>
    <col min="15108" max="15108" width="15" style="156" customWidth="1"/>
    <col min="15109" max="15110" width="9.875" style="156" customWidth="1"/>
    <col min="15111" max="15111" width="18.75" style="156" customWidth="1"/>
    <col min="15112" max="15354" width="9" style="156" customWidth="1"/>
    <col min="15355" max="15355" width="9.25" style="156" customWidth="1"/>
    <col min="15356" max="15356" width="7" style="156" customWidth="1"/>
    <col min="15357" max="15357" width="7.625" style="156" customWidth="1"/>
    <col min="15358" max="15360" width="9.125" style="156" customWidth="1"/>
    <col min="15361" max="15361" width="10.125" style="156" customWidth="1"/>
    <col min="15362" max="15363" width="7.875" style="156" customWidth="1"/>
    <col min="15364" max="15364" width="15" style="156" customWidth="1"/>
    <col min="15365" max="15366" width="9.875" style="156" customWidth="1"/>
    <col min="15367" max="15367" width="18.75" style="156" customWidth="1"/>
    <col min="15368" max="15610" width="9" style="156" customWidth="1"/>
    <col min="15611" max="15611" width="9.25" style="156" customWidth="1"/>
    <col min="15612" max="15612" width="7" style="156" customWidth="1"/>
    <col min="15613" max="15613" width="7.625" style="156" customWidth="1"/>
    <col min="15614" max="15616" width="9.125" style="156" customWidth="1"/>
    <col min="15617" max="15617" width="10.125" style="156" customWidth="1"/>
    <col min="15618" max="15619" width="7.875" style="156" customWidth="1"/>
    <col min="15620" max="15620" width="15" style="156" customWidth="1"/>
    <col min="15621" max="15622" width="9.875" style="156" customWidth="1"/>
    <col min="15623" max="15623" width="18.75" style="156" customWidth="1"/>
    <col min="15624" max="15866" width="9" style="156" customWidth="1"/>
    <col min="15867" max="15867" width="9.25" style="156" customWidth="1"/>
    <col min="15868" max="15868" width="7" style="156" customWidth="1"/>
    <col min="15869" max="15869" width="7.625" style="156" customWidth="1"/>
    <col min="15870" max="15872" width="9.125" style="156" customWidth="1"/>
    <col min="15873" max="15873" width="10.125" style="156" customWidth="1"/>
    <col min="15874" max="15875" width="7.875" style="156" customWidth="1"/>
    <col min="15876" max="15876" width="15" style="156" customWidth="1"/>
    <col min="15877" max="15878" width="9.875" style="156" customWidth="1"/>
    <col min="15879" max="15879" width="18.75" style="156" customWidth="1"/>
    <col min="15880" max="16122" width="9" style="156" customWidth="1"/>
    <col min="16123" max="16123" width="9.25" style="156" customWidth="1"/>
    <col min="16124" max="16124" width="7" style="156" customWidth="1"/>
    <col min="16125" max="16125" width="7.625" style="156" customWidth="1"/>
    <col min="16126" max="16128" width="9.125" style="156" customWidth="1"/>
    <col min="16129" max="16129" width="10.125" style="156" customWidth="1"/>
    <col min="16130" max="16131" width="7.875" style="156" customWidth="1"/>
    <col min="16132" max="16132" width="15" style="156" customWidth="1"/>
    <col min="16133" max="16134" width="9.875" style="156" customWidth="1"/>
    <col min="16135" max="16135" width="18.75" style="156" customWidth="1"/>
    <col min="16136" max="16384" width="9" style="156" customWidth="1"/>
  </cols>
  <sheetData>
    <row r="1" ht="27.95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9.7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42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0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43</v>
      </c>
      <c r="B6" s="207" t="str">
        <f>'Final Work'!B4</f>
        <v>SAWASDEE DENEB</v>
      </c>
      <c r="C6" s="156"/>
      <c r="D6" s="156"/>
      <c r="E6" s="156"/>
      <c r="F6" s="156"/>
      <c r="G6" s="156" t="s">
        <v>44</v>
      </c>
      <c r="H6" s="192"/>
      <c r="I6" s="192"/>
      <c r="J6" s="156"/>
      <c r="K6" s="156" t="s">
        <v>45</v>
      </c>
      <c r="L6" s="208"/>
      <c r="M6" s="192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5.25" customHeight="1" spans="1:25" x14ac:dyDescent="0.25">
      <c r="A7" s="156"/>
      <c r="B7" s="156"/>
      <c r="C7" s="156"/>
      <c r="D7" s="156"/>
      <c r="E7" s="156"/>
      <c r="F7" s="156"/>
      <c r="G7" s="156"/>
      <c r="H7" s="209"/>
      <c r="I7" s="209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46</v>
      </c>
      <c r="B8" s="156" t="s">
        <v>26</v>
      </c>
      <c r="C8" s="156"/>
      <c r="D8" s="156"/>
      <c r="E8" s="156"/>
      <c r="F8" s="156"/>
      <c r="G8" s="156" t="s">
        <v>47</v>
      </c>
      <c r="H8" s="192"/>
      <c r="I8" s="192"/>
      <c r="J8" s="156"/>
      <c r="K8" s="207" t="s">
        <v>48</v>
      </c>
      <c r="L8" s="192"/>
      <c r="M8" s="192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8.2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4.45" customHeight="1" spans="1:25" x14ac:dyDescent="0.25">
      <c r="A10" s="210" t="s">
        <v>49</v>
      </c>
      <c r="B10" s="211" t="s">
        <v>50</v>
      </c>
      <c r="C10" s="211"/>
      <c r="D10" s="210" t="s">
        <v>51</v>
      </c>
      <c r="E10" s="210"/>
      <c r="F10" s="210"/>
      <c r="G10" s="212" t="s">
        <v>52</v>
      </c>
      <c r="H10" s="210" t="s">
        <v>53</v>
      </c>
      <c r="I10" s="210"/>
      <c r="J10" s="212" t="s">
        <v>54</v>
      </c>
      <c r="K10" s="210" t="s">
        <v>55</v>
      </c>
      <c r="L10" s="210" t="s">
        <v>56</v>
      </c>
      <c r="M10" s="210" t="s">
        <v>57</v>
      </c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</row>
    <row r="11" ht="14.45" customHeight="1" spans="1:25" x14ac:dyDescent="0.25">
      <c r="A11" s="213"/>
      <c r="B11" s="214"/>
      <c r="C11" s="214"/>
      <c r="D11" s="213"/>
      <c r="E11" s="213"/>
      <c r="F11" s="213"/>
      <c r="G11" s="215" t="s">
        <v>58</v>
      </c>
      <c r="H11" s="213"/>
      <c r="I11" s="213"/>
      <c r="J11" s="215"/>
      <c r="K11" s="213"/>
      <c r="L11" s="213"/>
      <c r="M11" s="213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</row>
    <row r="12" ht="18" customHeight="1" hidden="1" spans="1:25" x14ac:dyDescent="0.25">
      <c r="A12" s="216"/>
      <c r="B12" s="191"/>
      <c r="C12" s="183"/>
      <c r="D12" s="217"/>
      <c r="E12" s="218"/>
      <c r="F12" s="219"/>
      <c r="G12" s="220"/>
      <c r="H12" s="221"/>
      <c r="I12" s="222"/>
      <c r="J12" s="223"/>
      <c r="K12" s="220"/>
      <c r="L12" s="220"/>
      <c r="M12" s="224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</row>
    <row r="13" ht="19.9" customHeight="1" spans="1:25" x14ac:dyDescent="0.25">
      <c r="A13" s="225"/>
      <c r="B13" s="226"/>
      <c r="C13" s="227"/>
      <c r="D13" s="228"/>
      <c r="E13" s="229"/>
      <c r="F13" s="230"/>
      <c r="G13" s="231"/>
      <c r="H13" s="232"/>
      <c r="I13" s="233"/>
      <c r="J13" s="234"/>
      <c r="K13" s="231"/>
      <c r="L13" s="231"/>
      <c r="M13" s="235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9.9" customHeight="1" spans="1:25" x14ac:dyDescent="0.25">
      <c r="A14" s="225"/>
      <c r="B14" s="226"/>
      <c r="C14" s="227"/>
      <c r="D14" s="228"/>
      <c r="E14" s="229"/>
      <c r="F14" s="230"/>
      <c r="G14" s="231"/>
      <c r="H14" s="232"/>
      <c r="I14" s="233"/>
      <c r="J14" s="234"/>
      <c r="K14" s="231"/>
      <c r="L14" s="231"/>
      <c r="M14" s="235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9.9" customHeight="1" spans="1:25" x14ac:dyDescent="0.25">
      <c r="A15" s="236"/>
      <c r="B15" s="237"/>
      <c r="C15" s="237"/>
      <c r="D15" s="238"/>
      <c r="E15" s="239"/>
      <c r="F15" s="240"/>
      <c r="G15" s="237"/>
      <c r="H15" s="241"/>
      <c r="I15" s="242"/>
      <c r="J15" s="241"/>
      <c r="K15" s="237"/>
      <c r="L15" s="237"/>
      <c r="M15" s="235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9.9" customHeight="1" spans="1:25" x14ac:dyDescent="0.25">
      <c r="A16" s="236"/>
      <c r="B16" s="237"/>
      <c r="C16" s="237"/>
      <c r="D16" s="238"/>
      <c r="E16" s="239"/>
      <c r="F16" s="240"/>
      <c r="G16" s="237"/>
      <c r="H16" s="241"/>
      <c r="I16" s="242"/>
      <c r="J16" s="241"/>
      <c r="K16" s="237"/>
      <c r="L16" s="237"/>
      <c r="M16" s="243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9.9" customHeight="1" spans="1:25" x14ac:dyDescent="0.25">
      <c r="A17" s="236"/>
      <c r="B17" s="237"/>
      <c r="C17" s="237"/>
      <c r="D17" s="238"/>
      <c r="E17" s="239"/>
      <c r="F17" s="240"/>
      <c r="G17" s="237"/>
      <c r="H17" s="241"/>
      <c r="I17" s="242"/>
      <c r="J17" s="241"/>
      <c r="K17" s="237"/>
      <c r="L17" s="237"/>
      <c r="M17" s="244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9.9" customHeight="1" spans="1:25" x14ac:dyDescent="0.25">
      <c r="A18" s="236"/>
      <c r="B18" s="237"/>
      <c r="C18" s="237"/>
      <c r="D18" s="238"/>
      <c r="E18" s="239"/>
      <c r="F18" s="240"/>
      <c r="G18" s="237"/>
      <c r="H18" s="241"/>
      <c r="I18" s="242"/>
      <c r="J18" s="241"/>
      <c r="K18" s="237"/>
      <c r="L18" s="237"/>
      <c r="M18" s="244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9.9" customHeight="1" spans="1:25" x14ac:dyDescent="0.25">
      <c r="A19" s="236"/>
      <c r="B19" s="237"/>
      <c r="C19" s="237"/>
      <c r="D19" s="238"/>
      <c r="E19" s="239"/>
      <c r="F19" s="240"/>
      <c r="G19" s="237"/>
      <c r="H19" s="241"/>
      <c r="I19" s="242"/>
      <c r="J19" s="241"/>
      <c r="K19" s="237"/>
      <c r="L19" s="237"/>
      <c r="M19" s="244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9.9" customHeight="1" hidden="1" spans="1:25" x14ac:dyDescent="0.25">
      <c r="A20" s="236"/>
      <c r="B20" s="237"/>
      <c r="C20" s="237"/>
      <c r="D20" s="238"/>
      <c r="E20" s="239"/>
      <c r="F20" s="240"/>
      <c r="G20" s="237"/>
      <c r="H20" s="241"/>
      <c r="I20" s="242"/>
      <c r="J20" s="241"/>
      <c r="K20" s="237"/>
      <c r="L20" s="237"/>
      <c r="M20" s="244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9.9" customHeight="1" hidden="1" spans="1:25" x14ac:dyDescent="0.25">
      <c r="A21" s="236"/>
      <c r="B21" s="237"/>
      <c r="C21" s="237"/>
      <c r="D21" s="238"/>
      <c r="E21" s="239"/>
      <c r="F21" s="240"/>
      <c r="G21" s="237"/>
      <c r="H21" s="241"/>
      <c r="I21" s="242"/>
      <c r="J21" s="241"/>
      <c r="K21" s="237"/>
      <c r="L21" s="237"/>
      <c r="M21" s="244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9.9" customHeight="1" hidden="1" spans="1:25" x14ac:dyDescent="0.25">
      <c r="A22" s="236"/>
      <c r="B22" s="237"/>
      <c r="C22" s="237"/>
      <c r="D22" s="238"/>
      <c r="E22" s="239"/>
      <c r="F22" s="240"/>
      <c r="G22" s="237"/>
      <c r="H22" s="241"/>
      <c r="I22" s="242"/>
      <c r="J22" s="241"/>
      <c r="K22" s="237"/>
      <c r="L22" s="237"/>
      <c r="M22" s="244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9.9" customHeight="1" spans="1:25" x14ac:dyDescent="0.25">
      <c r="A23" s="245"/>
      <c r="B23" s="246"/>
      <c r="C23" s="246"/>
      <c r="D23" s="247" t="s">
        <v>59</v>
      </c>
      <c r="E23" s="248"/>
      <c r="F23" s="249"/>
      <c r="G23" s="250" t="s">
        <v>60</v>
      </c>
      <c r="H23" s="251">
        <f>SUM(H13:I22)</f>
        <v>349</v>
      </c>
      <c r="I23" s="251"/>
      <c r="J23" s="251">
        <f>SUM(J12:J22)</f>
        <v>349</v>
      </c>
      <c r="K23" s="250" t="s">
        <v>61</v>
      </c>
      <c r="L23" s="250" t="s">
        <v>61</v>
      </c>
      <c r="M23" s="252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9.9" customHeight="1" hidden="1" spans="1:25" x14ac:dyDescent="0.25">
      <c r="A24" s="216"/>
      <c r="B24" s="253"/>
      <c r="C24" s="174"/>
      <c r="D24" s="254"/>
      <c r="E24" s="255"/>
      <c r="F24" s="256"/>
      <c r="G24" s="257"/>
      <c r="H24" s="258"/>
      <c r="I24" s="259"/>
      <c r="J24" s="260"/>
      <c r="K24" s="257"/>
      <c r="L24" s="257"/>
      <c r="M24" s="261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9.9" customHeight="1" spans="1:25" x14ac:dyDescent="0.25">
      <c r="A25" s="262"/>
      <c r="B25" s="263"/>
      <c r="C25" s="263"/>
      <c r="D25" s="220"/>
      <c r="E25" s="220"/>
      <c r="F25" s="220"/>
      <c r="G25" s="263"/>
      <c r="H25" s="264"/>
      <c r="I25" s="264"/>
      <c r="J25" s="264"/>
      <c r="K25" s="263"/>
      <c r="L25" s="263"/>
      <c r="M25" s="262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65" t="s">
        <v>62</v>
      </c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7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5.95" customHeight="1" spans="1:25" x14ac:dyDescent="0.25">
      <c r="A27" s="268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70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5.95" customHeight="1" spans="1:25" x14ac:dyDescent="0.25">
      <c r="A28" s="271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70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5.95" customHeight="1" spans="1:25" x14ac:dyDescent="0.25">
      <c r="A29" s="271"/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70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5.95" customHeight="1" spans="1:25" x14ac:dyDescent="0.25">
      <c r="A30" s="271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70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5.95" customHeight="1" spans="1:25" x14ac:dyDescent="0.25">
      <c r="A31" s="271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70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5.95" customHeight="1" spans="1:25" x14ac:dyDescent="0.25">
      <c r="A32" s="272"/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4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8" customHeight="1" spans="1:25" x14ac:dyDescent="0.25">
      <c r="A33" s="41"/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8" customHeight="1" hidden="1" spans="1:25" x14ac:dyDescent="0.25">
      <c r="A34" s="41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8" customHeight="1" spans="1:25" x14ac:dyDescent="0.25">
      <c r="A35" s="41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8" customHeight="1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18" customHeight="1" spans="1:25" x14ac:dyDescent="0.25">
      <c r="A37" s="202"/>
      <c r="B37" s="202"/>
      <c r="C37" s="202"/>
      <c r="D37" s="156"/>
      <c r="E37" s="156"/>
      <c r="F37" s="156"/>
      <c r="G37" s="202"/>
      <c r="H37" s="202"/>
      <c r="I37" s="202"/>
      <c r="J37" s="156"/>
      <c r="K37" s="156"/>
      <c r="L37" s="202"/>
      <c r="M37" s="202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18" customHeight="1" spans="1:25" x14ac:dyDescent="0.25">
      <c r="A38" s="203" t="s">
        <v>23</v>
      </c>
      <c r="B38" s="203"/>
      <c r="C38" s="203"/>
      <c r="D38" s="156"/>
      <c r="E38" s="156"/>
      <c r="F38" s="156"/>
      <c r="G38" s="203" t="s">
        <v>63</v>
      </c>
      <c r="H38" s="203"/>
      <c r="I38" s="203"/>
      <c r="J38" s="156"/>
      <c r="K38" s="156"/>
      <c r="L38" s="203" t="s">
        <v>24</v>
      </c>
      <c r="M38" s="203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spans="1:25" x14ac:dyDescent="0.25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x14ac:dyDescent="0.25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  <row r="43" spans="1:25" x14ac:dyDescent="0.25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H24:I24"/>
    <mergeCell ref="B25:C25"/>
    <mergeCell ref="D25:F25"/>
    <mergeCell ref="H25:I25"/>
    <mergeCell ref="A26:M26"/>
    <mergeCell ref="B27:M27"/>
    <mergeCell ref="B28:M28"/>
    <mergeCell ref="B29:M29"/>
    <mergeCell ref="B30:M30"/>
    <mergeCell ref="B31:M31"/>
    <mergeCell ref="B32:M32"/>
    <mergeCell ref="A38:C38"/>
    <mergeCell ref="G38:I38"/>
    <mergeCell ref="L38:M38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56" customWidth="1"/>
    <col min="2" max="3" width="6.625" style="156" customWidth="1"/>
    <col min="4" max="6" width="9.125" style="156" customWidth="1"/>
    <col min="7" max="7" width="10.125" style="156" customWidth="1"/>
    <col min="8" max="9" width="7.625" style="156" customWidth="1"/>
    <col min="10" max="10" width="14.625" style="156" customWidth="1"/>
    <col min="11" max="12" width="9.625" style="156" customWidth="1"/>
    <col min="13" max="13" width="20.75" style="156" customWidth="1"/>
    <col min="14" max="256" width="9" style="156" customWidth="1"/>
    <col min="257" max="257" width="9.25" style="156" customWidth="1"/>
    <col min="258" max="258" width="7" style="156" customWidth="1"/>
    <col min="259" max="259" width="7.625" style="156" customWidth="1"/>
    <col min="260" max="262" width="9.125" style="156" customWidth="1"/>
    <col min="263" max="263" width="10.125" style="156" customWidth="1"/>
    <col min="264" max="265" width="7.875" style="156" customWidth="1"/>
    <col min="266" max="266" width="15" style="156" customWidth="1"/>
    <col min="267" max="268" width="9.875" style="156" customWidth="1"/>
    <col min="269" max="269" width="18.75" style="156" customWidth="1"/>
    <col min="270" max="512" width="9" style="156" customWidth="1"/>
    <col min="513" max="513" width="9.25" style="156" customWidth="1"/>
    <col min="514" max="514" width="7" style="156" customWidth="1"/>
    <col min="515" max="515" width="7.625" style="156" customWidth="1"/>
    <col min="516" max="518" width="9.125" style="156" customWidth="1"/>
    <col min="519" max="519" width="10.125" style="156" customWidth="1"/>
    <col min="520" max="521" width="7.875" style="156" customWidth="1"/>
    <col min="522" max="522" width="15" style="156" customWidth="1"/>
    <col min="523" max="524" width="9.875" style="156" customWidth="1"/>
    <col min="525" max="525" width="18.75" style="156" customWidth="1"/>
    <col min="526" max="768" width="9" style="156" customWidth="1"/>
    <col min="769" max="769" width="9.25" style="156" customWidth="1"/>
    <col min="770" max="770" width="7" style="156" customWidth="1"/>
    <col min="771" max="771" width="7.625" style="156" customWidth="1"/>
    <col min="772" max="774" width="9.125" style="156" customWidth="1"/>
    <col min="775" max="775" width="10.125" style="156" customWidth="1"/>
    <col min="776" max="777" width="7.875" style="156" customWidth="1"/>
    <col min="778" max="778" width="15" style="156" customWidth="1"/>
    <col min="779" max="780" width="9.875" style="156" customWidth="1"/>
    <col min="781" max="781" width="18.75" style="156" customWidth="1"/>
    <col min="782" max="1024" width="9" style="156" customWidth="1"/>
    <col min="1025" max="1025" width="9.25" style="156" customWidth="1"/>
    <col min="1026" max="1026" width="7" style="156" customWidth="1"/>
    <col min="1027" max="1027" width="7.625" style="156" customWidth="1"/>
    <col min="1028" max="1030" width="9.125" style="156" customWidth="1"/>
    <col min="1031" max="1031" width="10.125" style="156" customWidth="1"/>
    <col min="1032" max="1033" width="7.875" style="156" customWidth="1"/>
    <col min="1034" max="1034" width="15" style="156" customWidth="1"/>
    <col min="1035" max="1036" width="9.875" style="156" customWidth="1"/>
    <col min="1037" max="1037" width="18.75" style="156" customWidth="1"/>
    <col min="1038" max="1280" width="9" style="156" customWidth="1"/>
    <col min="1281" max="1281" width="9.25" style="156" customWidth="1"/>
    <col min="1282" max="1282" width="7" style="156" customWidth="1"/>
    <col min="1283" max="1283" width="7.625" style="156" customWidth="1"/>
    <col min="1284" max="1286" width="9.125" style="156" customWidth="1"/>
    <col min="1287" max="1287" width="10.125" style="156" customWidth="1"/>
    <col min="1288" max="1289" width="7.875" style="156" customWidth="1"/>
    <col min="1290" max="1290" width="15" style="156" customWidth="1"/>
    <col min="1291" max="1292" width="9.875" style="156" customWidth="1"/>
    <col min="1293" max="1293" width="18.75" style="156" customWidth="1"/>
    <col min="1294" max="1536" width="9" style="156" customWidth="1"/>
    <col min="1537" max="1537" width="9.25" style="156" customWidth="1"/>
    <col min="1538" max="1538" width="7" style="156" customWidth="1"/>
    <col min="1539" max="1539" width="7.625" style="156" customWidth="1"/>
    <col min="1540" max="1542" width="9.125" style="156" customWidth="1"/>
    <col min="1543" max="1543" width="10.125" style="156" customWidth="1"/>
    <col min="1544" max="1545" width="7.875" style="156" customWidth="1"/>
    <col min="1546" max="1546" width="15" style="156" customWidth="1"/>
    <col min="1547" max="1548" width="9.875" style="156" customWidth="1"/>
    <col min="1549" max="1549" width="18.75" style="156" customWidth="1"/>
    <col min="1550" max="1792" width="9" style="156" customWidth="1"/>
    <col min="1793" max="1793" width="9.25" style="156" customWidth="1"/>
    <col min="1794" max="1794" width="7" style="156" customWidth="1"/>
    <col min="1795" max="1795" width="7.625" style="156" customWidth="1"/>
    <col min="1796" max="1798" width="9.125" style="156" customWidth="1"/>
    <col min="1799" max="1799" width="10.125" style="156" customWidth="1"/>
    <col min="1800" max="1801" width="7.875" style="156" customWidth="1"/>
    <col min="1802" max="1802" width="15" style="156" customWidth="1"/>
    <col min="1803" max="1804" width="9.875" style="156" customWidth="1"/>
    <col min="1805" max="1805" width="18.75" style="156" customWidth="1"/>
    <col min="1806" max="2048" width="9" style="156" customWidth="1"/>
    <col min="2049" max="2049" width="9.25" style="156" customWidth="1"/>
    <col min="2050" max="2050" width="7" style="156" customWidth="1"/>
    <col min="2051" max="2051" width="7.625" style="156" customWidth="1"/>
    <col min="2052" max="2054" width="9.125" style="156" customWidth="1"/>
    <col min="2055" max="2055" width="10.125" style="156" customWidth="1"/>
    <col min="2056" max="2057" width="7.875" style="156" customWidth="1"/>
    <col min="2058" max="2058" width="15" style="156" customWidth="1"/>
    <col min="2059" max="2060" width="9.875" style="156" customWidth="1"/>
    <col min="2061" max="2061" width="18.75" style="156" customWidth="1"/>
    <col min="2062" max="2304" width="9" style="156" customWidth="1"/>
    <col min="2305" max="2305" width="9.25" style="156" customWidth="1"/>
    <col min="2306" max="2306" width="7" style="156" customWidth="1"/>
    <col min="2307" max="2307" width="7.625" style="156" customWidth="1"/>
    <col min="2308" max="2310" width="9.125" style="156" customWidth="1"/>
    <col min="2311" max="2311" width="10.125" style="156" customWidth="1"/>
    <col min="2312" max="2313" width="7.875" style="156" customWidth="1"/>
    <col min="2314" max="2314" width="15" style="156" customWidth="1"/>
    <col min="2315" max="2316" width="9.875" style="156" customWidth="1"/>
    <col min="2317" max="2317" width="18.75" style="156" customWidth="1"/>
    <col min="2318" max="2560" width="9" style="156" customWidth="1"/>
    <col min="2561" max="2561" width="9.25" style="156" customWidth="1"/>
    <col min="2562" max="2562" width="7" style="156" customWidth="1"/>
    <col min="2563" max="2563" width="7.625" style="156" customWidth="1"/>
    <col min="2564" max="2566" width="9.125" style="156" customWidth="1"/>
    <col min="2567" max="2567" width="10.125" style="156" customWidth="1"/>
    <col min="2568" max="2569" width="7.875" style="156" customWidth="1"/>
    <col min="2570" max="2570" width="15" style="156" customWidth="1"/>
    <col min="2571" max="2572" width="9.875" style="156" customWidth="1"/>
    <col min="2573" max="2573" width="18.75" style="156" customWidth="1"/>
    <col min="2574" max="2816" width="9" style="156" customWidth="1"/>
    <col min="2817" max="2817" width="9.25" style="156" customWidth="1"/>
    <col min="2818" max="2818" width="7" style="156" customWidth="1"/>
    <col min="2819" max="2819" width="7.625" style="156" customWidth="1"/>
    <col min="2820" max="2822" width="9.125" style="156" customWidth="1"/>
    <col min="2823" max="2823" width="10.125" style="156" customWidth="1"/>
    <col min="2824" max="2825" width="7.875" style="156" customWidth="1"/>
    <col min="2826" max="2826" width="15" style="156" customWidth="1"/>
    <col min="2827" max="2828" width="9.875" style="156" customWidth="1"/>
    <col min="2829" max="2829" width="18.75" style="156" customWidth="1"/>
    <col min="2830" max="3072" width="9" style="156" customWidth="1"/>
    <col min="3073" max="3073" width="9.25" style="156" customWidth="1"/>
    <col min="3074" max="3074" width="7" style="156" customWidth="1"/>
    <col min="3075" max="3075" width="7.625" style="156" customWidth="1"/>
    <col min="3076" max="3078" width="9.125" style="156" customWidth="1"/>
    <col min="3079" max="3079" width="10.125" style="156" customWidth="1"/>
    <col min="3080" max="3081" width="7.875" style="156" customWidth="1"/>
    <col min="3082" max="3082" width="15" style="156" customWidth="1"/>
    <col min="3083" max="3084" width="9.875" style="156" customWidth="1"/>
    <col min="3085" max="3085" width="18.75" style="156" customWidth="1"/>
    <col min="3086" max="3328" width="9" style="156" customWidth="1"/>
    <col min="3329" max="3329" width="9.25" style="156" customWidth="1"/>
    <col min="3330" max="3330" width="7" style="156" customWidth="1"/>
    <col min="3331" max="3331" width="7.625" style="156" customWidth="1"/>
    <col min="3332" max="3334" width="9.125" style="156" customWidth="1"/>
    <col min="3335" max="3335" width="10.125" style="156" customWidth="1"/>
    <col min="3336" max="3337" width="7.875" style="156" customWidth="1"/>
    <col min="3338" max="3338" width="15" style="156" customWidth="1"/>
    <col min="3339" max="3340" width="9.875" style="156" customWidth="1"/>
    <col min="3341" max="3341" width="18.75" style="156" customWidth="1"/>
    <col min="3342" max="3584" width="9" style="156" customWidth="1"/>
    <col min="3585" max="3585" width="9.25" style="156" customWidth="1"/>
    <col min="3586" max="3586" width="7" style="156" customWidth="1"/>
    <col min="3587" max="3587" width="7.625" style="156" customWidth="1"/>
    <col min="3588" max="3590" width="9.125" style="156" customWidth="1"/>
    <col min="3591" max="3591" width="10.125" style="156" customWidth="1"/>
    <col min="3592" max="3593" width="7.875" style="156" customWidth="1"/>
    <col min="3594" max="3594" width="15" style="156" customWidth="1"/>
    <col min="3595" max="3596" width="9.875" style="156" customWidth="1"/>
    <col min="3597" max="3597" width="18.75" style="156" customWidth="1"/>
    <col min="3598" max="3840" width="9" style="156" customWidth="1"/>
    <col min="3841" max="3841" width="9.25" style="156" customWidth="1"/>
    <col min="3842" max="3842" width="7" style="156" customWidth="1"/>
    <col min="3843" max="3843" width="7.625" style="156" customWidth="1"/>
    <col min="3844" max="3846" width="9.125" style="156" customWidth="1"/>
    <col min="3847" max="3847" width="10.125" style="156" customWidth="1"/>
    <col min="3848" max="3849" width="7.875" style="156" customWidth="1"/>
    <col min="3850" max="3850" width="15" style="156" customWidth="1"/>
    <col min="3851" max="3852" width="9.875" style="156" customWidth="1"/>
    <col min="3853" max="3853" width="18.75" style="156" customWidth="1"/>
    <col min="3854" max="4096" width="9" style="156" customWidth="1"/>
    <col min="4097" max="4097" width="9.25" style="156" customWidth="1"/>
    <col min="4098" max="4098" width="7" style="156" customWidth="1"/>
    <col min="4099" max="4099" width="7.625" style="156" customWidth="1"/>
    <col min="4100" max="4102" width="9.125" style="156" customWidth="1"/>
    <col min="4103" max="4103" width="10.125" style="156" customWidth="1"/>
    <col min="4104" max="4105" width="7.875" style="156" customWidth="1"/>
    <col min="4106" max="4106" width="15" style="156" customWidth="1"/>
    <col min="4107" max="4108" width="9.875" style="156" customWidth="1"/>
    <col min="4109" max="4109" width="18.75" style="156" customWidth="1"/>
    <col min="4110" max="4352" width="9" style="156" customWidth="1"/>
    <col min="4353" max="4353" width="9.25" style="156" customWidth="1"/>
    <col min="4354" max="4354" width="7" style="156" customWidth="1"/>
    <col min="4355" max="4355" width="7.625" style="156" customWidth="1"/>
    <col min="4356" max="4358" width="9.125" style="156" customWidth="1"/>
    <col min="4359" max="4359" width="10.125" style="156" customWidth="1"/>
    <col min="4360" max="4361" width="7.875" style="156" customWidth="1"/>
    <col min="4362" max="4362" width="15" style="156" customWidth="1"/>
    <col min="4363" max="4364" width="9.875" style="156" customWidth="1"/>
    <col min="4365" max="4365" width="18.75" style="156" customWidth="1"/>
    <col min="4366" max="4608" width="9" style="156" customWidth="1"/>
    <col min="4609" max="4609" width="9.25" style="156" customWidth="1"/>
    <col min="4610" max="4610" width="7" style="156" customWidth="1"/>
    <col min="4611" max="4611" width="7.625" style="156" customWidth="1"/>
    <col min="4612" max="4614" width="9.125" style="156" customWidth="1"/>
    <col min="4615" max="4615" width="10.125" style="156" customWidth="1"/>
    <col min="4616" max="4617" width="7.875" style="156" customWidth="1"/>
    <col min="4618" max="4618" width="15" style="156" customWidth="1"/>
    <col min="4619" max="4620" width="9.875" style="156" customWidth="1"/>
    <col min="4621" max="4621" width="18.75" style="156" customWidth="1"/>
    <col min="4622" max="4864" width="9" style="156" customWidth="1"/>
    <col min="4865" max="4865" width="9.25" style="156" customWidth="1"/>
    <col min="4866" max="4866" width="7" style="156" customWidth="1"/>
    <col min="4867" max="4867" width="7.625" style="156" customWidth="1"/>
    <col min="4868" max="4870" width="9.125" style="156" customWidth="1"/>
    <col min="4871" max="4871" width="10.125" style="156" customWidth="1"/>
    <col min="4872" max="4873" width="7.875" style="156" customWidth="1"/>
    <col min="4874" max="4874" width="15" style="156" customWidth="1"/>
    <col min="4875" max="4876" width="9.875" style="156" customWidth="1"/>
    <col min="4877" max="4877" width="18.75" style="156" customWidth="1"/>
    <col min="4878" max="5120" width="9" style="156" customWidth="1"/>
    <col min="5121" max="5121" width="9.25" style="156" customWidth="1"/>
    <col min="5122" max="5122" width="7" style="156" customWidth="1"/>
    <col min="5123" max="5123" width="7.625" style="156" customWidth="1"/>
    <col min="5124" max="5126" width="9.125" style="156" customWidth="1"/>
    <col min="5127" max="5127" width="10.125" style="156" customWidth="1"/>
    <col min="5128" max="5129" width="7.875" style="156" customWidth="1"/>
    <col min="5130" max="5130" width="15" style="156" customWidth="1"/>
    <col min="5131" max="5132" width="9.875" style="156" customWidth="1"/>
    <col min="5133" max="5133" width="18.75" style="156" customWidth="1"/>
    <col min="5134" max="5376" width="9" style="156" customWidth="1"/>
    <col min="5377" max="5377" width="9.25" style="156" customWidth="1"/>
    <col min="5378" max="5378" width="7" style="156" customWidth="1"/>
    <col min="5379" max="5379" width="7.625" style="156" customWidth="1"/>
    <col min="5380" max="5382" width="9.125" style="156" customWidth="1"/>
    <col min="5383" max="5383" width="10.125" style="156" customWidth="1"/>
    <col min="5384" max="5385" width="7.875" style="156" customWidth="1"/>
    <col min="5386" max="5386" width="15" style="156" customWidth="1"/>
    <col min="5387" max="5388" width="9.875" style="156" customWidth="1"/>
    <col min="5389" max="5389" width="18.75" style="156" customWidth="1"/>
    <col min="5390" max="5632" width="9" style="156" customWidth="1"/>
    <col min="5633" max="5633" width="9.25" style="156" customWidth="1"/>
    <col min="5634" max="5634" width="7" style="156" customWidth="1"/>
    <col min="5635" max="5635" width="7.625" style="156" customWidth="1"/>
    <col min="5636" max="5638" width="9.125" style="156" customWidth="1"/>
    <col min="5639" max="5639" width="10.125" style="156" customWidth="1"/>
    <col min="5640" max="5641" width="7.875" style="156" customWidth="1"/>
    <col min="5642" max="5642" width="15" style="156" customWidth="1"/>
    <col min="5643" max="5644" width="9.875" style="156" customWidth="1"/>
    <col min="5645" max="5645" width="18.75" style="156" customWidth="1"/>
    <col min="5646" max="5888" width="9" style="156" customWidth="1"/>
    <col min="5889" max="5889" width="9.25" style="156" customWidth="1"/>
    <col min="5890" max="5890" width="7" style="156" customWidth="1"/>
    <col min="5891" max="5891" width="7.625" style="156" customWidth="1"/>
    <col min="5892" max="5894" width="9.125" style="156" customWidth="1"/>
    <col min="5895" max="5895" width="10.125" style="156" customWidth="1"/>
    <col min="5896" max="5897" width="7.875" style="156" customWidth="1"/>
    <col min="5898" max="5898" width="15" style="156" customWidth="1"/>
    <col min="5899" max="5900" width="9.875" style="156" customWidth="1"/>
    <col min="5901" max="5901" width="18.75" style="156" customWidth="1"/>
    <col min="5902" max="6144" width="9" style="156" customWidth="1"/>
    <col min="6145" max="6145" width="9.25" style="156" customWidth="1"/>
    <col min="6146" max="6146" width="7" style="156" customWidth="1"/>
    <col min="6147" max="6147" width="7.625" style="156" customWidth="1"/>
    <col min="6148" max="6150" width="9.125" style="156" customWidth="1"/>
    <col min="6151" max="6151" width="10.125" style="156" customWidth="1"/>
    <col min="6152" max="6153" width="7.875" style="156" customWidth="1"/>
    <col min="6154" max="6154" width="15" style="156" customWidth="1"/>
    <col min="6155" max="6156" width="9.875" style="156" customWidth="1"/>
    <col min="6157" max="6157" width="18.75" style="156" customWidth="1"/>
    <col min="6158" max="6400" width="9" style="156" customWidth="1"/>
    <col min="6401" max="6401" width="9.25" style="156" customWidth="1"/>
    <col min="6402" max="6402" width="7" style="156" customWidth="1"/>
    <col min="6403" max="6403" width="7.625" style="156" customWidth="1"/>
    <col min="6404" max="6406" width="9.125" style="156" customWidth="1"/>
    <col min="6407" max="6407" width="10.125" style="156" customWidth="1"/>
    <col min="6408" max="6409" width="7.875" style="156" customWidth="1"/>
    <col min="6410" max="6410" width="15" style="156" customWidth="1"/>
    <col min="6411" max="6412" width="9.875" style="156" customWidth="1"/>
    <col min="6413" max="6413" width="18.75" style="156" customWidth="1"/>
    <col min="6414" max="6656" width="9" style="156" customWidth="1"/>
    <col min="6657" max="6657" width="9.25" style="156" customWidth="1"/>
    <col min="6658" max="6658" width="7" style="156" customWidth="1"/>
    <col min="6659" max="6659" width="7.625" style="156" customWidth="1"/>
    <col min="6660" max="6662" width="9.125" style="156" customWidth="1"/>
    <col min="6663" max="6663" width="10.125" style="156" customWidth="1"/>
    <col min="6664" max="6665" width="7.875" style="156" customWidth="1"/>
    <col min="6666" max="6666" width="15" style="156" customWidth="1"/>
    <col min="6667" max="6668" width="9.875" style="156" customWidth="1"/>
    <col min="6669" max="6669" width="18.75" style="156" customWidth="1"/>
    <col min="6670" max="6912" width="9" style="156" customWidth="1"/>
    <col min="6913" max="6913" width="9.25" style="156" customWidth="1"/>
    <col min="6914" max="6914" width="7" style="156" customWidth="1"/>
    <col min="6915" max="6915" width="7.625" style="156" customWidth="1"/>
    <col min="6916" max="6918" width="9.125" style="156" customWidth="1"/>
    <col min="6919" max="6919" width="10.125" style="156" customWidth="1"/>
    <col min="6920" max="6921" width="7.875" style="156" customWidth="1"/>
    <col min="6922" max="6922" width="15" style="156" customWidth="1"/>
    <col min="6923" max="6924" width="9.875" style="156" customWidth="1"/>
    <col min="6925" max="6925" width="18.75" style="156" customWidth="1"/>
    <col min="6926" max="7168" width="9" style="156" customWidth="1"/>
    <col min="7169" max="7169" width="9.25" style="156" customWidth="1"/>
    <col min="7170" max="7170" width="7" style="156" customWidth="1"/>
    <col min="7171" max="7171" width="7.625" style="156" customWidth="1"/>
    <col min="7172" max="7174" width="9.125" style="156" customWidth="1"/>
    <col min="7175" max="7175" width="10.125" style="156" customWidth="1"/>
    <col min="7176" max="7177" width="7.875" style="156" customWidth="1"/>
    <col min="7178" max="7178" width="15" style="156" customWidth="1"/>
    <col min="7179" max="7180" width="9.875" style="156" customWidth="1"/>
    <col min="7181" max="7181" width="18.75" style="156" customWidth="1"/>
    <col min="7182" max="7424" width="9" style="156" customWidth="1"/>
    <col min="7425" max="7425" width="9.25" style="156" customWidth="1"/>
    <col min="7426" max="7426" width="7" style="156" customWidth="1"/>
    <col min="7427" max="7427" width="7.625" style="156" customWidth="1"/>
    <col min="7428" max="7430" width="9.125" style="156" customWidth="1"/>
    <col min="7431" max="7431" width="10.125" style="156" customWidth="1"/>
    <col min="7432" max="7433" width="7.875" style="156" customWidth="1"/>
    <col min="7434" max="7434" width="15" style="156" customWidth="1"/>
    <col min="7435" max="7436" width="9.875" style="156" customWidth="1"/>
    <col min="7437" max="7437" width="18.75" style="156" customWidth="1"/>
    <col min="7438" max="7680" width="9" style="156" customWidth="1"/>
    <col min="7681" max="7681" width="9.25" style="156" customWidth="1"/>
    <col min="7682" max="7682" width="7" style="156" customWidth="1"/>
    <col min="7683" max="7683" width="7.625" style="156" customWidth="1"/>
    <col min="7684" max="7686" width="9.125" style="156" customWidth="1"/>
    <col min="7687" max="7687" width="10.125" style="156" customWidth="1"/>
    <col min="7688" max="7689" width="7.875" style="156" customWidth="1"/>
    <col min="7690" max="7690" width="15" style="156" customWidth="1"/>
    <col min="7691" max="7692" width="9.875" style="156" customWidth="1"/>
    <col min="7693" max="7693" width="18.75" style="156" customWidth="1"/>
    <col min="7694" max="7936" width="9" style="156" customWidth="1"/>
    <col min="7937" max="7937" width="9.25" style="156" customWidth="1"/>
    <col min="7938" max="7938" width="7" style="156" customWidth="1"/>
    <col min="7939" max="7939" width="7.625" style="156" customWidth="1"/>
    <col min="7940" max="7942" width="9.125" style="156" customWidth="1"/>
    <col min="7943" max="7943" width="10.125" style="156" customWidth="1"/>
    <col min="7944" max="7945" width="7.875" style="156" customWidth="1"/>
    <col min="7946" max="7946" width="15" style="156" customWidth="1"/>
    <col min="7947" max="7948" width="9.875" style="156" customWidth="1"/>
    <col min="7949" max="7949" width="18.75" style="156" customWidth="1"/>
    <col min="7950" max="8192" width="9" style="156" customWidth="1"/>
    <col min="8193" max="8193" width="9.25" style="156" customWidth="1"/>
    <col min="8194" max="8194" width="7" style="156" customWidth="1"/>
    <col min="8195" max="8195" width="7.625" style="156" customWidth="1"/>
    <col min="8196" max="8198" width="9.125" style="156" customWidth="1"/>
    <col min="8199" max="8199" width="10.125" style="156" customWidth="1"/>
    <col min="8200" max="8201" width="7.875" style="156" customWidth="1"/>
    <col min="8202" max="8202" width="15" style="156" customWidth="1"/>
    <col min="8203" max="8204" width="9.875" style="156" customWidth="1"/>
    <col min="8205" max="8205" width="18.75" style="156" customWidth="1"/>
    <col min="8206" max="8448" width="9" style="156" customWidth="1"/>
    <col min="8449" max="8449" width="9.25" style="156" customWidth="1"/>
    <col min="8450" max="8450" width="7" style="156" customWidth="1"/>
    <col min="8451" max="8451" width="7.625" style="156" customWidth="1"/>
    <col min="8452" max="8454" width="9.125" style="156" customWidth="1"/>
    <col min="8455" max="8455" width="10.125" style="156" customWidth="1"/>
    <col min="8456" max="8457" width="7.875" style="156" customWidth="1"/>
    <col min="8458" max="8458" width="15" style="156" customWidth="1"/>
    <col min="8459" max="8460" width="9.875" style="156" customWidth="1"/>
    <col min="8461" max="8461" width="18.75" style="156" customWidth="1"/>
    <col min="8462" max="8704" width="9" style="156" customWidth="1"/>
    <col min="8705" max="8705" width="9.25" style="156" customWidth="1"/>
    <col min="8706" max="8706" width="7" style="156" customWidth="1"/>
    <col min="8707" max="8707" width="7.625" style="156" customWidth="1"/>
    <col min="8708" max="8710" width="9.125" style="156" customWidth="1"/>
    <col min="8711" max="8711" width="10.125" style="156" customWidth="1"/>
    <col min="8712" max="8713" width="7.875" style="156" customWidth="1"/>
    <col min="8714" max="8714" width="15" style="156" customWidth="1"/>
    <col min="8715" max="8716" width="9.875" style="156" customWidth="1"/>
    <col min="8717" max="8717" width="18.75" style="156" customWidth="1"/>
    <col min="8718" max="8960" width="9" style="156" customWidth="1"/>
    <col min="8961" max="8961" width="9.25" style="156" customWidth="1"/>
    <col min="8962" max="8962" width="7" style="156" customWidth="1"/>
    <col min="8963" max="8963" width="7.625" style="156" customWidth="1"/>
    <col min="8964" max="8966" width="9.125" style="156" customWidth="1"/>
    <col min="8967" max="8967" width="10.125" style="156" customWidth="1"/>
    <col min="8968" max="8969" width="7.875" style="156" customWidth="1"/>
    <col min="8970" max="8970" width="15" style="156" customWidth="1"/>
    <col min="8971" max="8972" width="9.875" style="156" customWidth="1"/>
    <col min="8973" max="8973" width="18.75" style="156" customWidth="1"/>
    <col min="8974" max="9216" width="9" style="156" customWidth="1"/>
    <col min="9217" max="9217" width="9.25" style="156" customWidth="1"/>
    <col min="9218" max="9218" width="7" style="156" customWidth="1"/>
    <col min="9219" max="9219" width="7.625" style="156" customWidth="1"/>
    <col min="9220" max="9222" width="9.125" style="156" customWidth="1"/>
    <col min="9223" max="9223" width="10.125" style="156" customWidth="1"/>
    <col min="9224" max="9225" width="7.875" style="156" customWidth="1"/>
    <col min="9226" max="9226" width="15" style="156" customWidth="1"/>
    <col min="9227" max="9228" width="9.875" style="156" customWidth="1"/>
    <col min="9229" max="9229" width="18.75" style="156" customWidth="1"/>
    <col min="9230" max="9472" width="9" style="156" customWidth="1"/>
    <col min="9473" max="9473" width="9.25" style="156" customWidth="1"/>
    <col min="9474" max="9474" width="7" style="156" customWidth="1"/>
    <col min="9475" max="9475" width="7.625" style="156" customWidth="1"/>
    <col min="9476" max="9478" width="9.125" style="156" customWidth="1"/>
    <col min="9479" max="9479" width="10.125" style="156" customWidth="1"/>
    <col min="9480" max="9481" width="7.875" style="156" customWidth="1"/>
    <col min="9482" max="9482" width="15" style="156" customWidth="1"/>
    <col min="9483" max="9484" width="9.875" style="156" customWidth="1"/>
    <col min="9485" max="9485" width="18.75" style="156" customWidth="1"/>
    <col min="9486" max="9728" width="9" style="156" customWidth="1"/>
    <col min="9729" max="9729" width="9.25" style="156" customWidth="1"/>
    <col min="9730" max="9730" width="7" style="156" customWidth="1"/>
    <col min="9731" max="9731" width="7.625" style="156" customWidth="1"/>
    <col min="9732" max="9734" width="9.125" style="156" customWidth="1"/>
    <col min="9735" max="9735" width="10.125" style="156" customWidth="1"/>
    <col min="9736" max="9737" width="7.875" style="156" customWidth="1"/>
    <col min="9738" max="9738" width="15" style="156" customWidth="1"/>
    <col min="9739" max="9740" width="9.875" style="156" customWidth="1"/>
    <col min="9741" max="9741" width="18.75" style="156" customWidth="1"/>
    <col min="9742" max="9984" width="9" style="156" customWidth="1"/>
    <col min="9985" max="9985" width="9.25" style="156" customWidth="1"/>
    <col min="9986" max="9986" width="7" style="156" customWidth="1"/>
    <col min="9987" max="9987" width="7.625" style="156" customWidth="1"/>
    <col min="9988" max="9990" width="9.125" style="156" customWidth="1"/>
    <col min="9991" max="9991" width="10.125" style="156" customWidth="1"/>
    <col min="9992" max="9993" width="7.875" style="156" customWidth="1"/>
    <col min="9994" max="9994" width="15" style="156" customWidth="1"/>
    <col min="9995" max="9996" width="9.875" style="156" customWidth="1"/>
    <col min="9997" max="9997" width="18.75" style="156" customWidth="1"/>
    <col min="9998" max="10240" width="9" style="156" customWidth="1"/>
    <col min="10241" max="10241" width="9.25" style="156" customWidth="1"/>
    <col min="10242" max="10242" width="7" style="156" customWidth="1"/>
    <col min="10243" max="10243" width="7.625" style="156" customWidth="1"/>
    <col min="10244" max="10246" width="9.125" style="156" customWidth="1"/>
    <col min="10247" max="10247" width="10.125" style="156" customWidth="1"/>
    <col min="10248" max="10249" width="7.875" style="156" customWidth="1"/>
    <col min="10250" max="10250" width="15" style="156" customWidth="1"/>
    <col min="10251" max="10252" width="9.875" style="156" customWidth="1"/>
    <col min="10253" max="10253" width="18.75" style="156" customWidth="1"/>
    <col min="10254" max="10496" width="9" style="156" customWidth="1"/>
    <col min="10497" max="10497" width="9.25" style="156" customWidth="1"/>
    <col min="10498" max="10498" width="7" style="156" customWidth="1"/>
    <col min="10499" max="10499" width="7.625" style="156" customWidth="1"/>
    <col min="10500" max="10502" width="9.125" style="156" customWidth="1"/>
    <col min="10503" max="10503" width="10.125" style="156" customWidth="1"/>
    <col min="10504" max="10505" width="7.875" style="156" customWidth="1"/>
    <col min="10506" max="10506" width="15" style="156" customWidth="1"/>
    <col min="10507" max="10508" width="9.875" style="156" customWidth="1"/>
    <col min="10509" max="10509" width="18.75" style="156" customWidth="1"/>
    <col min="10510" max="10752" width="9" style="156" customWidth="1"/>
    <col min="10753" max="10753" width="9.25" style="156" customWidth="1"/>
    <col min="10754" max="10754" width="7" style="156" customWidth="1"/>
    <col min="10755" max="10755" width="7.625" style="156" customWidth="1"/>
    <col min="10756" max="10758" width="9.125" style="156" customWidth="1"/>
    <col min="10759" max="10759" width="10.125" style="156" customWidth="1"/>
    <col min="10760" max="10761" width="7.875" style="156" customWidth="1"/>
    <col min="10762" max="10762" width="15" style="156" customWidth="1"/>
    <col min="10763" max="10764" width="9.875" style="156" customWidth="1"/>
    <col min="10765" max="10765" width="18.75" style="156" customWidth="1"/>
    <col min="10766" max="11008" width="9" style="156" customWidth="1"/>
    <col min="11009" max="11009" width="9.25" style="156" customWidth="1"/>
    <col min="11010" max="11010" width="7" style="156" customWidth="1"/>
    <col min="11011" max="11011" width="7.625" style="156" customWidth="1"/>
    <col min="11012" max="11014" width="9.125" style="156" customWidth="1"/>
    <col min="11015" max="11015" width="10.125" style="156" customWidth="1"/>
    <col min="11016" max="11017" width="7.875" style="156" customWidth="1"/>
    <col min="11018" max="11018" width="15" style="156" customWidth="1"/>
    <col min="11019" max="11020" width="9.875" style="156" customWidth="1"/>
    <col min="11021" max="11021" width="18.75" style="156" customWidth="1"/>
    <col min="11022" max="11264" width="9" style="156" customWidth="1"/>
    <col min="11265" max="11265" width="9.25" style="156" customWidth="1"/>
    <col min="11266" max="11266" width="7" style="156" customWidth="1"/>
    <col min="11267" max="11267" width="7.625" style="156" customWidth="1"/>
    <col min="11268" max="11270" width="9.125" style="156" customWidth="1"/>
    <col min="11271" max="11271" width="10.125" style="156" customWidth="1"/>
    <col min="11272" max="11273" width="7.875" style="156" customWidth="1"/>
    <col min="11274" max="11274" width="15" style="156" customWidth="1"/>
    <col min="11275" max="11276" width="9.875" style="156" customWidth="1"/>
    <col min="11277" max="11277" width="18.75" style="156" customWidth="1"/>
    <col min="11278" max="11520" width="9" style="156" customWidth="1"/>
    <col min="11521" max="11521" width="9.25" style="156" customWidth="1"/>
    <col min="11522" max="11522" width="7" style="156" customWidth="1"/>
    <col min="11523" max="11523" width="7.625" style="156" customWidth="1"/>
    <col min="11524" max="11526" width="9.125" style="156" customWidth="1"/>
    <col min="11527" max="11527" width="10.125" style="156" customWidth="1"/>
    <col min="11528" max="11529" width="7.875" style="156" customWidth="1"/>
    <col min="11530" max="11530" width="15" style="156" customWidth="1"/>
    <col min="11531" max="11532" width="9.875" style="156" customWidth="1"/>
    <col min="11533" max="11533" width="18.75" style="156" customWidth="1"/>
    <col min="11534" max="11776" width="9" style="156" customWidth="1"/>
    <col min="11777" max="11777" width="9.25" style="156" customWidth="1"/>
    <col min="11778" max="11778" width="7" style="156" customWidth="1"/>
    <col min="11779" max="11779" width="7.625" style="156" customWidth="1"/>
    <col min="11780" max="11782" width="9.125" style="156" customWidth="1"/>
    <col min="11783" max="11783" width="10.125" style="156" customWidth="1"/>
    <col min="11784" max="11785" width="7.875" style="156" customWidth="1"/>
    <col min="11786" max="11786" width="15" style="156" customWidth="1"/>
    <col min="11787" max="11788" width="9.875" style="156" customWidth="1"/>
    <col min="11789" max="11789" width="18.75" style="156" customWidth="1"/>
    <col min="11790" max="12032" width="9" style="156" customWidth="1"/>
    <col min="12033" max="12033" width="9.25" style="156" customWidth="1"/>
    <col min="12034" max="12034" width="7" style="156" customWidth="1"/>
    <col min="12035" max="12035" width="7.625" style="156" customWidth="1"/>
    <col min="12036" max="12038" width="9.125" style="156" customWidth="1"/>
    <col min="12039" max="12039" width="10.125" style="156" customWidth="1"/>
    <col min="12040" max="12041" width="7.875" style="156" customWidth="1"/>
    <col min="12042" max="12042" width="15" style="156" customWidth="1"/>
    <col min="12043" max="12044" width="9.875" style="156" customWidth="1"/>
    <col min="12045" max="12045" width="18.75" style="156" customWidth="1"/>
    <col min="12046" max="12288" width="9" style="156" customWidth="1"/>
    <col min="12289" max="12289" width="9.25" style="156" customWidth="1"/>
    <col min="12290" max="12290" width="7" style="156" customWidth="1"/>
    <col min="12291" max="12291" width="7.625" style="156" customWidth="1"/>
    <col min="12292" max="12294" width="9.125" style="156" customWidth="1"/>
    <col min="12295" max="12295" width="10.125" style="156" customWidth="1"/>
    <col min="12296" max="12297" width="7.875" style="156" customWidth="1"/>
    <col min="12298" max="12298" width="15" style="156" customWidth="1"/>
    <col min="12299" max="12300" width="9.875" style="156" customWidth="1"/>
    <col min="12301" max="12301" width="18.75" style="156" customWidth="1"/>
    <col min="12302" max="12544" width="9" style="156" customWidth="1"/>
    <col min="12545" max="12545" width="9.25" style="156" customWidth="1"/>
    <col min="12546" max="12546" width="7" style="156" customWidth="1"/>
    <col min="12547" max="12547" width="7.625" style="156" customWidth="1"/>
    <col min="12548" max="12550" width="9.125" style="156" customWidth="1"/>
    <col min="12551" max="12551" width="10.125" style="156" customWidth="1"/>
    <col min="12552" max="12553" width="7.875" style="156" customWidth="1"/>
    <col min="12554" max="12554" width="15" style="156" customWidth="1"/>
    <col min="12555" max="12556" width="9.875" style="156" customWidth="1"/>
    <col min="12557" max="12557" width="18.75" style="156" customWidth="1"/>
    <col min="12558" max="12800" width="9" style="156" customWidth="1"/>
    <col min="12801" max="12801" width="9.25" style="156" customWidth="1"/>
    <col min="12802" max="12802" width="7" style="156" customWidth="1"/>
    <col min="12803" max="12803" width="7.625" style="156" customWidth="1"/>
    <col min="12804" max="12806" width="9.125" style="156" customWidth="1"/>
    <col min="12807" max="12807" width="10.125" style="156" customWidth="1"/>
    <col min="12808" max="12809" width="7.875" style="156" customWidth="1"/>
    <col min="12810" max="12810" width="15" style="156" customWidth="1"/>
    <col min="12811" max="12812" width="9.875" style="156" customWidth="1"/>
    <col min="12813" max="12813" width="18.75" style="156" customWidth="1"/>
    <col min="12814" max="13056" width="9" style="156" customWidth="1"/>
    <col min="13057" max="13057" width="9.25" style="156" customWidth="1"/>
    <col min="13058" max="13058" width="7" style="156" customWidth="1"/>
    <col min="13059" max="13059" width="7.625" style="156" customWidth="1"/>
    <col min="13060" max="13062" width="9.125" style="156" customWidth="1"/>
    <col min="13063" max="13063" width="10.125" style="156" customWidth="1"/>
    <col min="13064" max="13065" width="7.875" style="156" customWidth="1"/>
    <col min="13066" max="13066" width="15" style="156" customWidth="1"/>
    <col min="13067" max="13068" width="9.875" style="156" customWidth="1"/>
    <col min="13069" max="13069" width="18.75" style="156" customWidth="1"/>
    <col min="13070" max="13312" width="9" style="156" customWidth="1"/>
    <col min="13313" max="13313" width="9.25" style="156" customWidth="1"/>
    <col min="13314" max="13314" width="7" style="156" customWidth="1"/>
    <col min="13315" max="13315" width="7.625" style="156" customWidth="1"/>
    <col min="13316" max="13318" width="9.125" style="156" customWidth="1"/>
    <col min="13319" max="13319" width="10.125" style="156" customWidth="1"/>
    <col min="13320" max="13321" width="7.875" style="156" customWidth="1"/>
    <col min="13322" max="13322" width="15" style="156" customWidth="1"/>
    <col min="13323" max="13324" width="9.875" style="156" customWidth="1"/>
    <col min="13325" max="13325" width="18.75" style="156" customWidth="1"/>
    <col min="13326" max="13568" width="9" style="156" customWidth="1"/>
    <col min="13569" max="13569" width="9.25" style="156" customWidth="1"/>
    <col min="13570" max="13570" width="7" style="156" customWidth="1"/>
    <col min="13571" max="13571" width="7.625" style="156" customWidth="1"/>
    <col min="13572" max="13574" width="9.125" style="156" customWidth="1"/>
    <col min="13575" max="13575" width="10.125" style="156" customWidth="1"/>
    <col min="13576" max="13577" width="7.875" style="156" customWidth="1"/>
    <col min="13578" max="13578" width="15" style="156" customWidth="1"/>
    <col min="13579" max="13580" width="9.875" style="156" customWidth="1"/>
    <col min="13581" max="13581" width="18.75" style="156" customWidth="1"/>
    <col min="13582" max="13824" width="9" style="156" customWidth="1"/>
    <col min="13825" max="13825" width="9.25" style="156" customWidth="1"/>
    <col min="13826" max="13826" width="7" style="156" customWidth="1"/>
    <col min="13827" max="13827" width="7.625" style="156" customWidth="1"/>
    <col min="13828" max="13830" width="9.125" style="156" customWidth="1"/>
    <col min="13831" max="13831" width="10.125" style="156" customWidth="1"/>
    <col min="13832" max="13833" width="7.875" style="156" customWidth="1"/>
    <col min="13834" max="13834" width="15" style="156" customWidth="1"/>
    <col min="13835" max="13836" width="9.875" style="156" customWidth="1"/>
    <col min="13837" max="13837" width="18.75" style="156" customWidth="1"/>
    <col min="13838" max="14080" width="9" style="156" customWidth="1"/>
    <col min="14081" max="14081" width="9.25" style="156" customWidth="1"/>
    <col min="14082" max="14082" width="7" style="156" customWidth="1"/>
    <col min="14083" max="14083" width="7.625" style="156" customWidth="1"/>
    <col min="14084" max="14086" width="9.125" style="156" customWidth="1"/>
    <col min="14087" max="14087" width="10.125" style="156" customWidth="1"/>
    <col min="14088" max="14089" width="7.875" style="156" customWidth="1"/>
    <col min="14090" max="14090" width="15" style="156" customWidth="1"/>
    <col min="14091" max="14092" width="9.875" style="156" customWidth="1"/>
    <col min="14093" max="14093" width="18.75" style="156" customWidth="1"/>
    <col min="14094" max="14336" width="9" style="156" customWidth="1"/>
    <col min="14337" max="14337" width="9.25" style="156" customWidth="1"/>
    <col min="14338" max="14338" width="7" style="156" customWidth="1"/>
    <col min="14339" max="14339" width="7.625" style="156" customWidth="1"/>
    <col min="14340" max="14342" width="9.125" style="156" customWidth="1"/>
    <col min="14343" max="14343" width="10.125" style="156" customWidth="1"/>
    <col min="14344" max="14345" width="7.875" style="156" customWidth="1"/>
    <col min="14346" max="14346" width="15" style="156" customWidth="1"/>
    <col min="14347" max="14348" width="9.875" style="156" customWidth="1"/>
    <col min="14349" max="14349" width="18.75" style="156" customWidth="1"/>
    <col min="14350" max="14592" width="9" style="156" customWidth="1"/>
    <col min="14593" max="14593" width="9.25" style="156" customWidth="1"/>
    <col min="14594" max="14594" width="7" style="156" customWidth="1"/>
    <col min="14595" max="14595" width="7.625" style="156" customWidth="1"/>
    <col min="14596" max="14598" width="9.125" style="156" customWidth="1"/>
    <col min="14599" max="14599" width="10.125" style="156" customWidth="1"/>
    <col min="14600" max="14601" width="7.875" style="156" customWidth="1"/>
    <col min="14602" max="14602" width="15" style="156" customWidth="1"/>
    <col min="14603" max="14604" width="9.875" style="156" customWidth="1"/>
    <col min="14605" max="14605" width="18.75" style="156" customWidth="1"/>
    <col min="14606" max="14848" width="9" style="156" customWidth="1"/>
    <col min="14849" max="14849" width="9.25" style="156" customWidth="1"/>
    <col min="14850" max="14850" width="7" style="156" customWidth="1"/>
    <col min="14851" max="14851" width="7.625" style="156" customWidth="1"/>
    <col min="14852" max="14854" width="9.125" style="156" customWidth="1"/>
    <col min="14855" max="14855" width="10.125" style="156" customWidth="1"/>
    <col min="14856" max="14857" width="7.875" style="156" customWidth="1"/>
    <col min="14858" max="14858" width="15" style="156" customWidth="1"/>
    <col min="14859" max="14860" width="9.875" style="156" customWidth="1"/>
    <col min="14861" max="14861" width="18.75" style="156" customWidth="1"/>
    <col min="14862" max="15104" width="9" style="156" customWidth="1"/>
    <col min="15105" max="15105" width="9.25" style="156" customWidth="1"/>
    <col min="15106" max="15106" width="7" style="156" customWidth="1"/>
    <col min="15107" max="15107" width="7.625" style="156" customWidth="1"/>
    <col min="15108" max="15110" width="9.125" style="156" customWidth="1"/>
    <col min="15111" max="15111" width="10.125" style="156" customWidth="1"/>
    <col min="15112" max="15113" width="7.875" style="156" customWidth="1"/>
    <col min="15114" max="15114" width="15" style="156" customWidth="1"/>
    <col min="15115" max="15116" width="9.875" style="156" customWidth="1"/>
    <col min="15117" max="15117" width="18.75" style="156" customWidth="1"/>
    <col min="15118" max="15360" width="9" style="156" customWidth="1"/>
    <col min="15361" max="15361" width="9.25" style="156" customWidth="1"/>
    <col min="15362" max="15362" width="7" style="156" customWidth="1"/>
    <col min="15363" max="15363" width="7.625" style="156" customWidth="1"/>
    <col min="15364" max="15366" width="9.125" style="156" customWidth="1"/>
    <col min="15367" max="15367" width="10.125" style="156" customWidth="1"/>
    <col min="15368" max="15369" width="7.875" style="156" customWidth="1"/>
    <col min="15370" max="15370" width="15" style="156" customWidth="1"/>
    <col min="15371" max="15372" width="9.875" style="156" customWidth="1"/>
    <col min="15373" max="15373" width="18.75" style="156" customWidth="1"/>
    <col min="15374" max="15616" width="9" style="156" customWidth="1"/>
    <col min="15617" max="15617" width="9.25" style="156" customWidth="1"/>
    <col min="15618" max="15618" width="7" style="156" customWidth="1"/>
    <col min="15619" max="15619" width="7.625" style="156" customWidth="1"/>
    <col min="15620" max="15622" width="9.125" style="156" customWidth="1"/>
    <col min="15623" max="15623" width="10.125" style="156" customWidth="1"/>
    <col min="15624" max="15625" width="7.875" style="156" customWidth="1"/>
    <col min="15626" max="15626" width="15" style="156" customWidth="1"/>
    <col min="15627" max="15628" width="9.875" style="156" customWidth="1"/>
    <col min="15629" max="15629" width="18.75" style="156" customWidth="1"/>
    <col min="15630" max="15872" width="9" style="156" customWidth="1"/>
    <col min="15873" max="15873" width="9.25" style="156" customWidth="1"/>
    <col min="15874" max="15874" width="7" style="156" customWidth="1"/>
    <col min="15875" max="15875" width="7.625" style="156" customWidth="1"/>
    <col min="15876" max="15878" width="9.125" style="156" customWidth="1"/>
    <col min="15879" max="15879" width="10.125" style="156" customWidth="1"/>
    <col min="15880" max="15881" width="7.875" style="156" customWidth="1"/>
    <col min="15882" max="15882" width="15" style="156" customWidth="1"/>
    <col min="15883" max="15884" width="9.875" style="156" customWidth="1"/>
    <col min="15885" max="15885" width="18.75" style="156" customWidth="1"/>
    <col min="15886" max="16128" width="9" style="156" customWidth="1"/>
    <col min="16129" max="16129" width="9.25" style="156" customWidth="1"/>
    <col min="16130" max="16130" width="7" style="156" customWidth="1"/>
    <col min="16131" max="16131" width="7.625" style="156" customWidth="1"/>
    <col min="16132" max="16134" width="9.125" style="156" customWidth="1"/>
    <col min="16135" max="16135" width="10.125" style="156" customWidth="1"/>
    <col min="16136" max="16137" width="7.875" style="156" customWidth="1"/>
    <col min="16138" max="16138" width="15" style="156" customWidth="1"/>
    <col min="16139" max="16140" width="9.875" style="156" customWidth="1"/>
    <col min="16141" max="16141" width="18.75" style="156" customWidth="1"/>
    <col min="16142" max="16384" width="9" style="156" customWidth="1"/>
  </cols>
  <sheetData>
    <row r="1" ht="27.95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9.7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76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0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43</v>
      </c>
      <c r="B6" s="207" t="str">
        <f>'Final Work'!B4</f>
        <v>SAWASDEE DENEB</v>
      </c>
      <c r="C6" s="156"/>
      <c r="D6" s="156"/>
      <c r="E6" s="156"/>
      <c r="F6" s="156"/>
      <c r="G6" s="156" t="s">
        <v>44</v>
      </c>
      <c r="H6" s="192"/>
      <c r="I6" s="192"/>
      <c r="J6" s="156"/>
      <c r="K6" s="156" t="s">
        <v>45</v>
      </c>
      <c r="L6" s="208"/>
      <c r="M6" s="192"/>
      <c r="N6" s="5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5.25" customHeight="1" spans="1:25" x14ac:dyDescent="0.25">
      <c r="A7" s="156"/>
      <c r="B7" s="156"/>
      <c r="C7" s="156"/>
      <c r="D7" s="156"/>
      <c r="E7" s="156"/>
      <c r="F7" s="156"/>
      <c r="G7" s="156"/>
      <c r="H7" s="209"/>
      <c r="I7" s="209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77</v>
      </c>
      <c r="B8" s="156" t="s">
        <v>26</v>
      </c>
      <c r="C8" s="294"/>
      <c r="D8" s="294"/>
      <c r="E8" s="156"/>
      <c r="F8" s="156"/>
      <c r="G8" s="156" t="s">
        <v>47</v>
      </c>
      <c r="H8" s="192"/>
      <c r="I8" s="192"/>
      <c r="J8" s="156"/>
      <c r="K8" s="207" t="s">
        <v>48</v>
      </c>
      <c r="L8" s="192"/>
      <c r="M8" s="192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8.2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202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4.45" customHeight="1" spans="1:25" x14ac:dyDescent="0.25">
      <c r="A10" s="210" t="s">
        <v>49</v>
      </c>
      <c r="B10" s="289" t="s">
        <v>50</v>
      </c>
      <c r="C10" s="289"/>
      <c r="D10" s="210" t="s">
        <v>51</v>
      </c>
      <c r="E10" s="210"/>
      <c r="F10" s="210"/>
      <c r="G10" s="212" t="s">
        <v>52</v>
      </c>
      <c r="H10" s="275" t="s">
        <v>53</v>
      </c>
      <c r="I10" s="276"/>
      <c r="J10" s="212" t="s">
        <v>78</v>
      </c>
      <c r="K10" s="210" t="s">
        <v>55</v>
      </c>
      <c r="L10" s="210" t="s">
        <v>56</v>
      </c>
      <c r="M10" s="210" t="s">
        <v>57</v>
      </c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</row>
    <row r="11" ht="14.45" customHeight="1" spans="1:25" x14ac:dyDescent="0.25">
      <c r="A11" s="213"/>
      <c r="B11" s="36"/>
      <c r="C11" s="36"/>
      <c r="D11" s="213"/>
      <c r="E11" s="213"/>
      <c r="F11" s="213"/>
      <c r="G11" s="215" t="s">
        <v>58</v>
      </c>
      <c r="H11" s="277"/>
      <c r="I11" s="279"/>
      <c r="J11" s="215"/>
      <c r="K11" s="213"/>
      <c r="L11" s="213"/>
      <c r="M11" s="213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295"/>
      <c r="B12" s="296"/>
      <c r="C12" s="296"/>
      <c r="D12" s="297"/>
      <c r="E12" s="298"/>
      <c r="F12" s="299"/>
      <c r="G12" s="296"/>
      <c r="H12" s="300"/>
      <c r="I12" s="301"/>
      <c r="J12" s="300"/>
      <c r="K12" s="296"/>
      <c r="L12" s="296"/>
      <c r="M12" s="302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225"/>
      <c r="B13" s="237"/>
      <c r="C13" s="237"/>
      <c r="D13" s="238"/>
      <c r="E13" s="239"/>
      <c r="F13" s="240"/>
      <c r="G13" s="237"/>
      <c r="H13" s="241"/>
      <c r="I13" s="242"/>
      <c r="J13" s="241"/>
      <c r="K13" s="237"/>
      <c r="L13" s="237"/>
      <c r="M13" s="303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236"/>
      <c r="B14" s="237"/>
      <c r="C14" s="237"/>
      <c r="D14" s="238"/>
      <c r="E14" s="239"/>
      <c r="F14" s="240"/>
      <c r="G14" s="237"/>
      <c r="H14" s="241"/>
      <c r="I14" s="242"/>
      <c r="J14" s="241"/>
      <c r="K14" s="237"/>
      <c r="L14" s="237"/>
      <c r="M14" s="304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236"/>
      <c r="B15" s="237"/>
      <c r="C15" s="237"/>
      <c r="D15" s="238"/>
      <c r="E15" s="239"/>
      <c r="F15" s="240"/>
      <c r="G15" s="237"/>
      <c r="H15" s="241"/>
      <c r="I15" s="242"/>
      <c r="J15" s="241"/>
      <c r="K15" s="237"/>
      <c r="L15" s="237"/>
      <c r="M15" s="304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236"/>
      <c r="B16" s="237"/>
      <c r="C16" s="237"/>
      <c r="D16" s="238"/>
      <c r="E16" s="239"/>
      <c r="F16" s="240"/>
      <c r="G16" s="237"/>
      <c r="H16" s="241"/>
      <c r="I16" s="242"/>
      <c r="J16" s="241"/>
      <c r="K16" s="237"/>
      <c r="L16" s="237"/>
      <c r="M16" s="304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236"/>
      <c r="B17" s="237"/>
      <c r="C17" s="237"/>
      <c r="D17" s="238"/>
      <c r="E17" s="239"/>
      <c r="F17" s="240"/>
      <c r="G17" s="237"/>
      <c r="H17" s="241"/>
      <c r="I17" s="242"/>
      <c r="J17" s="241"/>
      <c r="K17" s="237"/>
      <c r="L17" s="237"/>
      <c r="M17" s="304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236"/>
      <c r="B18" s="237"/>
      <c r="C18" s="237"/>
      <c r="D18" s="238"/>
      <c r="E18" s="239"/>
      <c r="F18" s="240"/>
      <c r="G18" s="237"/>
      <c r="H18" s="241"/>
      <c r="I18" s="242"/>
      <c r="J18" s="241"/>
      <c r="K18" s="237"/>
      <c r="L18" s="237"/>
      <c r="M18" s="304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236"/>
      <c r="B19" s="237"/>
      <c r="C19" s="237"/>
      <c r="D19" s="238"/>
      <c r="E19" s="239"/>
      <c r="F19" s="240"/>
      <c r="G19" s="237"/>
      <c r="H19" s="241"/>
      <c r="I19" s="242"/>
      <c r="J19" s="241"/>
      <c r="K19" s="237"/>
      <c r="L19" s="237"/>
      <c r="M19" s="304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236"/>
      <c r="B20" s="237"/>
      <c r="C20" s="237"/>
      <c r="D20" s="238"/>
      <c r="E20" s="239"/>
      <c r="F20" s="240"/>
      <c r="G20" s="237"/>
      <c r="H20" s="241"/>
      <c r="I20" s="242"/>
      <c r="J20" s="241"/>
      <c r="K20" s="237"/>
      <c r="L20" s="237"/>
      <c r="M20" s="304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305"/>
      <c r="B21" s="306"/>
      <c r="C21" s="306"/>
      <c r="D21" s="307"/>
      <c r="E21" s="308"/>
      <c r="F21" s="309"/>
      <c r="G21" s="306"/>
      <c r="H21" s="310"/>
      <c r="I21" s="311"/>
      <c r="J21" s="310"/>
      <c r="K21" s="306"/>
      <c r="L21" s="306"/>
      <c r="M21" s="312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236"/>
      <c r="B22" s="237"/>
      <c r="C22" s="237"/>
      <c r="D22" s="238"/>
      <c r="E22" s="239"/>
      <c r="F22" s="240"/>
      <c r="G22" s="237"/>
      <c r="H22" s="313"/>
      <c r="I22" s="314"/>
      <c r="J22" s="241"/>
      <c r="K22" s="237"/>
      <c r="L22" s="237"/>
      <c r="M22" s="315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8" customHeight="1" hidden="1" spans="1:25" x14ac:dyDescent="0.25">
      <c r="A23" s="236"/>
      <c r="B23" s="237"/>
      <c r="C23" s="237"/>
      <c r="D23" s="238"/>
      <c r="E23" s="239"/>
      <c r="F23" s="240"/>
      <c r="G23" s="237"/>
      <c r="H23" s="241"/>
      <c r="I23" s="242"/>
      <c r="J23" s="241"/>
      <c r="K23" s="237"/>
      <c r="L23" s="237"/>
      <c r="M23" s="304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8" customHeight="1" hidden="1" spans="1:25" x14ac:dyDescent="0.25">
      <c r="A24" s="236"/>
      <c r="B24" s="237"/>
      <c r="C24" s="237"/>
      <c r="D24" s="238"/>
      <c r="E24" s="239"/>
      <c r="F24" s="240"/>
      <c r="G24" s="237"/>
      <c r="H24" s="241"/>
      <c r="I24" s="242"/>
      <c r="J24" s="241"/>
      <c r="K24" s="237"/>
      <c r="L24" s="237"/>
      <c r="M24" s="304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45"/>
      <c r="B25" s="246"/>
      <c r="C25" s="246"/>
      <c r="D25" s="247" t="s">
        <v>59</v>
      </c>
      <c r="E25" s="248"/>
      <c r="F25" s="249"/>
      <c r="G25" s="250" t="s">
        <v>60</v>
      </c>
      <c r="H25" s="316">
        <f>SUM(H12:I24)</f>
        <v>284</v>
      </c>
      <c r="I25" s="317"/>
      <c r="J25" s="251">
        <f>SUM(J12:J24)</f>
        <v>284</v>
      </c>
      <c r="K25" s="250" t="s">
        <v>61</v>
      </c>
      <c r="L25" s="250" t="s">
        <v>61</v>
      </c>
      <c r="M25" s="252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8" customHeight="1" hidden="1" spans="1:25" x14ac:dyDescent="0.25">
      <c r="A26" s="318"/>
      <c r="B26" s="319"/>
      <c r="C26" s="319"/>
      <c r="D26" s="320"/>
      <c r="E26" s="321"/>
      <c r="F26" s="322"/>
      <c r="G26" s="319"/>
      <c r="H26" s="323"/>
      <c r="I26" s="323"/>
      <c r="J26" s="323"/>
      <c r="K26" s="319"/>
      <c r="L26" s="319"/>
      <c r="M26" s="324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65" t="s">
        <v>62</v>
      </c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7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68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70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8" customHeight="1" spans="1:25" x14ac:dyDescent="0.25">
      <c r="A29" s="271"/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70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8" customHeight="1" spans="1:25" x14ac:dyDescent="0.25">
      <c r="A30" s="271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70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8" customHeight="1" spans="1:25" x14ac:dyDescent="0.25">
      <c r="A31" s="271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70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8" customHeight="1" spans="1:25" x14ac:dyDescent="0.25">
      <c r="A32" s="271"/>
      <c r="B32" s="269"/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70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5" customHeight="1" spans="1:25" x14ac:dyDescent="0.25">
      <c r="A33" s="325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5" customHeight="1" spans="1:25" x14ac:dyDescent="0.25">
      <c r="A34" s="327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5" customHeight="1" spans="1:25" x14ac:dyDescent="0.25">
      <c r="A35" s="327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5" customHeight="1" spans="1:25" x14ac:dyDescent="0.25">
      <c r="A36" s="202"/>
      <c r="B36" s="202"/>
      <c r="C36" s="202"/>
      <c r="D36" s="156"/>
      <c r="E36" s="156"/>
      <c r="F36" s="156"/>
      <c r="G36" s="202"/>
      <c r="H36" s="202"/>
      <c r="I36" s="202"/>
      <c r="J36" s="156"/>
      <c r="K36" s="156"/>
      <c r="L36" s="202"/>
      <c r="M36" s="202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15" customHeight="1" spans="1:25" x14ac:dyDescent="0.25">
      <c r="A37" s="203" t="s">
        <v>23</v>
      </c>
      <c r="B37" s="203"/>
      <c r="C37" s="203"/>
      <c r="D37" s="156"/>
      <c r="E37" s="156"/>
      <c r="F37" s="156"/>
      <c r="G37" s="203" t="s">
        <v>63</v>
      </c>
      <c r="H37" s="203"/>
      <c r="I37" s="203"/>
      <c r="J37" s="156"/>
      <c r="K37" s="156"/>
      <c r="L37" s="203" t="s">
        <v>24</v>
      </c>
      <c r="M37" s="203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spans="1:25" x14ac:dyDescent="0.25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x14ac:dyDescent="0.25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</sheetData>
  <mergeCells count="30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A27:M27"/>
    <mergeCell ref="B28:M28"/>
    <mergeCell ref="B29:M29"/>
    <mergeCell ref="B30:M30"/>
    <mergeCell ref="B31:M31"/>
    <mergeCell ref="B32:M32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6" customWidth="1"/>
    <col min="2" max="2" width="9.5" style="156" customWidth="1"/>
    <col min="3" max="5" width="5.625" style="156" customWidth="1"/>
    <col min="6" max="9" width="6" style="156" customWidth="1"/>
    <col min="10" max="10" width="9" style="156" customWidth="1"/>
    <col min="11" max="14" width="7.625" style="156" customWidth="1"/>
    <col min="15" max="15" width="7.875" style="156" customWidth="1"/>
    <col min="16" max="18" width="7.625" style="156" customWidth="1"/>
    <col min="19" max="227" width="9" style="156" customWidth="1"/>
    <col min="228" max="228" width="7.5" style="156" customWidth="1"/>
    <col min="229" max="229" width="9.5" style="156" customWidth="1"/>
    <col min="230" max="232" width="5.625" style="156" customWidth="1"/>
    <col min="233" max="236" width="6" style="156" customWidth="1"/>
    <col min="237" max="237" width="9" style="156" customWidth="1"/>
    <col min="238" max="238" width="7.625" style="156" customWidth="1"/>
    <col min="239" max="245" width="8" style="156" customWidth="1"/>
    <col min="246" max="246" width="9" style="156" hidden="1" customWidth="1"/>
    <col min="247" max="483" width="9" style="156" customWidth="1"/>
    <col min="484" max="484" width="7.5" style="156" customWidth="1"/>
    <col min="485" max="485" width="9.5" style="156" customWidth="1"/>
    <col min="486" max="488" width="5.625" style="156" customWidth="1"/>
    <col min="489" max="492" width="6" style="156" customWidth="1"/>
    <col min="493" max="493" width="9" style="156" customWidth="1"/>
    <col min="494" max="494" width="7.625" style="156" customWidth="1"/>
    <col min="495" max="501" width="8" style="156" customWidth="1"/>
    <col min="502" max="502" width="9" style="156" hidden="1" customWidth="1"/>
    <col min="503" max="739" width="9" style="156" customWidth="1"/>
    <col min="740" max="740" width="7.5" style="156" customWidth="1"/>
    <col min="741" max="741" width="9.5" style="156" customWidth="1"/>
    <col min="742" max="744" width="5.625" style="156" customWidth="1"/>
    <col min="745" max="748" width="6" style="156" customWidth="1"/>
    <col min="749" max="749" width="9" style="156" customWidth="1"/>
    <col min="750" max="750" width="7.625" style="156" customWidth="1"/>
    <col min="751" max="757" width="8" style="156" customWidth="1"/>
    <col min="758" max="758" width="9" style="156" hidden="1" customWidth="1"/>
    <col min="759" max="995" width="9" style="156" customWidth="1"/>
    <col min="996" max="996" width="7.5" style="156" customWidth="1"/>
    <col min="997" max="997" width="9.5" style="156" customWidth="1"/>
    <col min="998" max="1000" width="5.625" style="156" customWidth="1"/>
    <col min="1001" max="1004" width="6" style="156" customWidth="1"/>
    <col min="1005" max="1005" width="9" style="156" customWidth="1"/>
    <col min="1006" max="1006" width="7.625" style="156" customWidth="1"/>
    <col min="1007" max="1013" width="8" style="156" customWidth="1"/>
    <col min="1014" max="1014" width="9" style="156" hidden="1" customWidth="1"/>
    <col min="1015" max="1251" width="9" style="156" customWidth="1"/>
    <col min="1252" max="1252" width="7.5" style="156" customWidth="1"/>
    <col min="1253" max="1253" width="9.5" style="156" customWidth="1"/>
    <col min="1254" max="1256" width="5.625" style="156" customWidth="1"/>
    <col min="1257" max="1260" width="6" style="156" customWidth="1"/>
    <col min="1261" max="1261" width="9" style="156" customWidth="1"/>
    <col min="1262" max="1262" width="7.625" style="156" customWidth="1"/>
    <col min="1263" max="1269" width="8" style="156" customWidth="1"/>
    <col min="1270" max="1270" width="9" style="156" hidden="1" customWidth="1"/>
    <col min="1271" max="1507" width="9" style="156" customWidth="1"/>
    <col min="1508" max="1508" width="7.5" style="156" customWidth="1"/>
    <col min="1509" max="1509" width="9.5" style="156" customWidth="1"/>
    <col min="1510" max="1512" width="5.625" style="156" customWidth="1"/>
    <col min="1513" max="1516" width="6" style="156" customWidth="1"/>
    <col min="1517" max="1517" width="9" style="156" customWidth="1"/>
    <col min="1518" max="1518" width="7.625" style="156" customWidth="1"/>
    <col min="1519" max="1525" width="8" style="156" customWidth="1"/>
    <col min="1526" max="1526" width="9" style="156" hidden="1" customWidth="1"/>
    <col min="1527" max="1763" width="9" style="156" customWidth="1"/>
    <col min="1764" max="1764" width="7.5" style="156" customWidth="1"/>
    <col min="1765" max="1765" width="9.5" style="156" customWidth="1"/>
    <col min="1766" max="1768" width="5.625" style="156" customWidth="1"/>
    <col min="1769" max="1772" width="6" style="156" customWidth="1"/>
    <col min="1773" max="1773" width="9" style="156" customWidth="1"/>
    <col min="1774" max="1774" width="7.625" style="156" customWidth="1"/>
    <col min="1775" max="1781" width="8" style="156" customWidth="1"/>
    <col min="1782" max="1782" width="9" style="156" hidden="1" customWidth="1"/>
    <col min="1783" max="2019" width="9" style="156" customWidth="1"/>
    <col min="2020" max="2020" width="7.5" style="156" customWidth="1"/>
    <col min="2021" max="2021" width="9.5" style="156" customWidth="1"/>
    <col min="2022" max="2024" width="5.625" style="156" customWidth="1"/>
    <col min="2025" max="2028" width="6" style="156" customWidth="1"/>
    <col min="2029" max="2029" width="9" style="156" customWidth="1"/>
    <col min="2030" max="2030" width="7.625" style="156" customWidth="1"/>
    <col min="2031" max="2037" width="8" style="156" customWidth="1"/>
    <col min="2038" max="2038" width="9" style="156" hidden="1" customWidth="1"/>
    <col min="2039" max="2275" width="9" style="156" customWidth="1"/>
    <col min="2276" max="2276" width="7.5" style="156" customWidth="1"/>
    <col min="2277" max="2277" width="9.5" style="156" customWidth="1"/>
    <col min="2278" max="2280" width="5.625" style="156" customWidth="1"/>
    <col min="2281" max="2284" width="6" style="156" customWidth="1"/>
    <col min="2285" max="2285" width="9" style="156" customWidth="1"/>
    <col min="2286" max="2286" width="7.625" style="156" customWidth="1"/>
    <col min="2287" max="2293" width="8" style="156" customWidth="1"/>
    <col min="2294" max="2294" width="9" style="156" hidden="1" customWidth="1"/>
    <col min="2295" max="2531" width="9" style="156" customWidth="1"/>
    <col min="2532" max="2532" width="7.5" style="156" customWidth="1"/>
    <col min="2533" max="2533" width="9.5" style="156" customWidth="1"/>
    <col min="2534" max="2536" width="5.625" style="156" customWidth="1"/>
    <col min="2537" max="2540" width="6" style="156" customWidth="1"/>
    <col min="2541" max="2541" width="9" style="156" customWidth="1"/>
    <col min="2542" max="2542" width="7.625" style="156" customWidth="1"/>
    <col min="2543" max="2549" width="8" style="156" customWidth="1"/>
    <col min="2550" max="2550" width="9" style="156" hidden="1" customWidth="1"/>
    <col min="2551" max="2787" width="9" style="156" customWidth="1"/>
    <col min="2788" max="2788" width="7.5" style="156" customWidth="1"/>
    <col min="2789" max="2789" width="9.5" style="156" customWidth="1"/>
    <col min="2790" max="2792" width="5.625" style="156" customWidth="1"/>
    <col min="2793" max="2796" width="6" style="156" customWidth="1"/>
    <col min="2797" max="2797" width="9" style="156" customWidth="1"/>
    <col min="2798" max="2798" width="7.625" style="156" customWidth="1"/>
    <col min="2799" max="2805" width="8" style="156" customWidth="1"/>
    <col min="2806" max="2806" width="9" style="156" hidden="1" customWidth="1"/>
    <col min="2807" max="3043" width="9" style="156" customWidth="1"/>
    <col min="3044" max="3044" width="7.5" style="156" customWidth="1"/>
    <col min="3045" max="3045" width="9.5" style="156" customWidth="1"/>
    <col min="3046" max="3048" width="5.625" style="156" customWidth="1"/>
    <col min="3049" max="3052" width="6" style="156" customWidth="1"/>
    <col min="3053" max="3053" width="9" style="156" customWidth="1"/>
    <col min="3054" max="3054" width="7.625" style="156" customWidth="1"/>
    <col min="3055" max="3061" width="8" style="156" customWidth="1"/>
    <col min="3062" max="3062" width="9" style="156" hidden="1" customWidth="1"/>
    <col min="3063" max="3299" width="9" style="156" customWidth="1"/>
    <col min="3300" max="3300" width="7.5" style="156" customWidth="1"/>
    <col min="3301" max="3301" width="9.5" style="156" customWidth="1"/>
    <col min="3302" max="3304" width="5.625" style="156" customWidth="1"/>
    <col min="3305" max="3308" width="6" style="156" customWidth="1"/>
    <col min="3309" max="3309" width="9" style="156" customWidth="1"/>
    <col min="3310" max="3310" width="7.625" style="156" customWidth="1"/>
    <col min="3311" max="3317" width="8" style="156" customWidth="1"/>
    <col min="3318" max="3318" width="9" style="156" hidden="1" customWidth="1"/>
    <col min="3319" max="3555" width="9" style="156" customWidth="1"/>
    <col min="3556" max="3556" width="7.5" style="156" customWidth="1"/>
    <col min="3557" max="3557" width="9.5" style="156" customWidth="1"/>
    <col min="3558" max="3560" width="5.625" style="156" customWidth="1"/>
    <col min="3561" max="3564" width="6" style="156" customWidth="1"/>
    <col min="3565" max="3565" width="9" style="156" customWidth="1"/>
    <col min="3566" max="3566" width="7.625" style="156" customWidth="1"/>
    <col min="3567" max="3573" width="8" style="156" customWidth="1"/>
    <col min="3574" max="3574" width="9" style="156" hidden="1" customWidth="1"/>
    <col min="3575" max="3811" width="9" style="156" customWidth="1"/>
    <col min="3812" max="3812" width="7.5" style="156" customWidth="1"/>
    <col min="3813" max="3813" width="9.5" style="156" customWidth="1"/>
    <col min="3814" max="3816" width="5.625" style="156" customWidth="1"/>
    <col min="3817" max="3820" width="6" style="156" customWidth="1"/>
    <col min="3821" max="3821" width="9" style="156" customWidth="1"/>
    <col min="3822" max="3822" width="7.625" style="156" customWidth="1"/>
    <col min="3823" max="3829" width="8" style="156" customWidth="1"/>
    <col min="3830" max="3830" width="9" style="156" hidden="1" customWidth="1"/>
    <col min="3831" max="4067" width="9" style="156" customWidth="1"/>
    <col min="4068" max="4068" width="7.5" style="156" customWidth="1"/>
    <col min="4069" max="4069" width="9.5" style="156" customWidth="1"/>
    <col min="4070" max="4072" width="5.625" style="156" customWidth="1"/>
    <col min="4073" max="4076" width="6" style="156" customWidth="1"/>
    <col min="4077" max="4077" width="9" style="156" customWidth="1"/>
    <col min="4078" max="4078" width="7.625" style="156" customWidth="1"/>
    <col min="4079" max="4085" width="8" style="156" customWidth="1"/>
    <col min="4086" max="4086" width="9" style="156" hidden="1" customWidth="1"/>
    <col min="4087" max="4323" width="9" style="156" customWidth="1"/>
    <col min="4324" max="4324" width="7.5" style="156" customWidth="1"/>
    <col min="4325" max="4325" width="9.5" style="156" customWidth="1"/>
    <col min="4326" max="4328" width="5.625" style="156" customWidth="1"/>
    <col min="4329" max="4332" width="6" style="156" customWidth="1"/>
    <col min="4333" max="4333" width="9" style="156" customWidth="1"/>
    <col min="4334" max="4334" width="7.625" style="156" customWidth="1"/>
    <col min="4335" max="4341" width="8" style="156" customWidth="1"/>
    <col min="4342" max="4342" width="9" style="156" hidden="1" customWidth="1"/>
    <col min="4343" max="4579" width="9" style="156" customWidth="1"/>
    <col min="4580" max="4580" width="7.5" style="156" customWidth="1"/>
    <col min="4581" max="4581" width="9.5" style="156" customWidth="1"/>
    <col min="4582" max="4584" width="5.625" style="156" customWidth="1"/>
    <col min="4585" max="4588" width="6" style="156" customWidth="1"/>
    <col min="4589" max="4589" width="9" style="156" customWidth="1"/>
    <col min="4590" max="4590" width="7.625" style="156" customWidth="1"/>
    <col min="4591" max="4597" width="8" style="156" customWidth="1"/>
    <col min="4598" max="4598" width="9" style="156" hidden="1" customWidth="1"/>
    <col min="4599" max="4835" width="9" style="156" customWidth="1"/>
    <col min="4836" max="4836" width="7.5" style="156" customWidth="1"/>
    <col min="4837" max="4837" width="9.5" style="156" customWidth="1"/>
    <col min="4838" max="4840" width="5.625" style="156" customWidth="1"/>
    <col min="4841" max="4844" width="6" style="156" customWidth="1"/>
    <col min="4845" max="4845" width="9" style="156" customWidth="1"/>
    <col min="4846" max="4846" width="7.625" style="156" customWidth="1"/>
    <col min="4847" max="4853" width="8" style="156" customWidth="1"/>
    <col min="4854" max="4854" width="9" style="156" hidden="1" customWidth="1"/>
    <col min="4855" max="5091" width="9" style="156" customWidth="1"/>
    <col min="5092" max="5092" width="7.5" style="156" customWidth="1"/>
    <col min="5093" max="5093" width="9.5" style="156" customWidth="1"/>
    <col min="5094" max="5096" width="5.625" style="156" customWidth="1"/>
    <col min="5097" max="5100" width="6" style="156" customWidth="1"/>
    <col min="5101" max="5101" width="9" style="156" customWidth="1"/>
    <col min="5102" max="5102" width="7.625" style="156" customWidth="1"/>
    <col min="5103" max="5109" width="8" style="156" customWidth="1"/>
    <col min="5110" max="5110" width="9" style="156" hidden="1" customWidth="1"/>
    <col min="5111" max="5347" width="9" style="156" customWidth="1"/>
    <col min="5348" max="5348" width="7.5" style="156" customWidth="1"/>
    <col min="5349" max="5349" width="9.5" style="156" customWidth="1"/>
    <col min="5350" max="5352" width="5.625" style="156" customWidth="1"/>
    <col min="5353" max="5356" width="6" style="156" customWidth="1"/>
    <col min="5357" max="5357" width="9" style="156" customWidth="1"/>
    <col min="5358" max="5358" width="7.625" style="156" customWidth="1"/>
    <col min="5359" max="5365" width="8" style="156" customWidth="1"/>
    <col min="5366" max="5366" width="9" style="156" hidden="1" customWidth="1"/>
    <col min="5367" max="5603" width="9" style="156" customWidth="1"/>
    <col min="5604" max="5604" width="7.5" style="156" customWidth="1"/>
    <col min="5605" max="5605" width="9.5" style="156" customWidth="1"/>
    <col min="5606" max="5608" width="5.625" style="156" customWidth="1"/>
    <col min="5609" max="5612" width="6" style="156" customWidth="1"/>
    <col min="5613" max="5613" width="9" style="156" customWidth="1"/>
    <col min="5614" max="5614" width="7.625" style="156" customWidth="1"/>
    <col min="5615" max="5621" width="8" style="156" customWidth="1"/>
    <col min="5622" max="5622" width="9" style="156" hidden="1" customWidth="1"/>
    <col min="5623" max="5859" width="9" style="156" customWidth="1"/>
    <col min="5860" max="5860" width="7.5" style="156" customWidth="1"/>
    <col min="5861" max="5861" width="9.5" style="156" customWidth="1"/>
    <col min="5862" max="5864" width="5.625" style="156" customWidth="1"/>
    <col min="5865" max="5868" width="6" style="156" customWidth="1"/>
    <col min="5869" max="5869" width="9" style="156" customWidth="1"/>
    <col min="5870" max="5870" width="7.625" style="156" customWidth="1"/>
    <col min="5871" max="5877" width="8" style="156" customWidth="1"/>
    <col min="5878" max="5878" width="9" style="156" hidden="1" customWidth="1"/>
    <col min="5879" max="6115" width="9" style="156" customWidth="1"/>
    <col min="6116" max="6116" width="7.5" style="156" customWidth="1"/>
    <col min="6117" max="6117" width="9.5" style="156" customWidth="1"/>
    <col min="6118" max="6120" width="5.625" style="156" customWidth="1"/>
    <col min="6121" max="6124" width="6" style="156" customWidth="1"/>
    <col min="6125" max="6125" width="9" style="156" customWidth="1"/>
    <col min="6126" max="6126" width="7.625" style="156" customWidth="1"/>
    <col min="6127" max="6133" width="8" style="156" customWidth="1"/>
    <col min="6134" max="6134" width="9" style="156" hidden="1" customWidth="1"/>
    <col min="6135" max="6371" width="9" style="156" customWidth="1"/>
    <col min="6372" max="6372" width="7.5" style="156" customWidth="1"/>
    <col min="6373" max="6373" width="9.5" style="156" customWidth="1"/>
    <col min="6374" max="6376" width="5.625" style="156" customWidth="1"/>
    <col min="6377" max="6380" width="6" style="156" customWidth="1"/>
    <col min="6381" max="6381" width="9" style="156" customWidth="1"/>
    <col min="6382" max="6382" width="7.625" style="156" customWidth="1"/>
    <col min="6383" max="6389" width="8" style="156" customWidth="1"/>
    <col min="6390" max="6390" width="9" style="156" hidden="1" customWidth="1"/>
    <col min="6391" max="6627" width="9" style="156" customWidth="1"/>
    <col min="6628" max="6628" width="7.5" style="156" customWidth="1"/>
    <col min="6629" max="6629" width="9.5" style="156" customWidth="1"/>
    <col min="6630" max="6632" width="5.625" style="156" customWidth="1"/>
    <col min="6633" max="6636" width="6" style="156" customWidth="1"/>
    <col min="6637" max="6637" width="9" style="156" customWidth="1"/>
    <col min="6638" max="6638" width="7.625" style="156" customWidth="1"/>
    <col min="6639" max="6645" width="8" style="156" customWidth="1"/>
    <col min="6646" max="6646" width="9" style="156" hidden="1" customWidth="1"/>
    <col min="6647" max="6883" width="9" style="156" customWidth="1"/>
    <col min="6884" max="6884" width="7.5" style="156" customWidth="1"/>
    <col min="6885" max="6885" width="9.5" style="156" customWidth="1"/>
    <col min="6886" max="6888" width="5.625" style="156" customWidth="1"/>
    <col min="6889" max="6892" width="6" style="156" customWidth="1"/>
    <col min="6893" max="6893" width="9" style="156" customWidth="1"/>
    <col min="6894" max="6894" width="7.625" style="156" customWidth="1"/>
    <col min="6895" max="6901" width="8" style="156" customWidth="1"/>
    <col min="6902" max="6902" width="9" style="156" hidden="1" customWidth="1"/>
    <col min="6903" max="7139" width="9" style="156" customWidth="1"/>
    <col min="7140" max="7140" width="7.5" style="156" customWidth="1"/>
    <col min="7141" max="7141" width="9.5" style="156" customWidth="1"/>
    <col min="7142" max="7144" width="5.625" style="156" customWidth="1"/>
    <col min="7145" max="7148" width="6" style="156" customWidth="1"/>
    <col min="7149" max="7149" width="9" style="156" customWidth="1"/>
    <col min="7150" max="7150" width="7.625" style="156" customWidth="1"/>
    <col min="7151" max="7157" width="8" style="156" customWidth="1"/>
    <col min="7158" max="7158" width="9" style="156" hidden="1" customWidth="1"/>
    <col min="7159" max="7395" width="9" style="156" customWidth="1"/>
    <col min="7396" max="7396" width="7.5" style="156" customWidth="1"/>
    <col min="7397" max="7397" width="9.5" style="156" customWidth="1"/>
    <col min="7398" max="7400" width="5.625" style="156" customWidth="1"/>
    <col min="7401" max="7404" width="6" style="156" customWidth="1"/>
    <col min="7405" max="7405" width="9" style="156" customWidth="1"/>
    <col min="7406" max="7406" width="7.625" style="156" customWidth="1"/>
    <col min="7407" max="7413" width="8" style="156" customWidth="1"/>
    <col min="7414" max="7414" width="9" style="156" hidden="1" customWidth="1"/>
    <col min="7415" max="7651" width="9" style="156" customWidth="1"/>
    <col min="7652" max="7652" width="7.5" style="156" customWidth="1"/>
    <col min="7653" max="7653" width="9.5" style="156" customWidth="1"/>
    <col min="7654" max="7656" width="5.625" style="156" customWidth="1"/>
    <col min="7657" max="7660" width="6" style="156" customWidth="1"/>
    <col min="7661" max="7661" width="9" style="156" customWidth="1"/>
    <col min="7662" max="7662" width="7.625" style="156" customWidth="1"/>
    <col min="7663" max="7669" width="8" style="156" customWidth="1"/>
    <col min="7670" max="7670" width="9" style="156" hidden="1" customWidth="1"/>
    <col min="7671" max="7907" width="9" style="156" customWidth="1"/>
    <col min="7908" max="7908" width="7.5" style="156" customWidth="1"/>
    <col min="7909" max="7909" width="9.5" style="156" customWidth="1"/>
    <col min="7910" max="7912" width="5.625" style="156" customWidth="1"/>
    <col min="7913" max="7916" width="6" style="156" customWidth="1"/>
    <col min="7917" max="7917" width="9" style="156" customWidth="1"/>
    <col min="7918" max="7918" width="7.625" style="156" customWidth="1"/>
    <col min="7919" max="7925" width="8" style="156" customWidth="1"/>
    <col min="7926" max="7926" width="9" style="156" hidden="1" customWidth="1"/>
    <col min="7927" max="8163" width="9" style="156" customWidth="1"/>
    <col min="8164" max="8164" width="7.5" style="156" customWidth="1"/>
    <col min="8165" max="8165" width="9.5" style="156" customWidth="1"/>
    <col min="8166" max="8168" width="5.625" style="156" customWidth="1"/>
    <col min="8169" max="8172" width="6" style="156" customWidth="1"/>
    <col min="8173" max="8173" width="9" style="156" customWidth="1"/>
    <col min="8174" max="8174" width="7.625" style="156" customWidth="1"/>
    <col min="8175" max="8181" width="8" style="156" customWidth="1"/>
    <col min="8182" max="8182" width="9" style="156" hidden="1" customWidth="1"/>
    <col min="8183" max="8419" width="9" style="156" customWidth="1"/>
    <col min="8420" max="8420" width="7.5" style="156" customWidth="1"/>
    <col min="8421" max="8421" width="9.5" style="156" customWidth="1"/>
    <col min="8422" max="8424" width="5.625" style="156" customWidth="1"/>
    <col min="8425" max="8428" width="6" style="156" customWidth="1"/>
    <col min="8429" max="8429" width="9" style="156" customWidth="1"/>
    <col min="8430" max="8430" width="7.625" style="156" customWidth="1"/>
    <col min="8431" max="8437" width="8" style="156" customWidth="1"/>
    <col min="8438" max="8438" width="9" style="156" hidden="1" customWidth="1"/>
    <col min="8439" max="8675" width="9" style="156" customWidth="1"/>
    <col min="8676" max="8676" width="7.5" style="156" customWidth="1"/>
    <col min="8677" max="8677" width="9.5" style="156" customWidth="1"/>
    <col min="8678" max="8680" width="5.625" style="156" customWidth="1"/>
    <col min="8681" max="8684" width="6" style="156" customWidth="1"/>
    <col min="8685" max="8685" width="9" style="156" customWidth="1"/>
    <col min="8686" max="8686" width="7.625" style="156" customWidth="1"/>
    <col min="8687" max="8693" width="8" style="156" customWidth="1"/>
    <col min="8694" max="8694" width="9" style="156" hidden="1" customWidth="1"/>
    <col min="8695" max="8931" width="9" style="156" customWidth="1"/>
    <col min="8932" max="8932" width="7.5" style="156" customWidth="1"/>
    <col min="8933" max="8933" width="9.5" style="156" customWidth="1"/>
    <col min="8934" max="8936" width="5.625" style="156" customWidth="1"/>
    <col min="8937" max="8940" width="6" style="156" customWidth="1"/>
    <col min="8941" max="8941" width="9" style="156" customWidth="1"/>
    <col min="8942" max="8942" width="7.625" style="156" customWidth="1"/>
    <col min="8943" max="8949" width="8" style="156" customWidth="1"/>
    <col min="8950" max="8950" width="9" style="156" hidden="1" customWidth="1"/>
    <col min="8951" max="9187" width="9" style="156" customWidth="1"/>
    <col min="9188" max="9188" width="7.5" style="156" customWidth="1"/>
    <col min="9189" max="9189" width="9.5" style="156" customWidth="1"/>
    <col min="9190" max="9192" width="5.625" style="156" customWidth="1"/>
    <col min="9193" max="9196" width="6" style="156" customWidth="1"/>
    <col min="9197" max="9197" width="9" style="156" customWidth="1"/>
    <col min="9198" max="9198" width="7.625" style="156" customWidth="1"/>
    <col min="9199" max="9205" width="8" style="156" customWidth="1"/>
    <col min="9206" max="9206" width="9" style="156" hidden="1" customWidth="1"/>
    <col min="9207" max="9443" width="9" style="156" customWidth="1"/>
    <col min="9444" max="9444" width="7.5" style="156" customWidth="1"/>
    <col min="9445" max="9445" width="9.5" style="156" customWidth="1"/>
    <col min="9446" max="9448" width="5.625" style="156" customWidth="1"/>
    <col min="9449" max="9452" width="6" style="156" customWidth="1"/>
    <col min="9453" max="9453" width="9" style="156" customWidth="1"/>
    <col min="9454" max="9454" width="7.625" style="156" customWidth="1"/>
    <col min="9455" max="9461" width="8" style="156" customWidth="1"/>
    <col min="9462" max="9462" width="9" style="156" hidden="1" customWidth="1"/>
    <col min="9463" max="9699" width="9" style="156" customWidth="1"/>
    <col min="9700" max="9700" width="7.5" style="156" customWidth="1"/>
    <col min="9701" max="9701" width="9.5" style="156" customWidth="1"/>
    <col min="9702" max="9704" width="5.625" style="156" customWidth="1"/>
    <col min="9705" max="9708" width="6" style="156" customWidth="1"/>
    <col min="9709" max="9709" width="9" style="156" customWidth="1"/>
    <col min="9710" max="9710" width="7.625" style="156" customWidth="1"/>
    <col min="9711" max="9717" width="8" style="156" customWidth="1"/>
    <col min="9718" max="9718" width="9" style="156" hidden="1" customWidth="1"/>
    <col min="9719" max="9955" width="9" style="156" customWidth="1"/>
    <col min="9956" max="9956" width="7.5" style="156" customWidth="1"/>
    <col min="9957" max="9957" width="9.5" style="156" customWidth="1"/>
    <col min="9958" max="9960" width="5.625" style="156" customWidth="1"/>
    <col min="9961" max="9964" width="6" style="156" customWidth="1"/>
    <col min="9965" max="9965" width="9" style="156" customWidth="1"/>
    <col min="9966" max="9966" width="7.625" style="156" customWidth="1"/>
    <col min="9967" max="9973" width="8" style="156" customWidth="1"/>
    <col min="9974" max="9974" width="9" style="156" hidden="1" customWidth="1"/>
    <col min="9975" max="10211" width="9" style="156" customWidth="1"/>
    <col min="10212" max="10212" width="7.5" style="156" customWidth="1"/>
    <col min="10213" max="10213" width="9.5" style="156" customWidth="1"/>
    <col min="10214" max="10216" width="5.625" style="156" customWidth="1"/>
    <col min="10217" max="10220" width="6" style="156" customWidth="1"/>
    <col min="10221" max="10221" width="9" style="156" customWidth="1"/>
    <col min="10222" max="10222" width="7.625" style="156" customWidth="1"/>
    <col min="10223" max="10229" width="8" style="156" customWidth="1"/>
    <col min="10230" max="10230" width="9" style="156" hidden="1" customWidth="1"/>
    <col min="10231" max="10467" width="9" style="156" customWidth="1"/>
    <col min="10468" max="10468" width="7.5" style="156" customWidth="1"/>
    <col min="10469" max="10469" width="9.5" style="156" customWidth="1"/>
    <col min="10470" max="10472" width="5.625" style="156" customWidth="1"/>
    <col min="10473" max="10476" width="6" style="156" customWidth="1"/>
    <col min="10477" max="10477" width="9" style="156" customWidth="1"/>
    <col min="10478" max="10478" width="7.625" style="156" customWidth="1"/>
    <col min="10479" max="10485" width="8" style="156" customWidth="1"/>
    <col min="10486" max="10486" width="9" style="156" hidden="1" customWidth="1"/>
    <col min="10487" max="10723" width="9" style="156" customWidth="1"/>
    <col min="10724" max="10724" width="7.5" style="156" customWidth="1"/>
    <col min="10725" max="10725" width="9.5" style="156" customWidth="1"/>
    <col min="10726" max="10728" width="5.625" style="156" customWidth="1"/>
    <col min="10729" max="10732" width="6" style="156" customWidth="1"/>
    <col min="10733" max="10733" width="9" style="156" customWidth="1"/>
    <col min="10734" max="10734" width="7.625" style="156" customWidth="1"/>
    <col min="10735" max="10741" width="8" style="156" customWidth="1"/>
    <col min="10742" max="10742" width="9" style="156" hidden="1" customWidth="1"/>
    <col min="10743" max="10979" width="9" style="156" customWidth="1"/>
    <col min="10980" max="10980" width="7.5" style="156" customWidth="1"/>
    <col min="10981" max="10981" width="9.5" style="156" customWidth="1"/>
    <col min="10982" max="10984" width="5.625" style="156" customWidth="1"/>
    <col min="10985" max="10988" width="6" style="156" customWidth="1"/>
    <col min="10989" max="10989" width="9" style="156" customWidth="1"/>
    <col min="10990" max="10990" width="7.625" style="156" customWidth="1"/>
    <col min="10991" max="10997" width="8" style="156" customWidth="1"/>
    <col min="10998" max="10998" width="9" style="156" hidden="1" customWidth="1"/>
    <col min="10999" max="11235" width="9" style="156" customWidth="1"/>
    <col min="11236" max="11236" width="7.5" style="156" customWidth="1"/>
    <col min="11237" max="11237" width="9.5" style="156" customWidth="1"/>
    <col min="11238" max="11240" width="5.625" style="156" customWidth="1"/>
    <col min="11241" max="11244" width="6" style="156" customWidth="1"/>
    <col min="11245" max="11245" width="9" style="156" customWidth="1"/>
    <col min="11246" max="11246" width="7.625" style="156" customWidth="1"/>
    <col min="11247" max="11253" width="8" style="156" customWidth="1"/>
    <col min="11254" max="11254" width="9" style="156" hidden="1" customWidth="1"/>
    <col min="11255" max="11491" width="9" style="156" customWidth="1"/>
    <col min="11492" max="11492" width="7.5" style="156" customWidth="1"/>
    <col min="11493" max="11493" width="9.5" style="156" customWidth="1"/>
    <col min="11494" max="11496" width="5.625" style="156" customWidth="1"/>
    <col min="11497" max="11500" width="6" style="156" customWidth="1"/>
    <col min="11501" max="11501" width="9" style="156" customWidth="1"/>
    <col min="11502" max="11502" width="7.625" style="156" customWidth="1"/>
    <col min="11503" max="11509" width="8" style="156" customWidth="1"/>
    <col min="11510" max="11510" width="9" style="156" hidden="1" customWidth="1"/>
    <col min="11511" max="11747" width="9" style="156" customWidth="1"/>
    <col min="11748" max="11748" width="7.5" style="156" customWidth="1"/>
    <col min="11749" max="11749" width="9.5" style="156" customWidth="1"/>
    <col min="11750" max="11752" width="5.625" style="156" customWidth="1"/>
    <col min="11753" max="11756" width="6" style="156" customWidth="1"/>
    <col min="11757" max="11757" width="9" style="156" customWidth="1"/>
    <col min="11758" max="11758" width="7.625" style="156" customWidth="1"/>
    <col min="11759" max="11765" width="8" style="156" customWidth="1"/>
    <col min="11766" max="11766" width="9" style="156" hidden="1" customWidth="1"/>
    <col min="11767" max="12003" width="9" style="156" customWidth="1"/>
    <col min="12004" max="12004" width="7.5" style="156" customWidth="1"/>
    <col min="12005" max="12005" width="9.5" style="156" customWidth="1"/>
    <col min="12006" max="12008" width="5.625" style="156" customWidth="1"/>
    <col min="12009" max="12012" width="6" style="156" customWidth="1"/>
    <col min="12013" max="12013" width="9" style="156" customWidth="1"/>
    <col min="12014" max="12014" width="7.625" style="156" customWidth="1"/>
    <col min="12015" max="12021" width="8" style="156" customWidth="1"/>
    <col min="12022" max="12022" width="9" style="156" hidden="1" customWidth="1"/>
    <col min="12023" max="12259" width="9" style="156" customWidth="1"/>
    <col min="12260" max="12260" width="7.5" style="156" customWidth="1"/>
    <col min="12261" max="12261" width="9.5" style="156" customWidth="1"/>
    <col min="12262" max="12264" width="5.625" style="156" customWidth="1"/>
    <col min="12265" max="12268" width="6" style="156" customWidth="1"/>
    <col min="12269" max="12269" width="9" style="156" customWidth="1"/>
    <col min="12270" max="12270" width="7.625" style="156" customWidth="1"/>
    <col min="12271" max="12277" width="8" style="156" customWidth="1"/>
    <col min="12278" max="12278" width="9" style="156" hidden="1" customWidth="1"/>
    <col min="12279" max="12515" width="9" style="156" customWidth="1"/>
    <col min="12516" max="12516" width="7.5" style="156" customWidth="1"/>
    <col min="12517" max="12517" width="9.5" style="156" customWidth="1"/>
    <col min="12518" max="12520" width="5.625" style="156" customWidth="1"/>
    <col min="12521" max="12524" width="6" style="156" customWidth="1"/>
    <col min="12525" max="12525" width="9" style="156" customWidth="1"/>
    <col min="12526" max="12526" width="7.625" style="156" customWidth="1"/>
    <col min="12527" max="12533" width="8" style="156" customWidth="1"/>
    <col min="12534" max="12534" width="9" style="156" hidden="1" customWidth="1"/>
    <col min="12535" max="12771" width="9" style="156" customWidth="1"/>
    <col min="12772" max="12772" width="7.5" style="156" customWidth="1"/>
    <col min="12773" max="12773" width="9.5" style="156" customWidth="1"/>
    <col min="12774" max="12776" width="5.625" style="156" customWidth="1"/>
    <col min="12777" max="12780" width="6" style="156" customWidth="1"/>
    <col min="12781" max="12781" width="9" style="156" customWidth="1"/>
    <col min="12782" max="12782" width="7.625" style="156" customWidth="1"/>
    <col min="12783" max="12789" width="8" style="156" customWidth="1"/>
    <col min="12790" max="12790" width="9" style="156" hidden="1" customWidth="1"/>
    <col min="12791" max="13027" width="9" style="156" customWidth="1"/>
    <col min="13028" max="13028" width="7.5" style="156" customWidth="1"/>
    <col min="13029" max="13029" width="9.5" style="156" customWidth="1"/>
    <col min="13030" max="13032" width="5.625" style="156" customWidth="1"/>
    <col min="13033" max="13036" width="6" style="156" customWidth="1"/>
    <col min="13037" max="13037" width="9" style="156" customWidth="1"/>
    <col min="13038" max="13038" width="7.625" style="156" customWidth="1"/>
    <col min="13039" max="13045" width="8" style="156" customWidth="1"/>
    <col min="13046" max="13046" width="9" style="156" hidden="1" customWidth="1"/>
    <col min="13047" max="13283" width="9" style="156" customWidth="1"/>
    <col min="13284" max="13284" width="7.5" style="156" customWidth="1"/>
    <col min="13285" max="13285" width="9.5" style="156" customWidth="1"/>
    <col min="13286" max="13288" width="5.625" style="156" customWidth="1"/>
    <col min="13289" max="13292" width="6" style="156" customWidth="1"/>
    <col min="13293" max="13293" width="9" style="156" customWidth="1"/>
    <col min="13294" max="13294" width="7.625" style="156" customWidth="1"/>
    <col min="13295" max="13301" width="8" style="156" customWidth="1"/>
    <col min="13302" max="13302" width="9" style="156" hidden="1" customWidth="1"/>
    <col min="13303" max="13539" width="9" style="156" customWidth="1"/>
    <col min="13540" max="13540" width="7.5" style="156" customWidth="1"/>
    <col min="13541" max="13541" width="9.5" style="156" customWidth="1"/>
    <col min="13542" max="13544" width="5.625" style="156" customWidth="1"/>
    <col min="13545" max="13548" width="6" style="156" customWidth="1"/>
    <col min="13549" max="13549" width="9" style="156" customWidth="1"/>
    <col min="13550" max="13550" width="7.625" style="156" customWidth="1"/>
    <col min="13551" max="13557" width="8" style="156" customWidth="1"/>
    <col min="13558" max="13558" width="9" style="156" hidden="1" customWidth="1"/>
    <col min="13559" max="13795" width="9" style="156" customWidth="1"/>
    <col min="13796" max="13796" width="7.5" style="156" customWidth="1"/>
    <col min="13797" max="13797" width="9.5" style="156" customWidth="1"/>
    <col min="13798" max="13800" width="5.625" style="156" customWidth="1"/>
    <col min="13801" max="13804" width="6" style="156" customWidth="1"/>
    <col min="13805" max="13805" width="9" style="156" customWidth="1"/>
    <col min="13806" max="13806" width="7.625" style="156" customWidth="1"/>
    <col min="13807" max="13813" width="8" style="156" customWidth="1"/>
    <col min="13814" max="13814" width="9" style="156" hidden="1" customWidth="1"/>
    <col min="13815" max="14051" width="9" style="156" customWidth="1"/>
    <col min="14052" max="14052" width="7.5" style="156" customWidth="1"/>
    <col min="14053" max="14053" width="9.5" style="156" customWidth="1"/>
    <col min="14054" max="14056" width="5.625" style="156" customWidth="1"/>
    <col min="14057" max="14060" width="6" style="156" customWidth="1"/>
    <col min="14061" max="14061" width="9" style="156" customWidth="1"/>
    <col min="14062" max="14062" width="7.625" style="156" customWidth="1"/>
    <col min="14063" max="14069" width="8" style="156" customWidth="1"/>
    <col min="14070" max="14070" width="9" style="156" hidden="1" customWidth="1"/>
    <col min="14071" max="14307" width="9" style="156" customWidth="1"/>
    <col min="14308" max="14308" width="7.5" style="156" customWidth="1"/>
    <col min="14309" max="14309" width="9.5" style="156" customWidth="1"/>
    <col min="14310" max="14312" width="5.625" style="156" customWidth="1"/>
    <col min="14313" max="14316" width="6" style="156" customWidth="1"/>
    <col min="14317" max="14317" width="9" style="156" customWidth="1"/>
    <col min="14318" max="14318" width="7.625" style="156" customWidth="1"/>
    <col min="14319" max="14325" width="8" style="156" customWidth="1"/>
    <col min="14326" max="14326" width="9" style="156" hidden="1" customWidth="1"/>
    <col min="14327" max="14563" width="9" style="156" customWidth="1"/>
    <col min="14564" max="14564" width="7.5" style="156" customWidth="1"/>
    <col min="14565" max="14565" width="9.5" style="156" customWidth="1"/>
    <col min="14566" max="14568" width="5.625" style="156" customWidth="1"/>
    <col min="14569" max="14572" width="6" style="156" customWidth="1"/>
    <col min="14573" max="14573" width="9" style="156" customWidth="1"/>
    <col min="14574" max="14574" width="7.625" style="156" customWidth="1"/>
    <col min="14575" max="14581" width="8" style="156" customWidth="1"/>
    <col min="14582" max="14582" width="9" style="156" hidden="1" customWidth="1"/>
    <col min="14583" max="14819" width="9" style="156" customWidth="1"/>
    <col min="14820" max="14820" width="7.5" style="156" customWidth="1"/>
    <col min="14821" max="14821" width="9.5" style="156" customWidth="1"/>
    <col min="14822" max="14824" width="5.625" style="156" customWidth="1"/>
    <col min="14825" max="14828" width="6" style="156" customWidth="1"/>
    <col min="14829" max="14829" width="9" style="156" customWidth="1"/>
    <col min="14830" max="14830" width="7.625" style="156" customWidth="1"/>
    <col min="14831" max="14837" width="8" style="156" customWidth="1"/>
    <col min="14838" max="14838" width="9" style="156" hidden="1" customWidth="1"/>
    <col min="14839" max="15075" width="9" style="156" customWidth="1"/>
    <col min="15076" max="15076" width="7.5" style="156" customWidth="1"/>
    <col min="15077" max="15077" width="9.5" style="156" customWidth="1"/>
    <col min="15078" max="15080" width="5.625" style="156" customWidth="1"/>
    <col min="15081" max="15084" width="6" style="156" customWidth="1"/>
    <col min="15085" max="15085" width="9" style="156" customWidth="1"/>
    <col min="15086" max="15086" width="7.625" style="156" customWidth="1"/>
    <col min="15087" max="15093" width="8" style="156" customWidth="1"/>
    <col min="15094" max="15094" width="9" style="156" hidden="1" customWidth="1"/>
    <col min="15095" max="15331" width="9" style="156" customWidth="1"/>
    <col min="15332" max="15332" width="7.5" style="156" customWidth="1"/>
    <col min="15333" max="15333" width="9.5" style="156" customWidth="1"/>
    <col min="15334" max="15336" width="5.625" style="156" customWidth="1"/>
    <col min="15337" max="15340" width="6" style="156" customWidth="1"/>
    <col min="15341" max="15341" width="9" style="156" customWidth="1"/>
    <col min="15342" max="15342" width="7.625" style="156" customWidth="1"/>
    <col min="15343" max="15349" width="8" style="156" customWidth="1"/>
    <col min="15350" max="15350" width="9" style="156" hidden="1" customWidth="1"/>
    <col min="15351" max="15587" width="9" style="156" customWidth="1"/>
    <col min="15588" max="15588" width="7.5" style="156" customWidth="1"/>
    <col min="15589" max="15589" width="9.5" style="156" customWidth="1"/>
    <col min="15590" max="15592" width="5.625" style="156" customWidth="1"/>
    <col min="15593" max="15596" width="6" style="156" customWidth="1"/>
    <col min="15597" max="15597" width="9" style="156" customWidth="1"/>
    <col min="15598" max="15598" width="7.625" style="156" customWidth="1"/>
    <col min="15599" max="15605" width="8" style="156" customWidth="1"/>
    <col min="15606" max="15606" width="9" style="156" hidden="1" customWidth="1"/>
    <col min="15607" max="15843" width="9" style="156" customWidth="1"/>
    <col min="15844" max="15844" width="7.5" style="156" customWidth="1"/>
    <col min="15845" max="15845" width="9.5" style="156" customWidth="1"/>
    <col min="15846" max="15848" width="5.625" style="156" customWidth="1"/>
    <col min="15849" max="15852" width="6" style="156" customWidth="1"/>
    <col min="15853" max="15853" width="9" style="156" customWidth="1"/>
    <col min="15854" max="15854" width="7.625" style="156" customWidth="1"/>
    <col min="15855" max="15861" width="8" style="156" customWidth="1"/>
    <col min="15862" max="15862" width="9" style="156" hidden="1" customWidth="1"/>
    <col min="15863" max="16099" width="9" style="156" customWidth="1"/>
    <col min="16100" max="16100" width="7.5" style="156" customWidth="1"/>
    <col min="16101" max="16101" width="9.5" style="156" customWidth="1"/>
    <col min="16102" max="16104" width="5.625" style="156" customWidth="1"/>
    <col min="16105" max="16108" width="6" style="156" customWidth="1"/>
    <col min="16109" max="16109" width="9" style="156" customWidth="1"/>
    <col min="16110" max="16110" width="7.625" style="156" customWidth="1"/>
    <col min="16111" max="16117" width="8" style="156" customWidth="1"/>
    <col min="16118" max="16118" width="9" style="156" hidden="1" customWidth="1"/>
    <col min="16119" max="16384" width="9" style="156" customWidth="1"/>
  </cols>
  <sheetData>
    <row r="1" ht="27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56"/>
      <c r="T2" s="156"/>
      <c r="U2" s="156"/>
      <c r="V2" s="156"/>
      <c r="W2" s="156"/>
      <c r="X2" s="156"/>
      <c r="Y2" s="156"/>
    </row>
    <row r="3" ht="5.2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64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156"/>
      <c r="T4" s="156"/>
      <c r="U4" s="156"/>
      <c r="V4" s="156"/>
      <c r="W4" s="156"/>
      <c r="X4" s="156"/>
      <c r="Y4" s="156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207" t="s">
        <v>65</v>
      </c>
      <c r="B6" s="207" t="str">
        <f>'OS-IN'!B6</f>
        <v>SAWASDEE DENEB</v>
      </c>
      <c r="C6" s="156"/>
      <c r="D6" s="156"/>
      <c r="E6" s="156"/>
      <c r="F6" s="156"/>
      <c r="G6" s="156"/>
      <c r="H6" s="156"/>
      <c r="I6" s="207" t="s">
        <v>66</v>
      </c>
      <c r="J6" s="207"/>
      <c r="K6" s="207"/>
      <c r="L6" s="207"/>
      <c r="M6" s="156"/>
      <c r="N6" s="156"/>
      <c r="O6" s="207" t="s">
        <v>67</v>
      </c>
      <c r="P6" s="208">
        <f>'OS-IN'!L6</f>
        <v>46218</v>
      </c>
      <c r="Q6" s="192"/>
      <c r="R6" s="192"/>
      <c r="S6" s="156"/>
      <c r="T6" s="156"/>
      <c r="U6" s="156"/>
      <c r="V6" s="156"/>
      <c r="W6" s="156"/>
      <c r="X6" s="156"/>
      <c r="Y6" s="156"/>
    </row>
    <row r="7" ht="11.25" customHeight="1" spans="1:25" x14ac:dyDescent="0.25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68</v>
      </c>
      <c r="B8" s="207" t="s">
        <v>26</v>
      </c>
      <c r="C8" s="207"/>
      <c r="D8" s="207"/>
      <c r="E8" s="207"/>
      <c r="F8" s="156"/>
      <c r="G8" s="156"/>
      <c r="H8" s="156"/>
      <c r="I8" s="156" t="s">
        <v>69</v>
      </c>
      <c r="J8" s="156"/>
      <c r="K8" s="156"/>
      <c r="L8" s="156"/>
      <c r="M8" s="156"/>
      <c r="N8" s="156"/>
      <c r="O8" s="207" t="s">
        <v>70</v>
      </c>
      <c r="P8" s="192">
        <f>'Final Work'!G6</f>
        <v>6</v>
      </c>
      <c r="Q8" s="192"/>
      <c r="R8" s="192"/>
      <c r="S8" s="156"/>
      <c r="T8" s="156"/>
      <c r="U8" s="156"/>
      <c r="V8" s="156"/>
      <c r="W8" s="156"/>
      <c r="X8" s="156"/>
      <c r="Y8" s="156"/>
    </row>
    <row r="9" ht="6.7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2" customHeight="1" spans="1:25" x14ac:dyDescent="0.25">
      <c r="A10" s="210" t="s">
        <v>11</v>
      </c>
      <c r="B10" s="210" t="s">
        <v>49</v>
      </c>
      <c r="C10" s="275" t="s">
        <v>71</v>
      </c>
      <c r="D10" s="203"/>
      <c r="E10" s="276"/>
      <c r="F10" s="210" t="s">
        <v>72</v>
      </c>
      <c r="G10" s="210"/>
      <c r="H10" s="210"/>
      <c r="I10" s="210"/>
      <c r="J10" s="212" t="s">
        <v>73</v>
      </c>
      <c r="K10" s="210" t="s">
        <v>74</v>
      </c>
      <c r="L10" s="210" t="s">
        <v>75</v>
      </c>
      <c r="M10" s="210"/>
      <c r="N10" s="210"/>
      <c r="O10" s="210"/>
      <c r="P10" s="210"/>
      <c r="Q10" s="210"/>
      <c r="R10" s="210"/>
      <c r="S10" s="156"/>
      <c r="T10" s="156"/>
      <c r="U10" s="156"/>
      <c r="V10" s="156"/>
      <c r="W10" s="156"/>
      <c r="X10" s="156"/>
      <c r="Y10" s="156"/>
    </row>
    <row r="11" ht="12" customHeight="1" spans="1:25" x14ac:dyDescent="0.25">
      <c r="A11" s="213"/>
      <c r="B11" s="213"/>
      <c r="C11" s="277"/>
      <c r="D11" s="278"/>
      <c r="E11" s="279"/>
      <c r="F11" s="213"/>
      <c r="G11" s="213"/>
      <c r="H11" s="213"/>
      <c r="I11" s="213"/>
      <c r="J11" s="215" t="s">
        <v>58</v>
      </c>
      <c r="K11" s="213"/>
      <c r="L11" s="213"/>
      <c r="M11" s="213"/>
      <c r="N11" s="213"/>
      <c r="O11" s="213"/>
      <c r="P11" s="213"/>
      <c r="Q11" s="213"/>
      <c r="R11" s="213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220"/>
      <c r="B12" s="220"/>
      <c r="C12" s="191"/>
      <c r="D12" s="280"/>
      <c r="E12" s="183"/>
      <c r="F12" s="281"/>
      <c r="G12" s="282"/>
      <c r="H12" s="282"/>
      <c r="I12" s="283"/>
      <c r="J12" s="284"/>
      <c r="K12" s="284"/>
      <c r="L12" s="285"/>
      <c r="M12" s="286"/>
      <c r="N12" s="286"/>
      <c r="O12" s="286"/>
      <c r="P12" s="286"/>
      <c r="Q12" s="286"/>
      <c r="R12" s="287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220"/>
      <c r="B13" s="220"/>
      <c r="C13" s="263"/>
      <c r="D13" s="263"/>
      <c r="E13" s="263"/>
      <c r="F13" s="191"/>
      <c r="G13" s="280"/>
      <c r="H13" s="280"/>
      <c r="I13" s="183"/>
      <c r="J13" s="220"/>
      <c r="K13" s="220"/>
      <c r="L13" s="288"/>
      <c r="M13" s="273"/>
      <c r="N13" s="273"/>
      <c r="O13" s="273"/>
      <c r="P13" s="273"/>
      <c r="Q13" s="273"/>
      <c r="R13" s="274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289"/>
      <c r="B14" s="289"/>
      <c r="C14" s="289"/>
      <c r="D14" s="289"/>
      <c r="E14" s="289"/>
      <c r="F14" s="191"/>
      <c r="G14" s="280"/>
      <c r="H14" s="280"/>
      <c r="I14" s="183"/>
      <c r="J14" s="289"/>
      <c r="K14" s="289"/>
      <c r="L14" s="288"/>
      <c r="M14" s="273"/>
      <c r="N14" s="273"/>
      <c r="O14" s="273"/>
      <c r="P14" s="273"/>
      <c r="Q14" s="273"/>
      <c r="R14" s="274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289"/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90"/>
      <c r="M15" s="291"/>
      <c r="N15" s="291"/>
      <c r="O15" s="291"/>
      <c r="P15" s="291"/>
      <c r="Q15" s="291"/>
      <c r="R15" s="292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289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90"/>
      <c r="M16" s="291"/>
      <c r="N16" s="291"/>
      <c r="O16" s="291"/>
      <c r="P16" s="291"/>
      <c r="Q16" s="291"/>
      <c r="R16" s="292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289"/>
      <c r="B17" s="289"/>
      <c r="C17" s="289"/>
      <c r="D17" s="289"/>
      <c r="E17" s="289"/>
      <c r="F17" s="289"/>
      <c r="G17" s="289"/>
      <c r="H17" s="289"/>
      <c r="I17" s="289"/>
      <c r="J17" s="289"/>
      <c r="K17" s="289"/>
      <c r="L17" s="290"/>
      <c r="M17" s="291"/>
      <c r="N17" s="291"/>
      <c r="O17" s="291"/>
      <c r="P17" s="291"/>
      <c r="Q17" s="291"/>
      <c r="R17" s="292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289"/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90"/>
      <c r="M18" s="291"/>
      <c r="N18" s="291"/>
      <c r="O18" s="291"/>
      <c r="P18" s="291"/>
      <c r="Q18" s="291"/>
      <c r="R18" s="292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289"/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93"/>
      <c r="M19" s="293"/>
      <c r="N19" s="293"/>
      <c r="O19" s="293"/>
      <c r="P19" s="293"/>
      <c r="Q19" s="293"/>
      <c r="R19" s="293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289"/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90"/>
      <c r="M20" s="291"/>
      <c r="N20" s="291"/>
      <c r="O20" s="291"/>
      <c r="P20" s="291"/>
      <c r="Q20" s="291"/>
      <c r="R20" s="292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289"/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93"/>
      <c r="M21" s="293"/>
      <c r="N21" s="293"/>
      <c r="O21" s="293"/>
      <c r="P21" s="293"/>
      <c r="Q21" s="293"/>
      <c r="R21" s="293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289"/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90"/>
      <c r="M22" s="291"/>
      <c r="N22" s="291"/>
      <c r="O22" s="291"/>
      <c r="P22" s="291"/>
      <c r="Q22" s="291"/>
      <c r="R22" s="292"/>
      <c r="S22" s="156"/>
      <c r="T22" s="156"/>
      <c r="U22" s="156"/>
      <c r="V22" s="156"/>
      <c r="W22" s="156"/>
      <c r="X22" s="156"/>
      <c r="Y22" s="156"/>
    </row>
    <row r="23" ht="18" customHeight="1" spans="1:25" x14ac:dyDescent="0.25">
      <c r="A23" s="289"/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93"/>
      <c r="M23" s="293"/>
      <c r="N23" s="293"/>
      <c r="O23" s="293"/>
      <c r="P23" s="293"/>
      <c r="Q23" s="293"/>
      <c r="R23" s="293"/>
      <c r="S23" s="156"/>
      <c r="T23" s="156"/>
      <c r="U23" s="156"/>
      <c r="V23" s="156"/>
      <c r="W23" s="156"/>
      <c r="X23" s="156"/>
      <c r="Y23" s="156"/>
    </row>
    <row r="24" ht="18" customHeight="1" spans="1:25" x14ac:dyDescent="0.25">
      <c r="A24" s="289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93"/>
      <c r="M24" s="293"/>
      <c r="N24" s="293"/>
      <c r="O24" s="293"/>
      <c r="P24" s="293"/>
      <c r="Q24" s="293"/>
      <c r="R24" s="293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89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93"/>
      <c r="M25" s="293"/>
      <c r="N25" s="293"/>
      <c r="O25" s="293"/>
      <c r="P25" s="293"/>
      <c r="Q25" s="293"/>
      <c r="R25" s="293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89"/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93"/>
      <c r="M26" s="293"/>
      <c r="N26" s="293"/>
      <c r="O26" s="293"/>
      <c r="P26" s="293"/>
      <c r="Q26" s="293"/>
      <c r="R26" s="293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89"/>
      <c r="B27" s="289"/>
      <c r="C27" s="289"/>
      <c r="D27" s="289"/>
      <c r="E27" s="289"/>
      <c r="F27" s="289"/>
      <c r="G27" s="289"/>
      <c r="H27" s="289"/>
      <c r="I27" s="289"/>
      <c r="J27" s="289"/>
      <c r="K27" s="289"/>
      <c r="L27" s="293"/>
      <c r="M27" s="293"/>
      <c r="N27" s="293"/>
      <c r="O27" s="293"/>
      <c r="P27" s="293"/>
      <c r="Q27" s="293"/>
      <c r="R27" s="293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93"/>
      <c r="M28" s="293"/>
      <c r="N28" s="293"/>
      <c r="O28" s="293"/>
      <c r="P28" s="293"/>
      <c r="Q28" s="293"/>
      <c r="R28" s="293"/>
      <c r="S28" s="156"/>
      <c r="T28" s="156"/>
      <c r="U28" s="156"/>
      <c r="V28" s="156"/>
      <c r="W28" s="156"/>
      <c r="X28" s="156"/>
      <c r="Y28" s="156"/>
    </row>
    <row r="29" ht="18" customHeight="1" spans="1:25" x14ac:dyDescent="0.25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93"/>
      <c r="M29" s="293"/>
      <c r="N29" s="293"/>
      <c r="O29" s="293"/>
      <c r="P29" s="293"/>
      <c r="Q29" s="293"/>
      <c r="R29" s="293"/>
      <c r="S29" s="156"/>
      <c r="T29" s="156"/>
      <c r="U29" s="156"/>
      <c r="V29" s="156"/>
      <c r="W29" s="156"/>
      <c r="X29" s="156"/>
      <c r="Y29" s="156"/>
    </row>
    <row r="30" spans="1:25" x14ac:dyDescent="0.25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spans="1:25" x14ac:dyDescent="0.25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spans="1:25" x14ac:dyDescent="0.25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5" customHeight="1" spans="1:25" x14ac:dyDescent="0.25">
      <c r="A33" s="202"/>
      <c r="B33" s="202"/>
      <c r="C33" s="202"/>
      <c r="D33" s="202"/>
      <c r="E33" s="156"/>
      <c r="F33" s="156"/>
      <c r="G33" s="156"/>
      <c r="H33" s="156"/>
      <c r="I33" s="202"/>
      <c r="J33" s="202"/>
      <c r="K33" s="202"/>
      <c r="L33" s="156"/>
      <c r="M33" s="156"/>
      <c r="N33" s="156"/>
      <c r="O33" s="202"/>
      <c r="P33" s="202"/>
      <c r="Q33" s="202"/>
      <c r="R33" s="202"/>
      <c r="S33" s="156"/>
      <c r="T33" s="156"/>
      <c r="U33" s="156"/>
      <c r="V33" s="156"/>
      <c r="W33" s="156"/>
      <c r="X33" s="156"/>
      <c r="Y33" s="156"/>
    </row>
    <row r="34" spans="1:25" x14ac:dyDescent="0.25">
      <c r="A34" s="203" t="s">
        <v>23</v>
      </c>
      <c r="B34" s="203"/>
      <c r="C34" s="203"/>
      <c r="D34" s="203"/>
      <c r="E34" s="156"/>
      <c r="F34" s="156"/>
      <c r="G34" s="156"/>
      <c r="H34" s="156"/>
      <c r="I34" s="203" t="s">
        <v>63</v>
      </c>
      <c r="J34" s="203"/>
      <c r="K34" s="203"/>
      <c r="L34" s="156"/>
      <c r="M34" s="156"/>
      <c r="N34" s="156"/>
      <c r="O34" s="203" t="s">
        <v>24</v>
      </c>
      <c r="P34" s="203"/>
      <c r="Q34" s="203"/>
      <c r="R34" s="203"/>
      <c r="S34" s="156"/>
      <c r="T34" s="156"/>
      <c r="U34" s="156"/>
      <c r="V34" s="156"/>
      <c r="W34" s="156"/>
      <c r="X34" s="156"/>
      <c r="Y34" s="156"/>
    </row>
    <row r="35" spans="1:25" x14ac:dyDescent="0.25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spans="1:25" x14ac:dyDescent="0.25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</sheetData>
  <mergeCells count="70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4.25" outlineLevelRow="0" outlineLevelCol="0" x14ac:dyDescent="0" customHeight="1"/>
  <cols>
    <col min="1" max="2" width="7.625" style="156" customWidth="1"/>
    <col min="3" max="3" width="12.125" style="156" customWidth="1"/>
    <col min="4" max="4" width="7" style="156" customWidth="1"/>
    <col min="5" max="5" width="14.625" style="156" customWidth="1"/>
    <col min="6" max="6" width="13" style="156" customWidth="1"/>
    <col min="7" max="7" width="12.125" style="156" customWidth="1"/>
    <col min="8" max="8" width="13.625" style="156" customWidth="1"/>
    <col min="9" max="220" width="9" style="156" customWidth="1"/>
    <col min="221" max="221" width="9.125" style="156" customWidth="1"/>
    <col min="222" max="222" width="7.625" style="156" customWidth="1"/>
    <col min="223" max="223" width="12.125" style="156" customWidth="1"/>
    <col min="224" max="224" width="7" style="156" customWidth="1"/>
    <col min="225" max="225" width="16" style="156" customWidth="1"/>
    <col min="226" max="226" width="13" style="156" customWidth="1"/>
    <col min="227" max="227" width="12.125" style="156" customWidth="1"/>
    <col min="228" max="228" width="13.625" style="156" customWidth="1"/>
    <col min="229" max="476" width="9" style="156" customWidth="1"/>
    <col min="477" max="477" width="9.125" style="156" customWidth="1"/>
    <col min="478" max="478" width="7.625" style="156" customWidth="1"/>
    <col min="479" max="479" width="12.125" style="156" customWidth="1"/>
    <col min="480" max="480" width="7" style="156" customWidth="1"/>
    <col min="481" max="481" width="16" style="156" customWidth="1"/>
    <col min="482" max="482" width="13" style="156" customWidth="1"/>
    <col min="483" max="483" width="12.125" style="156" customWidth="1"/>
    <col min="484" max="484" width="13.625" style="156" customWidth="1"/>
    <col min="485" max="732" width="9" style="156" customWidth="1"/>
    <col min="733" max="733" width="9.125" style="156" customWidth="1"/>
    <col min="734" max="734" width="7.625" style="156" customWidth="1"/>
    <col min="735" max="735" width="12.125" style="156" customWidth="1"/>
    <col min="736" max="736" width="7" style="156" customWidth="1"/>
    <col min="737" max="737" width="16" style="156" customWidth="1"/>
    <col min="738" max="738" width="13" style="156" customWidth="1"/>
    <col min="739" max="739" width="12.125" style="156" customWidth="1"/>
    <col min="740" max="740" width="13.625" style="156" customWidth="1"/>
    <col min="741" max="988" width="9" style="156" customWidth="1"/>
    <col min="989" max="989" width="9.125" style="156" customWidth="1"/>
    <col min="990" max="990" width="7.625" style="156" customWidth="1"/>
    <col min="991" max="991" width="12.125" style="156" customWidth="1"/>
    <col min="992" max="992" width="7" style="156" customWidth="1"/>
    <col min="993" max="993" width="16" style="156" customWidth="1"/>
    <col min="994" max="994" width="13" style="156" customWidth="1"/>
    <col min="995" max="995" width="12.125" style="156" customWidth="1"/>
    <col min="996" max="996" width="13.625" style="156" customWidth="1"/>
    <col min="997" max="1244" width="9" style="156" customWidth="1"/>
    <col min="1245" max="1245" width="9.125" style="156" customWidth="1"/>
    <col min="1246" max="1246" width="7.625" style="156" customWidth="1"/>
    <col min="1247" max="1247" width="12.125" style="156" customWidth="1"/>
    <col min="1248" max="1248" width="7" style="156" customWidth="1"/>
    <col min="1249" max="1249" width="16" style="156" customWidth="1"/>
    <col min="1250" max="1250" width="13" style="156" customWidth="1"/>
    <col min="1251" max="1251" width="12.125" style="156" customWidth="1"/>
    <col min="1252" max="1252" width="13.625" style="156" customWidth="1"/>
    <col min="1253" max="1500" width="9" style="156" customWidth="1"/>
    <col min="1501" max="1501" width="9.125" style="156" customWidth="1"/>
    <col min="1502" max="1502" width="7.625" style="156" customWidth="1"/>
    <col min="1503" max="1503" width="12.125" style="156" customWidth="1"/>
    <col min="1504" max="1504" width="7" style="156" customWidth="1"/>
    <col min="1505" max="1505" width="16" style="156" customWidth="1"/>
    <col min="1506" max="1506" width="13" style="156" customWidth="1"/>
    <col min="1507" max="1507" width="12.125" style="156" customWidth="1"/>
    <col min="1508" max="1508" width="13.625" style="156" customWidth="1"/>
    <col min="1509" max="1756" width="9" style="156" customWidth="1"/>
    <col min="1757" max="1757" width="9.125" style="156" customWidth="1"/>
    <col min="1758" max="1758" width="7.625" style="156" customWidth="1"/>
    <col min="1759" max="1759" width="12.125" style="156" customWidth="1"/>
    <col min="1760" max="1760" width="7" style="156" customWidth="1"/>
    <col min="1761" max="1761" width="16" style="156" customWidth="1"/>
    <col min="1762" max="1762" width="13" style="156" customWidth="1"/>
    <col min="1763" max="1763" width="12.125" style="156" customWidth="1"/>
    <col min="1764" max="1764" width="13.625" style="156" customWidth="1"/>
    <col min="1765" max="2012" width="9" style="156" customWidth="1"/>
    <col min="2013" max="2013" width="9.125" style="156" customWidth="1"/>
    <col min="2014" max="2014" width="7.625" style="156" customWidth="1"/>
    <col min="2015" max="2015" width="12.125" style="156" customWidth="1"/>
    <col min="2016" max="2016" width="7" style="156" customWidth="1"/>
    <col min="2017" max="2017" width="16" style="156" customWidth="1"/>
    <col min="2018" max="2018" width="13" style="156" customWidth="1"/>
    <col min="2019" max="2019" width="12.125" style="156" customWidth="1"/>
    <col min="2020" max="2020" width="13.625" style="156" customWidth="1"/>
    <col min="2021" max="2268" width="9" style="156" customWidth="1"/>
    <col min="2269" max="2269" width="9.125" style="156" customWidth="1"/>
    <col min="2270" max="2270" width="7.625" style="156" customWidth="1"/>
    <col min="2271" max="2271" width="12.125" style="156" customWidth="1"/>
    <col min="2272" max="2272" width="7" style="156" customWidth="1"/>
    <col min="2273" max="2273" width="16" style="156" customWidth="1"/>
    <col min="2274" max="2274" width="13" style="156" customWidth="1"/>
    <col min="2275" max="2275" width="12.125" style="156" customWidth="1"/>
    <col min="2276" max="2276" width="13.625" style="156" customWidth="1"/>
    <col min="2277" max="2524" width="9" style="156" customWidth="1"/>
    <col min="2525" max="2525" width="9.125" style="156" customWidth="1"/>
    <col min="2526" max="2526" width="7.625" style="156" customWidth="1"/>
    <col min="2527" max="2527" width="12.125" style="156" customWidth="1"/>
    <col min="2528" max="2528" width="7" style="156" customWidth="1"/>
    <col min="2529" max="2529" width="16" style="156" customWidth="1"/>
    <col min="2530" max="2530" width="13" style="156" customWidth="1"/>
    <col min="2531" max="2531" width="12.125" style="156" customWidth="1"/>
    <col min="2532" max="2532" width="13.625" style="156" customWidth="1"/>
    <col min="2533" max="2780" width="9" style="156" customWidth="1"/>
    <col min="2781" max="2781" width="9.125" style="156" customWidth="1"/>
    <col min="2782" max="2782" width="7.625" style="156" customWidth="1"/>
    <col min="2783" max="2783" width="12.125" style="156" customWidth="1"/>
    <col min="2784" max="2784" width="7" style="156" customWidth="1"/>
    <col min="2785" max="2785" width="16" style="156" customWidth="1"/>
    <col min="2786" max="2786" width="13" style="156" customWidth="1"/>
    <col min="2787" max="2787" width="12.125" style="156" customWidth="1"/>
    <col min="2788" max="2788" width="13.625" style="156" customWidth="1"/>
    <col min="2789" max="3036" width="9" style="156" customWidth="1"/>
    <col min="3037" max="3037" width="9.125" style="156" customWidth="1"/>
    <col min="3038" max="3038" width="7.625" style="156" customWidth="1"/>
    <col min="3039" max="3039" width="12.125" style="156" customWidth="1"/>
    <col min="3040" max="3040" width="7" style="156" customWidth="1"/>
    <col min="3041" max="3041" width="16" style="156" customWidth="1"/>
    <col min="3042" max="3042" width="13" style="156" customWidth="1"/>
    <col min="3043" max="3043" width="12.125" style="156" customWidth="1"/>
    <col min="3044" max="3044" width="13.625" style="156" customWidth="1"/>
    <col min="3045" max="3292" width="9" style="156" customWidth="1"/>
    <col min="3293" max="3293" width="9.125" style="156" customWidth="1"/>
    <col min="3294" max="3294" width="7.625" style="156" customWidth="1"/>
    <col min="3295" max="3295" width="12.125" style="156" customWidth="1"/>
    <col min="3296" max="3296" width="7" style="156" customWidth="1"/>
    <col min="3297" max="3297" width="16" style="156" customWidth="1"/>
    <col min="3298" max="3298" width="13" style="156" customWidth="1"/>
    <col min="3299" max="3299" width="12.125" style="156" customWidth="1"/>
    <col min="3300" max="3300" width="13.625" style="156" customWidth="1"/>
    <col min="3301" max="3548" width="9" style="156" customWidth="1"/>
    <col min="3549" max="3549" width="9.125" style="156" customWidth="1"/>
    <col min="3550" max="3550" width="7.625" style="156" customWidth="1"/>
    <col min="3551" max="3551" width="12.125" style="156" customWidth="1"/>
    <col min="3552" max="3552" width="7" style="156" customWidth="1"/>
    <col min="3553" max="3553" width="16" style="156" customWidth="1"/>
    <col min="3554" max="3554" width="13" style="156" customWidth="1"/>
    <col min="3555" max="3555" width="12.125" style="156" customWidth="1"/>
    <col min="3556" max="3556" width="13.625" style="156" customWidth="1"/>
    <col min="3557" max="3804" width="9" style="156" customWidth="1"/>
    <col min="3805" max="3805" width="9.125" style="156" customWidth="1"/>
    <col min="3806" max="3806" width="7.625" style="156" customWidth="1"/>
    <col min="3807" max="3807" width="12.125" style="156" customWidth="1"/>
    <col min="3808" max="3808" width="7" style="156" customWidth="1"/>
    <col min="3809" max="3809" width="16" style="156" customWidth="1"/>
    <col min="3810" max="3810" width="13" style="156" customWidth="1"/>
    <col min="3811" max="3811" width="12.125" style="156" customWidth="1"/>
    <col min="3812" max="3812" width="13.625" style="156" customWidth="1"/>
    <col min="3813" max="4060" width="9" style="156" customWidth="1"/>
    <col min="4061" max="4061" width="9.125" style="156" customWidth="1"/>
    <col min="4062" max="4062" width="7.625" style="156" customWidth="1"/>
    <col min="4063" max="4063" width="12.125" style="156" customWidth="1"/>
    <col min="4064" max="4064" width="7" style="156" customWidth="1"/>
    <col min="4065" max="4065" width="16" style="156" customWidth="1"/>
    <col min="4066" max="4066" width="13" style="156" customWidth="1"/>
    <col min="4067" max="4067" width="12.125" style="156" customWidth="1"/>
    <col min="4068" max="4068" width="13.625" style="156" customWidth="1"/>
    <col min="4069" max="4316" width="9" style="156" customWidth="1"/>
    <col min="4317" max="4317" width="9.125" style="156" customWidth="1"/>
    <col min="4318" max="4318" width="7.625" style="156" customWidth="1"/>
    <col min="4319" max="4319" width="12.125" style="156" customWidth="1"/>
    <col min="4320" max="4320" width="7" style="156" customWidth="1"/>
    <col min="4321" max="4321" width="16" style="156" customWidth="1"/>
    <col min="4322" max="4322" width="13" style="156" customWidth="1"/>
    <col min="4323" max="4323" width="12.125" style="156" customWidth="1"/>
    <col min="4324" max="4324" width="13.625" style="156" customWidth="1"/>
    <col min="4325" max="4572" width="9" style="156" customWidth="1"/>
    <col min="4573" max="4573" width="9.125" style="156" customWidth="1"/>
    <col min="4574" max="4574" width="7.625" style="156" customWidth="1"/>
    <col min="4575" max="4575" width="12.125" style="156" customWidth="1"/>
    <col min="4576" max="4576" width="7" style="156" customWidth="1"/>
    <col min="4577" max="4577" width="16" style="156" customWidth="1"/>
    <col min="4578" max="4578" width="13" style="156" customWidth="1"/>
    <col min="4579" max="4579" width="12.125" style="156" customWidth="1"/>
    <col min="4580" max="4580" width="13.625" style="156" customWidth="1"/>
    <col min="4581" max="4828" width="9" style="156" customWidth="1"/>
    <col min="4829" max="4829" width="9.125" style="156" customWidth="1"/>
    <col min="4830" max="4830" width="7.625" style="156" customWidth="1"/>
    <col min="4831" max="4831" width="12.125" style="156" customWidth="1"/>
    <col min="4832" max="4832" width="7" style="156" customWidth="1"/>
    <col min="4833" max="4833" width="16" style="156" customWidth="1"/>
    <col min="4834" max="4834" width="13" style="156" customWidth="1"/>
    <col min="4835" max="4835" width="12.125" style="156" customWidth="1"/>
    <col min="4836" max="4836" width="13.625" style="156" customWidth="1"/>
    <col min="4837" max="5084" width="9" style="156" customWidth="1"/>
    <col min="5085" max="5085" width="9.125" style="156" customWidth="1"/>
    <col min="5086" max="5086" width="7.625" style="156" customWidth="1"/>
    <col min="5087" max="5087" width="12.125" style="156" customWidth="1"/>
    <col min="5088" max="5088" width="7" style="156" customWidth="1"/>
    <col min="5089" max="5089" width="16" style="156" customWidth="1"/>
    <col min="5090" max="5090" width="13" style="156" customWidth="1"/>
    <col min="5091" max="5091" width="12.125" style="156" customWidth="1"/>
    <col min="5092" max="5092" width="13.625" style="156" customWidth="1"/>
    <col min="5093" max="5340" width="9" style="156" customWidth="1"/>
    <col min="5341" max="5341" width="9.125" style="156" customWidth="1"/>
    <col min="5342" max="5342" width="7.625" style="156" customWidth="1"/>
    <col min="5343" max="5343" width="12.125" style="156" customWidth="1"/>
    <col min="5344" max="5344" width="7" style="156" customWidth="1"/>
    <col min="5345" max="5345" width="16" style="156" customWidth="1"/>
    <col min="5346" max="5346" width="13" style="156" customWidth="1"/>
    <col min="5347" max="5347" width="12.125" style="156" customWidth="1"/>
    <col min="5348" max="5348" width="13.625" style="156" customWidth="1"/>
    <col min="5349" max="5596" width="9" style="156" customWidth="1"/>
    <col min="5597" max="5597" width="9.125" style="156" customWidth="1"/>
    <col min="5598" max="5598" width="7.625" style="156" customWidth="1"/>
    <col min="5599" max="5599" width="12.125" style="156" customWidth="1"/>
    <col min="5600" max="5600" width="7" style="156" customWidth="1"/>
    <col min="5601" max="5601" width="16" style="156" customWidth="1"/>
    <col min="5602" max="5602" width="13" style="156" customWidth="1"/>
    <col min="5603" max="5603" width="12.125" style="156" customWidth="1"/>
    <col min="5604" max="5604" width="13.625" style="156" customWidth="1"/>
    <col min="5605" max="5852" width="9" style="156" customWidth="1"/>
    <col min="5853" max="5853" width="9.125" style="156" customWidth="1"/>
    <col min="5854" max="5854" width="7.625" style="156" customWidth="1"/>
    <col min="5855" max="5855" width="12.125" style="156" customWidth="1"/>
    <col min="5856" max="5856" width="7" style="156" customWidth="1"/>
    <col min="5857" max="5857" width="16" style="156" customWidth="1"/>
    <col min="5858" max="5858" width="13" style="156" customWidth="1"/>
    <col min="5859" max="5859" width="12.125" style="156" customWidth="1"/>
    <col min="5860" max="5860" width="13.625" style="156" customWidth="1"/>
    <col min="5861" max="6108" width="9" style="156" customWidth="1"/>
    <col min="6109" max="6109" width="9.125" style="156" customWidth="1"/>
    <col min="6110" max="6110" width="7.625" style="156" customWidth="1"/>
    <col min="6111" max="6111" width="12.125" style="156" customWidth="1"/>
    <col min="6112" max="6112" width="7" style="156" customWidth="1"/>
    <col min="6113" max="6113" width="16" style="156" customWidth="1"/>
    <col min="6114" max="6114" width="13" style="156" customWidth="1"/>
    <col min="6115" max="6115" width="12.125" style="156" customWidth="1"/>
    <col min="6116" max="6116" width="13.625" style="156" customWidth="1"/>
    <col min="6117" max="6364" width="9" style="156" customWidth="1"/>
    <col min="6365" max="6365" width="9.125" style="156" customWidth="1"/>
    <col min="6366" max="6366" width="7.625" style="156" customWidth="1"/>
    <col min="6367" max="6367" width="12.125" style="156" customWidth="1"/>
    <col min="6368" max="6368" width="7" style="156" customWidth="1"/>
    <col min="6369" max="6369" width="16" style="156" customWidth="1"/>
    <col min="6370" max="6370" width="13" style="156" customWidth="1"/>
    <col min="6371" max="6371" width="12.125" style="156" customWidth="1"/>
    <col min="6372" max="6372" width="13.625" style="156" customWidth="1"/>
    <col min="6373" max="6620" width="9" style="156" customWidth="1"/>
    <col min="6621" max="6621" width="9.125" style="156" customWidth="1"/>
    <col min="6622" max="6622" width="7.625" style="156" customWidth="1"/>
    <col min="6623" max="6623" width="12.125" style="156" customWidth="1"/>
    <col min="6624" max="6624" width="7" style="156" customWidth="1"/>
    <col min="6625" max="6625" width="16" style="156" customWidth="1"/>
    <col min="6626" max="6626" width="13" style="156" customWidth="1"/>
    <col min="6627" max="6627" width="12.125" style="156" customWidth="1"/>
    <col min="6628" max="6628" width="13.625" style="156" customWidth="1"/>
    <col min="6629" max="6876" width="9" style="156" customWidth="1"/>
    <col min="6877" max="6877" width="9.125" style="156" customWidth="1"/>
    <col min="6878" max="6878" width="7.625" style="156" customWidth="1"/>
    <col min="6879" max="6879" width="12.125" style="156" customWidth="1"/>
    <col min="6880" max="6880" width="7" style="156" customWidth="1"/>
    <col min="6881" max="6881" width="16" style="156" customWidth="1"/>
    <col min="6882" max="6882" width="13" style="156" customWidth="1"/>
    <col min="6883" max="6883" width="12.125" style="156" customWidth="1"/>
    <col min="6884" max="6884" width="13.625" style="156" customWidth="1"/>
    <col min="6885" max="7132" width="9" style="156" customWidth="1"/>
    <col min="7133" max="7133" width="9.125" style="156" customWidth="1"/>
    <col min="7134" max="7134" width="7.625" style="156" customWidth="1"/>
    <col min="7135" max="7135" width="12.125" style="156" customWidth="1"/>
    <col min="7136" max="7136" width="7" style="156" customWidth="1"/>
    <col min="7137" max="7137" width="16" style="156" customWidth="1"/>
    <col min="7138" max="7138" width="13" style="156" customWidth="1"/>
    <col min="7139" max="7139" width="12.125" style="156" customWidth="1"/>
    <col min="7140" max="7140" width="13.625" style="156" customWidth="1"/>
    <col min="7141" max="7388" width="9" style="156" customWidth="1"/>
    <col min="7389" max="7389" width="9.125" style="156" customWidth="1"/>
    <col min="7390" max="7390" width="7.625" style="156" customWidth="1"/>
    <col min="7391" max="7391" width="12.125" style="156" customWidth="1"/>
    <col min="7392" max="7392" width="7" style="156" customWidth="1"/>
    <col min="7393" max="7393" width="16" style="156" customWidth="1"/>
    <col min="7394" max="7394" width="13" style="156" customWidth="1"/>
    <col min="7395" max="7395" width="12.125" style="156" customWidth="1"/>
    <col min="7396" max="7396" width="13.625" style="156" customWidth="1"/>
    <col min="7397" max="7644" width="9" style="156" customWidth="1"/>
    <col min="7645" max="7645" width="9.125" style="156" customWidth="1"/>
    <col min="7646" max="7646" width="7.625" style="156" customWidth="1"/>
    <col min="7647" max="7647" width="12.125" style="156" customWidth="1"/>
    <col min="7648" max="7648" width="7" style="156" customWidth="1"/>
    <col min="7649" max="7649" width="16" style="156" customWidth="1"/>
    <col min="7650" max="7650" width="13" style="156" customWidth="1"/>
    <col min="7651" max="7651" width="12.125" style="156" customWidth="1"/>
    <col min="7652" max="7652" width="13.625" style="156" customWidth="1"/>
    <col min="7653" max="7900" width="9" style="156" customWidth="1"/>
    <col min="7901" max="7901" width="9.125" style="156" customWidth="1"/>
    <col min="7902" max="7902" width="7.625" style="156" customWidth="1"/>
    <col min="7903" max="7903" width="12.125" style="156" customWidth="1"/>
    <col min="7904" max="7904" width="7" style="156" customWidth="1"/>
    <col min="7905" max="7905" width="16" style="156" customWidth="1"/>
    <col min="7906" max="7906" width="13" style="156" customWidth="1"/>
    <col min="7907" max="7907" width="12.125" style="156" customWidth="1"/>
    <col min="7908" max="7908" width="13.625" style="156" customWidth="1"/>
    <col min="7909" max="8156" width="9" style="156" customWidth="1"/>
    <col min="8157" max="8157" width="9.125" style="156" customWidth="1"/>
    <col min="8158" max="8158" width="7.625" style="156" customWidth="1"/>
    <col min="8159" max="8159" width="12.125" style="156" customWidth="1"/>
    <col min="8160" max="8160" width="7" style="156" customWidth="1"/>
    <col min="8161" max="8161" width="16" style="156" customWidth="1"/>
    <col min="8162" max="8162" width="13" style="156" customWidth="1"/>
    <col min="8163" max="8163" width="12.125" style="156" customWidth="1"/>
    <col min="8164" max="8164" width="13.625" style="156" customWidth="1"/>
    <col min="8165" max="8412" width="9" style="156" customWidth="1"/>
    <col min="8413" max="8413" width="9.125" style="156" customWidth="1"/>
    <col min="8414" max="8414" width="7.625" style="156" customWidth="1"/>
    <col min="8415" max="8415" width="12.125" style="156" customWidth="1"/>
    <col min="8416" max="8416" width="7" style="156" customWidth="1"/>
    <col min="8417" max="8417" width="16" style="156" customWidth="1"/>
    <col min="8418" max="8418" width="13" style="156" customWidth="1"/>
    <col min="8419" max="8419" width="12.125" style="156" customWidth="1"/>
    <col min="8420" max="8420" width="13.625" style="156" customWidth="1"/>
    <col min="8421" max="8668" width="9" style="156" customWidth="1"/>
    <col min="8669" max="8669" width="9.125" style="156" customWidth="1"/>
    <col min="8670" max="8670" width="7.625" style="156" customWidth="1"/>
    <col min="8671" max="8671" width="12.125" style="156" customWidth="1"/>
    <col min="8672" max="8672" width="7" style="156" customWidth="1"/>
    <col min="8673" max="8673" width="16" style="156" customWidth="1"/>
    <col min="8674" max="8674" width="13" style="156" customWidth="1"/>
    <col min="8675" max="8675" width="12.125" style="156" customWidth="1"/>
    <col min="8676" max="8676" width="13.625" style="156" customWidth="1"/>
    <col min="8677" max="8924" width="9" style="156" customWidth="1"/>
    <col min="8925" max="8925" width="9.125" style="156" customWidth="1"/>
    <col min="8926" max="8926" width="7.625" style="156" customWidth="1"/>
    <col min="8927" max="8927" width="12.125" style="156" customWidth="1"/>
    <col min="8928" max="8928" width="7" style="156" customWidth="1"/>
    <col min="8929" max="8929" width="16" style="156" customWidth="1"/>
    <col min="8930" max="8930" width="13" style="156" customWidth="1"/>
    <col min="8931" max="8931" width="12.125" style="156" customWidth="1"/>
    <col min="8932" max="8932" width="13.625" style="156" customWidth="1"/>
    <col min="8933" max="9180" width="9" style="156" customWidth="1"/>
    <col min="9181" max="9181" width="9.125" style="156" customWidth="1"/>
    <col min="9182" max="9182" width="7.625" style="156" customWidth="1"/>
    <col min="9183" max="9183" width="12.125" style="156" customWidth="1"/>
    <col min="9184" max="9184" width="7" style="156" customWidth="1"/>
    <col min="9185" max="9185" width="16" style="156" customWidth="1"/>
    <col min="9186" max="9186" width="13" style="156" customWidth="1"/>
    <col min="9187" max="9187" width="12.125" style="156" customWidth="1"/>
    <col min="9188" max="9188" width="13.625" style="156" customWidth="1"/>
    <col min="9189" max="9436" width="9" style="156" customWidth="1"/>
    <col min="9437" max="9437" width="9.125" style="156" customWidth="1"/>
    <col min="9438" max="9438" width="7.625" style="156" customWidth="1"/>
    <col min="9439" max="9439" width="12.125" style="156" customWidth="1"/>
    <col min="9440" max="9440" width="7" style="156" customWidth="1"/>
    <col min="9441" max="9441" width="16" style="156" customWidth="1"/>
    <col min="9442" max="9442" width="13" style="156" customWidth="1"/>
    <col min="9443" max="9443" width="12.125" style="156" customWidth="1"/>
    <col min="9444" max="9444" width="13.625" style="156" customWidth="1"/>
    <col min="9445" max="9692" width="9" style="156" customWidth="1"/>
    <col min="9693" max="9693" width="9.125" style="156" customWidth="1"/>
    <col min="9694" max="9694" width="7.625" style="156" customWidth="1"/>
    <col min="9695" max="9695" width="12.125" style="156" customWidth="1"/>
    <col min="9696" max="9696" width="7" style="156" customWidth="1"/>
    <col min="9697" max="9697" width="16" style="156" customWidth="1"/>
    <col min="9698" max="9698" width="13" style="156" customWidth="1"/>
    <col min="9699" max="9699" width="12.125" style="156" customWidth="1"/>
    <col min="9700" max="9700" width="13.625" style="156" customWidth="1"/>
    <col min="9701" max="9948" width="9" style="156" customWidth="1"/>
    <col min="9949" max="9949" width="9.125" style="156" customWidth="1"/>
    <col min="9950" max="9950" width="7.625" style="156" customWidth="1"/>
    <col min="9951" max="9951" width="12.125" style="156" customWidth="1"/>
    <col min="9952" max="9952" width="7" style="156" customWidth="1"/>
    <col min="9953" max="9953" width="16" style="156" customWidth="1"/>
    <col min="9954" max="9954" width="13" style="156" customWidth="1"/>
    <col min="9955" max="9955" width="12.125" style="156" customWidth="1"/>
    <col min="9956" max="9956" width="13.625" style="156" customWidth="1"/>
    <col min="9957" max="10204" width="9" style="156" customWidth="1"/>
    <col min="10205" max="10205" width="9.125" style="156" customWidth="1"/>
    <col min="10206" max="10206" width="7.625" style="156" customWidth="1"/>
    <col min="10207" max="10207" width="12.125" style="156" customWidth="1"/>
    <col min="10208" max="10208" width="7" style="156" customWidth="1"/>
    <col min="10209" max="10209" width="16" style="156" customWidth="1"/>
    <col min="10210" max="10210" width="13" style="156" customWidth="1"/>
    <col min="10211" max="10211" width="12.125" style="156" customWidth="1"/>
    <col min="10212" max="10212" width="13.625" style="156" customWidth="1"/>
    <col min="10213" max="10460" width="9" style="156" customWidth="1"/>
    <col min="10461" max="10461" width="9.125" style="156" customWidth="1"/>
    <col min="10462" max="10462" width="7.625" style="156" customWidth="1"/>
    <col min="10463" max="10463" width="12.125" style="156" customWidth="1"/>
    <col min="10464" max="10464" width="7" style="156" customWidth="1"/>
    <col min="10465" max="10465" width="16" style="156" customWidth="1"/>
    <col min="10466" max="10466" width="13" style="156" customWidth="1"/>
    <col min="10467" max="10467" width="12.125" style="156" customWidth="1"/>
    <col min="10468" max="10468" width="13.625" style="156" customWidth="1"/>
    <col min="10469" max="10716" width="9" style="156" customWidth="1"/>
    <col min="10717" max="10717" width="9.125" style="156" customWidth="1"/>
    <col min="10718" max="10718" width="7.625" style="156" customWidth="1"/>
    <col min="10719" max="10719" width="12.125" style="156" customWidth="1"/>
    <col min="10720" max="10720" width="7" style="156" customWidth="1"/>
    <col min="10721" max="10721" width="16" style="156" customWidth="1"/>
    <col min="10722" max="10722" width="13" style="156" customWidth="1"/>
    <col min="10723" max="10723" width="12.125" style="156" customWidth="1"/>
    <col min="10724" max="10724" width="13.625" style="156" customWidth="1"/>
    <col min="10725" max="10972" width="9" style="156" customWidth="1"/>
    <col min="10973" max="10973" width="9.125" style="156" customWidth="1"/>
    <col min="10974" max="10974" width="7.625" style="156" customWidth="1"/>
    <col min="10975" max="10975" width="12.125" style="156" customWidth="1"/>
    <col min="10976" max="10976" width="7" style="156" customWidth="1"/>
    <col min="10977" max="10977" width="16" style="156" customWidth="1"/>
    <col min="10978" max="10978" width="13" style="156" customWidth="1"/>
    <col min="10979" max="10979" width="12.125" style="156" customWidth="1"/>
    <col min="10980" max="10980" width="13.625" style="156" customWidth="1"/>
    <col min="10981" max="11228" width="9" style="156" customWidth="1"/>
    <col min="11229" max="11229" width="9.125" style="156" customWidth="1"/>
    <col min="11230" max="11230" width="7.625" style="156" customWidth="1"/>
    <col min="11231" max="11231" width="12.125" style="156" customWidth="1"/>
    <col min="11232" max="11232" width="7" style="156" customWidth="1"/>
    <col min="11233" max="11233" width="16" style="156" customWidth="1"/>
    <col min="11234" max="11234" width="13" style="156" customWidth="1"/>
    <col min="11235" max="11235" width="12.125" style="156" customWidth="1"/>
    <col min="11236" max="11236" width="13.625" style="156" customWidth="1"/>
    <col min="11237" max="11484" width="9" style="156" customWidth="1"/>
    <col min="11485" max="11485" width="9.125" style="156" customWidth="1"/>
    <col min="11486" max="11486" width="7.625" style="156" customWidth="1"/>
    <col min="11487" max="11487" width="12.125" style="156" customWidth="1"/>
    <col min="11488" max="11488" width="7" style="156" customWidth="1"/>
    <col min="11489" max="11489" width="16" style="156" customWidth="1"/>
    <col min="11490" max="11490" width="13" style="156" customWidth="1"/>
    <col min="11491" max="11491" width="12.125" style="156" customWidth="1"/>
    <col min="11492" max="11492" width="13.625" style="156" customWidth="1"/>
    <col min="11493" max="11740" width="9" style="156" customWidth="1"/>
    <col min="11741" max="11741" width="9.125" style="156" customWidth="1"/>
    <col min="11742" max="11742" width="7.625" style="156" customWidth="1"/>
    <col min="11743" max="11743" width="12.125" style="156" customWidth="1"/>
    <col min="11744" max="11744" width="7" style="156" customWidth="1"/>
    <col min="11745" max="11745" width="16" style="156" customWidth="1"/>
    <col min="11746" max="11746" width="13" style="156" customWidth="1"/>
    <col min="11747" max="11747" width="12.125" style="156" customWidth="1"/>
    <col min="11748" max="11748" width="13.625" style="156" customWidth="1"/>
    <col min="11749" max="11996" width="9" style="156" customWidth="1"/>
    <col min="11997" max="11997" width="9.125" style="156" customWidth="1"/>
    <col min="11998" max="11998" width="7.625" style="156" customWidth="1"/>
    <col min="11999" max="11999" width="12.125" style="156" customWidth="1"/>
    <col min="12000" max="12000" width="7" style="156" customWidth="1"/>
    <col min="12001" max="12001" width="16" style="156" customWidth="1"/>
    <col min="12002" max="12002" width="13" style="156" customWidth="1"/>
    <col min="12003" max="12003" width="12.125" style="156" customWidth="1"/>
    <col min="12004" max="12004" width="13.625" style="156" customWidth="1"/>
    <col min="12005" max="12252" width="9" style="156" customWidth="1"/>
    <col min="12253" max="12253" width="9.125" style="156" customWidth="1"/>
    <col min="12254" max="12254" width="7.625" style="156" customWidth="1"/>
    <col min="12255" max="12255" width="12.125" style="156" customWidth="1"/>
    <col min="12256" max="12256" width="7" style="156" customWidth="1"/>
    <col min="12257" max="12257" width="16" style="156" customWidth="1"/>
    <col min="12258" max="12258" width="13" style="156" customWidth="1"/>
    <col min="12259" max="12259" width="12.125" style="156" customWidth="1"/>
    <col min="12260" max="12260" width="13.625" style="156" customWidth="1"/>
    <col min="12261" max="12508" width="9" style="156" customWidth="1"/>
    <col min="12509" max="12509" width="9.125" style="156" customWidth="1"/>
    <col min="12510" max="12510" width="7.625" style="156" customWidth="1"/>
    <col min="12511" max="12511" width="12.125" style="156" customWidth="1"/>
    <col min="12512" max="12512" width="7" style="156" customWidth="1"/>
    <col min="12513" max="12513" width="16" style="156" customWidth="1"/>
    <col min="12514" max="12514" width="13" style="156" customWidth="1"/>
    <col min="12515" max="12515" width="12.125" style="156" customWidth="1"/>
    <col min="12516" max="12516" width="13.625" style="156" customWidth="1"/>
    <col min="12517" max="12764" width="9" style="156" customWidth="1"/>
    <col min="12765" max="12765" width="9.125" style="156" customWidth="1"/>
    <col min="12766" max="12766" width="7.625" style="156" customWidth="1"/>
    <col min="12767" max="12767" width="12.125" style="156" customWidth="1"/>
    <col min="12768" max="12768" width="7" style="156" customWidth="1"/>
    <col min="12769" max="12769" width="16" style="156" customWidth="1"/>
    <col min="12770" max="12770" width="13" style="156" customWidth="1"/>
    <col min="12771" max="12771" width="12.125" style="156" customWidth="1"/>
    <col min="12772" max="12772" width="13.625" style="156" customWidth="1"/>
    <col min="12773" max="13020" width="9" style="156" customWidth="1"/>
    <col min="13021" max="13021" width="9.125" style="156" customWidth="1"/>
    <col min="13022" max="13022" width="7.625" style="156" customWidth="1"/>
    <col min="13023" max="13023" width="12.125" style="156" customWidth="1"/>
    <col min="13024" max="13024" width="7" style="156" customWidth="1"/>
    <col min="13025" max="13025" width="16" style="156" customWidth="1"/>
    <col min="13026" max="13026" width="13" style="156" customWidth="1"/>
    <col min="13027" max="13027" width="12.125" style="156" customWidth="1"/>
    <col min="13028" max="13028" width="13.625" style="156" customWidth="1"/>
    <col min="13029" max="13276" width="9" style="156" customWidth="1"/>
    <col min="13277" max="13277" width="9.125" style="156" customWidth="1"/>
    <col min="13278" max="13278" width="7.625" style="156" customWidth="1"/>
    <col min="13279" max="13279" width="12.125" style="156" customWidth="1"/>
    <col min="13280" max="13280" width="7" style="156" customWidth="1"/>
    <col min="13281" max="13281" width="16" style="156" customWidth="1"/>
    <col min="13282" max="13282" width="13" style="156" customWidth="1"/>
    <col min="13283" max="13283" width="12.125" style="156" customWidth="1"/>
    <col min="13284" max="13284" width="13.625" style="156" customWidth="1"/>
    <col min="13285" max="13532" width="9" style="156" customWidth="1"/>
    <col min="13533" max="13533" width="9.125" style="156" customWidth="1"/>
    <col min="13534" max="13534" width="7.625" style="156" customWidth="1"/>
    <col min="13535" max="13535" width="12.125" style="156" customWidth="1"/>
    <col min="13536" max="13536" width="7" style="156" customWidth="1"/>
    <col min="13537" max="13537" width="16" style="156" customWidth="1"/>
    <col min="13538" max="13538" width="13" style="156" customWidth="1"/>
    <col min="13539" max="13539" width="12.125" style="156" customWidth="1"/>
    <col min="13540" max="13540" width="13.625" style="156" customWidth="1"/>
    <col min="13541" max="13788" width="9" style="156" customWidth="1"/>
    <col min="13789" max="13789" width="9.125" style="156" customWidth="1"/>
    <col min="13790" max="13790" width="7.625" style="156" customWidth="1"/>
    <col min="13791" max="13791" width="12.125" style="156" customWidth="1"/>
    <col min="13792" max="13792" width="7" style="156" customWidth="1"/>
    <col min="13793" max="13793" width="16" style="156" customWidth="1"/>
    <col min="13794" max="13794" width="13" style="156" customWidth="1"/>
    <col min="13795" max="13795" width="12.125" style="156" customWidth="1"/>
    <col min="13796" max="13796" width="13.625" style="156" customWidth="1"/>
    <col min="13797" max="14044" width="9" style="156" customWidth="1"/>
    <col min="14045" max="14045" width="9.125" style="156" customWidth="1"/>
    <col min="14046" max="14046" width="7.625" style="156" customWidth="1"/>
    <col min="14047" max="14047" width="12.125" style="156" customWidth="1"/>
    <col min="14048" max="14048" width="7" style="156" customWidth="1"/>
    <col min="14049" max="14049" width="16" style="156" customWidth="1"/>
    <col min="14050" max="14050" width="13" style="156" customWidth="1"/>
    <col min="14051" max="14051" width="12.125" style="156" customWidth="1"/>
    <col min="14052" max="14052" width="13.625" style="156" customWidth="1"/>
    <col min="14053" max="14300" width="9" style="156" customWidth="1"/>
    <col min="14301" max="14301" width="9.125" style="156" customWidth="1"/>
    <col min="14302" max="14302" width="7.625" style="156" customWidth="1"/>
    <col min="14303" max="14303" width="12.125" style="156" customWidth="1"/>
    <col min="14304" max="14304" width="7" style="156" customWidth="1"/>
    <col min="14305" max="14305" width="16" style="156" customWidth="1"/>
    <col min="14306" max="14306" width="13" style="156" customWidth="1"/>
    <col min="14307" max="14307" width="12.125" style="156" customWidth="1"/>
    <col min="14308" max="14308" width="13.625" style="156" customWidth="1"/>
    <col min="14309" max="14556" width="9" style="156" customWidth="1"/>
    <col min="14557" max="14557" width="9.125" style="156" customWidth="1"/>
    <col min="14558" max="14558" width="7.625" style="156" customWidth="1"/>
    <col min="14559" max="14559" width="12.125" style="156" customWidth="1"/>
    <col min="14560" max="14560" width="7" style="156" customWidth="1"/>
    <col min="14561" max="14561" width="16" style="156" customWidth="1"/>
    <col min="14562" max="14562" width="13" style="156" customWidth="1"/>
    <col min="14563" max="14563" width="12.125" style="156" customWidth="1"/>
    <col min="14564" max="14564" width="13.625" style="156" customWidth="1"/>
    <col min="14565" max="14812" width="9" style="156" customWidth="1"/>
    <col min="14813" max="14813" width="9.125" style="156" customWidth="1"/>
    <col min="14814" max="14814" width="7.625" style="156" customWidth="1"/>
    <col min="14815" max="14815" width="12.125" style="156" customWidth="1"/>
    <col min="14816" max="14816" width="7" style="156" customWidth="1"/>
    <col min="14817" max="14817" width="16" style="156" customWidth="1"/>
    <col min="14818" max="14818" width="13" style="156" customWidth="1"/>
    <col min="14819" max="14819" width="12.125" style="156" customWidth="1"/>
    <col min="14820" max="14820" width="13.625" style="156" customWidth="1"/>
    <col min="14821" max="15068" width="9" style="156" customWidth="1"/>
    <col min="15069" max="15069" width="9.125" style="156" customWidth="1"/>
    <col min="15070" max="15070" width="7.625" style="156" customWidth="1"/>
    <col min="15071" max="15071" width="12.125" style="156" customWidth="1"/>
    <col min="15072" max="15072" width="7" style="156" customWidth="1"/>
    <col min="15073" max="15073" width="16" style="156" customWidth="1"/>
    <col min="15074" max="15074" width="13" style="156" customWidth="1"/>
    <col min="15075" max="15075" width="12.125" style="156" customWidth="1"/>
    <col min="15076" max="15076" width="13.625" style="156" customWidth="1"/>
    <col min="15077" max="15324" width="9" style="156" customWidth="1"/>
    <col min="15325" max="15325" width="9.125" style="156" customWidth="1"/>
    <col min="15326" max="15326" width="7.625" style="156" customWidth="1"/>
    <col min="15327" max="15327" width="12.125" style="156" customWidth="1"/>
    <col min="15328" max="15328" width="7" style="156" customWidth="1"/>
    <col min="15329" max="15329" width="16" style="156" customWidth="1"/>
    <col min="15330" max="15330" width="13" style="156" customWidth="1"/>
    <col min="15331" max="15331" width="12.125" style="156" customWidth="1"/>
    <col min="15332" max="15332" width="13.625" style="156" customWidth="1"/>
    <col min="15333" max="15580" width="9" style="156" customWidth="1"/>
    <col min="15581" max="15581" width="9.125" style="156" customWidth="1"/>
    <col min="15582" max="15582" width="7.625" style="156" customWidth="1"/>
    <col min="15583" max="15583" width="12.125" style="156" customWidth="1"/>
    <col min="15584" max="15584" width="7" style="156" customWidth="1"/>
    <col min="15585" max="15585" width="16" style="156" customWidth="1"/>
    <col min="15586" max="15586" width="13" style="156" customWidth="1"/>
    <col min="15587" max="15587" width="12.125" style="156" customWidth="1"/>
    <col min="15588" max="15588" width="13.625" style="156" customWidth="1"/>
    <col min="15589" max="15836" width="9" style="156" customWidth="1"/>
    <col min="15837" max="15837" width="9.125" style="156" customWidth="1"/>
    <col min="15838" max="15838" width="7.625" style="156" customWidth="1"/>
    <col min="15839" max="15839" width="12.125" style="156" customWidth="1"/>
    <col min="15840" max="15840" width="7" style="156" customWidth="1"/>
    <col min="15841" max="15841" width="16" style="156" customWidth="1"/>
    <col min="15842" max="15842" width="13" style="156" customWidth="1"/>
    <col min="15843" max="15843" width="12.125" style="156" customWidth="1"/>
    <col min="15844" max="15844" width="13.625" style="156" customWidth="1"/>
    <col min="15845" max="16092" width="9" style="156" customWidth="1"/>
    <col min="16093" max="16093" width="9.125" style="156" customWidth="1"/>
    <col min="16094" max="16094" width="7.625" style="156" customWidth="1"/>
    <col min="16095" max="16095" width="12.125" style="156" customWidth="1"/>
    <col min="16096" max="16096" width="7" style="156" customWidth="1"/>
    <col min="16097" max="16097" width="16" style="156" customWidth="1"/>
    <col min="16098" max="16098" width="13" style="156" customWidth="1"/>
    <col min="16099" max="16099" width="12.125" style="156" customWidth="1"/>
    <col min="16100" max="16100" width="13.625" style="156" customWidth="1"/>
    <col min="16101" max="16384" width="9" style="156" customWidth="1"/>
  </cols>
  <sheetData>
    <row r="1" ht="30" customHeight="1" spans="1:25" x14ac:dyDescent="0.25">
      <c r="A1" s="332" t="s">
        <v>25</v>
      </c>
      <c r="B1" s="332"/>
      <c r="C1" s="332"/>
      <c r="D1" s="332"/>
      <c r="E1" s="332"/>
      <c r="F1" s="332"/>
      <c r="G1" s="332"/>
      <c r="H1" s="332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5" customHeight="1" spans="1:25" x14ac:dyDescent="0.25">
      <c r="A2" s="333" t="s">
        <v>26</v>
      </c>
      <c r="B2" s="333"/>
      <c r="C2" s="333"/>
      <c r="D2" s="333"/>
      <c r="E2" s="333"/>
      <c r="F2" s="333"/>
      <c r="G2" s="333"/>
      <c r="H2" s="333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15" customHeight="1" spans="1:25" x14ac:dyDescent="0.25">
      <c r="A3" s="192"/>
      <c r="B3" s="192"/>
      <c r="C3" s="192"/>
      <c r="D3" s="192"/>
      <c r="E3" s="192"/>
      <c r="F3" s="334"/>
      <c r="G3" s="334"/>
      <c r="H3" s="334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13.9" customHeight="1" spans="1:25" x14ac:dyDescent="0.25">
      <c r="A4" s="207" t="s">
        <v>82</v>
      </c>
      <c r="B4" s="207"/>
      <c r="C4" s="207"/>
      <c r="D4" s="207"/>
      <c r="E4" s="335"/>
      <c r="F4" s="336" t="s">
        <v>83</v>
      </c>
      <c r="G4" s="208"/>
      <c r="H4" s="192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2.75" customHeight="1" spans="1:25" x14ac:dyDescent="0.25">
      <c r="A5" s="337"/>
      <c r="B5" s="335"/>
      <c r="C5" s="156"/>
      <c r="D5" s="156"/>
      <c r="E5" s="335"/>
      <c r="F5" s="338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ht="13.9" customHeight="1" spans="1:25" x14ac:dyDescent="0.25">
      <c r="A6" s="207" t="s">
        <v>84</v>
      </c>
      <c r="B6" s="207"/>
      <c r="C6" s="207"/>
      <c r="D6" s="156"/>
      <c r="E6" s="156" t="s">
        <v>40</v>
      </c>
      <c r="F6" s="336" t="s">
        <v>85</v>
      </c>
      <c r="G6" s="335" t="s">
        <v>26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15.75" customHeight="1" spans="1:25" x14ac:dyDescent="0.25">
      <c r="A7" s="335" t="s">
        <v>40</v>
      </c>
      <c r="B7" s="335"/>
      <c r="C7" s="156"/>
      <c r="D7" s="156"/>
      <c r="E7" s="156"/>
      <c r="F7" s="334"/>
      <c r="G7" s="156"/>
      <c r="H7" s="335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ht="30.75" customHeight="1" spans="1:25" x14ac:dyDescent="0.25">
      <c r="A8" s="156"/>
      <c r="B8" s="156"/>
      <c r="C8" s="339" t="s">
        <v>86</v>
      </c>
      <c r="D8" s="340"/>
      <c r="E8" s="340"/>
      <c r="F8" s="340"/>
      <c r="G8" s="341"/>
      <c r="H8" s="334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17.25" customHeight="1" spans="1:25" x14ac:dyDescent="0.25">
      <c r="A9" s="156"/>
      <c r="B9" s="156"/>
      <c r="C9" s="156"/>
      <c r="D9" s="156"/>
      <c r="E9" s="156"/>
      <c r="F9" s="156"/>
      <c r="G9" s="156"/>
      <c r="H9" s="192" t="s">
        <v>87</v>
      </c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23.1" customHeight="1" spans="1:25" s="342" customFormat="1" x14ac:dyDescent="0.25">
      <c r="A10" s="343" t="s">
        <v>88</v>
      </c>
      <c r="B10" s="344"/>
      <c r="C10" s="345"/>
      <c r="D10" s="346" t="s">
        <v>89</v>
      </c>
      <c r="E10" s="343" t="s">
        <v>90</v>
      </c>
      <c r="F10" s="345"/>
      <c r="G10" s="347" t="s">
        <v>91</v>
      </c>
      <c r="H10" s="347" t="s">
        <v>57</v>
      </c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</row>
    <row r="11" ht="23.1" customHeight="1" spans="1:25" s="342" customFormat="1" x14ac:dyDescent="0.25">
      <c r="A11" s="348" t="s">
        <v>92</v>
      </c>
      <c r="B11" s="349"/>
      <c r="C11" s="350" t="s">
        <v>93</v>
      </c>
      <c r="D11" s="351"/>
      <c r="E11" s="350" t="s">
        <v>92</v>
      </c>
      <c r="F11" s="350" t="s">
        <v>93</v>
      </c>
      <c r="G11" s="352"/>
      <c r="H11" s="35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</row>
    <row r="12" ht="23.1" customHeight="1" spans="1:25" s="342" customFormat="1" x14ac:dyDescent="0.25">
      <c r="A12" s="353"/>
      <c r="B12" s="353"/>
      <c r="C12" s="354"/>
      <c r="D12" s="355"/>
      <c r="E12" s="355"/>
      <c r="F12" s="354"/>
      <c r="G12" s="355"/>
      <c r="H12" s="356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</row>
    <row r="13" ht="23.1" customHeight="1" spans="1:25" s="342" customFormat="1" x14ac:dyDescent="0.25">
      <c r="A13" s="357"/>
      <c r="B13" s="357"/>
      <c r="C13" s="358"/>
      <c r="D13" s="359"/>
      <c r="E13" s="359"/>
      <c r="F13" s="358"/>
      <c r="G13" s="359"/>
      <c r="H13" s="357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</row>
    <row r="14" ht="23.1" customHeight="1" spans="1:25" s="342" customFormat="1" x14ac:dyDescent="0.25">
      <c r="A14" s="360"/>
      <c r="B14" s="361"/>
      <c r="C14" s="357"/>
      <c r="D14" s="359"/>
      <c r="E14" s="359"/>
      <c r="F14" s="362"/>
      <c r="G14" s="359"/>
      <c r="H14" s="357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</row>
    <row r="15" ht="23.1" customHeight="1" spans="1:25" s="342" customFormat="1" x14ac:dyDescent="0.25">
      <c r="A15" s="360"/>
      <c r="B15" s="361"/>
      <c r="C15" s="357"/>
      <c r="D15" s="359"/>
      <c r="E15" s="359"/>
      <c r="F15" s="362"/>
      <c r="G15" s="359"/>
      <c r="H15" s="357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</row>
    <row r="16" ht="23.1" customHeight="1" spans="1:25" s="342" customFormat="1" x14ac:dyDescent="0.25">
      <c r="A16" s="363"/>
      <c r="B16" s="364"/>
      <c r="C16" s="357"/>
      <c r="D16" s="359"/>
      <c r="E16" s="359"/>
      <c r="F16" s="362"/>
      <c r="G16" s="359"/>
      <c r="H16" s="357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</row>
    <row r="17" ht="23.1" customHeight="1" spans="1:25" s="342" customFormat="1" x14ac:dyDescent="0.25">
      <c r="A17" s="365"/>
      <c r="B17" s="366"/>
      <c r="C17" s="367"/>
      <c r="D17" s="368"/>
      <c r="E17" s="368"/>
      <c r="F17" s="369"/>
      <c r="G17" s="368"/>
      <c r="H17" s="367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</row>
    <row r="18" ht="23.1" customHeight="1" spans="1:25" s="342" customFormat="1" x14ac:dyDescent="0.25">
      <c r="A18" s="360"/>
      <c r="B18" s="361"/>
      <c r="C18" s="357"/>
      <c r="D18" s="359"/>
      <c r="E18" s="359"/>
      <c r="F18" s="362"/>
      <c r="G18" s="359"/>
      <c r="H18" s="357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</row>
    <row r="19" ht="23.1" customHeight="1" spans="1:25" s="342" customFormat="1" x14ac:dyDescent="0.25">
      <c r="A19" s="360"/>
      <c r="B19" s="361"/>
      <c r="C19" s="357"/>
      <c r="D19" s="359"/>
      <c r="E19" s="359"/>
      <c r="F19" s="362"/>
      <c r="G19" s="359"/>
      <c r="H19" s="357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</row>
    <row r="20" ht="23.1" customHeight="1" spans="1:25" s="342" customFormat="1" x14ac:dyDescent="0.25">
      <c r="A20" s="360"/>
      <c r="B20" s="361"/>
      <c r="C20" s="357"/>
      <c r="D20" s="359"/>
      <c r="E20" s="359"/>
      <c r="F20" s="362"/>
      <c r="G20" s="359"/>
      <c r="H20" s="357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</row>
    <row r="21" ht="23.1" customHeight="1" spans="1:25" s="342" customFormat="1" x14ac:dyDescent="0.25">
      <c r="A21" s="363"/>
      <c r="B21" s="364"/>
      <c r="C21" s="370"/>
      <c r="D21" s="371"/>
      <c r="E21" s="371"/>
      <c r="F21" s="372"/>
      <c r="G21" s="371"/>
      <c r="H21" s="370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</row>
    <row r="22" ht="23.1" customHeight="1" spans="1:25" s="342" customFormat="1" x14ac:dyDescent="0.25">
      <c r="A22" s="365"/>
      <c r="B22" s="366"/>
      <c r="C22" s="356"/>
      <c r="D22" s="355"/>
      <c r="E22" s="355"/>
      <c r="F22" s="373"/>
      <c r="G22" s="355"/>
      <c r="H22" s="356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</row>
    <row r="23" ht="23.1" customHeight="1" spans="1:25" s="342" customFormat="1" x14ac:dyDescent="0.25">
      <c r="A23" s="360"/>
      <c r="B23" s="361"/>
      <c r="C23" s="357"/>
      <c r="D23" s="359"/>
      <c r="E23" s="359"/>
      <c r="F23" s="362"/>
      <c r="G23" s="359"/>
      <c r="H23" s="357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</row>
    <row r="24" ht="23.1" customHeight="1" spans="1:25" s="342" customFormat="1" x14ac:dyDescent="0.25">
      <c r="A24" s="360"/>
      <c r="B24" s="361"/>
      <c r="C24" s="357"/>
      <c r="D24" s="359"/>
      <c r="E24" s="359"/>
      <c r="F24" s="362"/>
      <c r="G24" s="359"/>
      <c r="H24" s="357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</row>
    <row r="25" ht="23.1" customHeight="1" spans="1:25" s="342" customFormat="1" x14ac:dyDescent="0.25">
      <c r="A25" s="360"/>
      <c r="B25" s="361"/>
      <c r="C25" s="357"/>
      <c r="D25" s="359"/>
      <c r="E25" s="359"/>
      <c r="F25" s="362"/>
      <c r="G25" s="359"/>
      <c r="H25" s="357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</row>
    <row r="26" ht="23.1" customHeight="1" spans="1:25" s="342" customFormat="1" x14ac:dyDescent="0.25">
      <c r="A26" s="363"/>
      <c r="B26" s="364"/>
      <c r="C26" s="374"/>
      <c r="D26" s="375"/>
      <c r="E26" s="375"/>
      <c r="F26" s="376"/>
      <c r="G26" s="375"/>
      <c r="H26" s="374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</row>
    <row r="27" ht="23.1" customHeight="1" spans="1:25" s="342" customFormat="1" x14ac:dyDescent="0.25">
      <c r="A27" s="365"/>
      <c r="B27" s="366"/>
      <c r="C27" s="367"/>
      <c r="D27" s="367"/>
      <c r="E27" s="367"/>
      <c r="F27" s="377"/>
      <c r="G27" s="367"/>
      <c r="H27" s="367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</row>
    <row r="28" ht="23.1" customHeight="1" spans="1:25" s="342" customFormat="1" x14ac:dyDescent="0.25">
      <c r="A28" s="360"/>
      <c r="B28" s="361"/>
      <c r="C28" s="357"/>
      <c r="D28" s="357"/>
      <c r="E28" s="357"/>
      <c r="F28" s="378"/>
      <c r="G28" s="357"/>
      <c r="H28" s="357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</row>
    <row r="29" ht="23.1" customHeight="1" spans="1:25" s="342" customFormat="1" x14ac:dyDescent="0.25">
      <c r="A29" s="360"/>
      <c r="B29" s="361"/>
      <c r="C29" s="379"/>
      <c r="D29" s="379"/>
      <c r="E29" s="379"/>
      <c r="F29" s="380"/>
      <c r="G29" s="379"/>
      <c r="H29" s="379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</row>
    <row r="30" ht="23.1" customHeight="1" spans="1:25" s="342" customFormat="1" x14ac:dyDescent="0.25">
      <c r="A30" s="360"/>
      <c r="B30" s="361"/>
      <c r="C30" s="379"/>
      <c r="D30" s="379"/>
      <c r="E30" s="379"/>
      <c r="F30" s="380"/>
      <c r="G30" s="379"/>
      <c r="H30" s="379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</row>
    <row r="31" ht="23.1" customHeight="1" spans="1:25" s="342" customFormat="1" x14ac:dyDescent="0.25">
      <c r="A31" s="360"/>
      <c r="B31" s="361"/>
      <c r="C31" s="379"/>
      <c r="D31" s="379"/>
      <c r="E31" s="379"/>
      <c r="F31" s="380"/>
      <c r="G31" s="379"/>
      <c r="H31" s="379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</row>
    <row r="32" ht="9" customHeight="1" spans="1:25" x14ac:dyDescent="0.25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24" customHeight="1" spans="1:25" x14ac:dyDescent="0.25">
      <c r="A33" s="212" t="s">
        <v>94</v>
      </c>
      <c r="B33" s="210" t="s">
        <v>95</v>
      </c>
      <c r="C33" s="210">
        <v>1</v>
      </c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24" customHeight="1" spans="1:25" x14ac:dyDescent="0.25">
      <c r="A34" s="381"/>
      <c r="B34" s="210" t="s">
        <v>96</v>
      </c>
      <c r="C34" s="210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24" customHeight="1" spans="1:25" x14ac:dyDescent="0.25">
      <c r="A35" s="212" t="s">
        <v>97</v>
      </c>
      <c r="B35" s="210" t="s">
        <v>95</v>
      </c>
      <c r="C35" s="210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24" customHeight="1" spans="1:25" x14ac:dyDescent="0.25">
      <c r="A36" s="215"/>
      <c r="B36" s="213" t="s">
        <v>96</v>
      </c>
      <c r="C36" s="213"/>
      <c r="D36" s="156"/>
      <c r="E36" s="156"/>
      <c r="F36" s="156"/>
      <c r="G36" s="202"/>
      <c r="H36" s="202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24" customHeight="1" spans="1:25" x14ac:dyDescent="0.25">
      <c r="A37" s="382" t="s">
        <v>98</v>
      </c>
      <c r="B37" s="383"/>
      <c r="C37" s="210">
        <f>SUM(C33:C36)</f>
        <v>1</v>
      </c>
      <c r="D37" s="156"/>
      <c r="E37" s="156"/>
      <c r="F37" s="156"/>
      <c r="G37" s="203" t="s">
        <v>23</v>
      </c>
      <c r="H37" s="203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30" customHeight="1" spans="1:25" x14ac:dyDescent="0.25">
      <c r="A38" s="332" t="s">
        <v>25</v>
      </c>
      <c r="B38" s="332"/>
      <c r="C38" s="332"/>
      <c r="D38" s="332"/>
      <c r="E38" s="332"/>
      <c r="F38" s="332"/>
      <c r="G38" s="332"/>
      <c r="H38" s="332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ht="15" customHeight="1" spans="1:25" x14ac:dyDescent="0.25">
      <c r="A39" s="333" t="s">
        <v>26</v>
      </c>
      <c r="B39" s="333"/>
      <c r="C39" s="333"/>
      <c r="D39" s="333"/>
      <c r="E39" s="333"/>
      <c r="F39" s="333"/>
      <c r="G39" s="333"/>
      <c r="H39" s="333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ht="15" customHeight="1" spans="1:25" x14ac:dyDescent="0.25">
      <c r="A40" s="192"/>
      <c r="B40" s="192"/>
      <c r="C40" s="192"/>
      <c r="D40" s="192"/>
      <c r="E40" s="192"/>
      <c r="F40" s="334"/>
      <c r="G40" s="334"/>
      <c r="H40" s="334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ht="13.9" customHeight="1" spans="1:25" x14ac:dyDescent="0.25">
      <c r="A41" s="207" t="str">
        <f>A4</f>
        <v>M / V  :  SAWASDEE DENEB</v>
      </c>
      <c r="B41" s="207"/>
      <c r="C41" s="207"/>
      <c r="D41" s="207"/>
      <c r="E41" s="335"/>
      <c r="F41" s="336" t="s">
        <v>83</v>
      </c>
      <c r="G41" s="208">
        <f>'OS-OUT'!L6</f>
        <v>46218</v>
      </c>
      <c r="H41" s="192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ht="12.75" customHeight="1" spans="1:25" x14ac:dyDescent="0.25">
      <c r="A42" s="337"/>
      <c r="B42" s="335"/>
      <c r="C42" s="156"/>
      <c r="D42" s="156"/>
      <c r="E42" s="335"/>
      <c r="F42" s="338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  <row r="43" ht="13.9" customHeight="1" spans="1:25" x14ac:dyDescent="0.25">
      <c r="A43" s="207" t="s">
        <v>99</v>
      </c>
      <c r="B43" s="207"/>
      <c r="C43" s="207"/>
      <c r="D43" s="156"/>
      <c r="E43" s="156" t="s">
        <v>40</v>
      </c>
      <c r="F43" s="336" t="s">
        <v>85</v>
      </c>
      <c r="G43" s="335" t="s">
        <v>26</v>
      </c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</row>
    <row r="44" ht="15.75" customHeight="1" spans="1:25" x14ac:dyDescent="0.25">
      <c r="A44" s="335" t="s">
        <v>40</v>
      </c>
      <c r="B44" s="335"/>
      <c r="C44" s="156"/>
      <c r="D44" s="156"/>
      <c r="E44" s="156"/>
      <c r="F44" s="334"/>
      <c r="G44" s="156"/>
      <c r="H44" s="335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</row>
    <row r="45" ht="30.75" customHeight="1" spans="1:25" s="342" customFormat="1" x14ac:dyDescent="0.25">
      <c r="A45" s="342"/>
      <c r="B45" s="342"/>
      <c r="C45" s="384" t="s">
        <v>86</v>
      </c>
      <c r="D45" s="340"/>
      <c r="E45" s="340"/>
      <c r="F45" s="340"/>
      <c r="G45" s="341"/>
      <c r="H45" s="385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</row>
    <row r="46" ht="17.25" customHeight="1" spans="1:25" s="342" customFormat="1" x14ac:dyDescent="0.25">
      <c r="A46" s="342"/>
      <c r="B46" s="342"/>
      <c r="C46" s="342"/>
      <c r="D46" s="342"/>
      <c r="E46" s="342"/>
      <c r="F46" s="342"/>
      <c r="G46" s="342"/>
      <c r="H46" s="19" t="s">
        <v>100</v>
      </c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</row>
    <row r="47" ht="23.1" customHeight="1" spans="1:25" s="342" customFormat="1" x14ac:dyDescent="0.25">
      <c r="A47" s="343" t="s">
        <v>88</v>
      </c>
      <c r="B47" s="344"/>
      <c r="C47" s="345"/>
      <c r="D47" s="346" t="s">
        <v>89</v>
      </c>
      <c r="E47" s="343" t="s">
        <v>90</v>
      </c>
      <c r="F47" s="345"/>
      <c r="G47" s="347" t="s">
        <v>91</v>
      </c>
      <c r="H47" s="347" t="s">
        <v>57</v>
      </c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</row>
    <row r="48" ht="23.1" customHeight="1" spans="1:25" s="342" customFormat="1" x14ac:dyDescent="0.25">
      <c r="A48" s="348" t="s">
        <v>92</v>
      </c>
      <c r="B48" s="349"/>
      <c r="C48" s="350" t="s">
        <v>93</v>
      </c>
      <c r="D48" s="351"/>
      <c r="E48" s="350" t="s">
        <v>92</v>
      </c>
      <c r="F48" s="350" t="s">
        <v>93</v>
      </c>
      <c r="G48" s="352"/>
      <c r="H48" s="35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</row>
    <row r="49" ht="23.1" customHeight="1" spans="1:25" s="342" customFormat="1" x14ac:dyDescent="0.25">
      <c r="A49" s="353" t="s">
        <v>101</v>
      </c>
      <c r="B49" s="353"/>
      <c r="C49" s="386" t="s">
        <v>102</v>
      </c>
      <c r="D49" s="355" t="s">
        <v>15</v>
      </c>
      <c r="E49" s="355"/>
      <c r="F49" s="387" t="s">
        <v>103</v>
      </c>
      <c r="G49" s="355"/>
      <c r="H49" s="355" t="s">
        <v>104</v>
      </c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</row>
    <row r="50" ht="23.1" customHeight="1" spans="1:25" s="342" customFormat="1" x14ac:dyDescent="0.25">
      <c r="A50" s="357"/>
      <c r="B50" s="357"/>
      <c r="C50" s="388"/>
      <c r="D50" s="359"/>
      <c r="E50" s="359"/>
      <c r="F50" s="388"/>
      <c r="G50" s="359"/>
      <c r="H50" s="359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</row>
    <row r="51" ht="23.1" customHeight="1" spans="1:25" s="342" customFormat="1" x14ac:dyDescent="0.25">
      <c r="A51" s="357"/>
      <c r="B51" s="357"/>
      <c r="C51" s="362"/>
      <c r="D51" s="359"/>
      <c r="E51" s="359"/>
      <c r="F51" s="378"/>
      <c r="G51" s="359"/>
      <c r="H51" s="359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</row>
    <row r="52" ht="23.1" customHeight="1" spans="1:25" s="342" customFormat="1" x14ac:dyDescent="0.25">
      <c r="A52" s="389"/>
      <c r="B52" s="390"/>
      <c r="C52" s="391"/>
      <c r="D52" s="359"/>
      <c r="E52" s="359"/>
      <c r="F52" s="378"/>
      <c r="G52" s="359"/>
      <c r="H52" s="359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</row>
    <row r="53" ht="23.1" customHeight="1" spans="1:25" s="342" customFormat="1" x14ac:dyDescent="0.25">
      <c r="A53" s="392"/>
      <c r="B53" s="392"/>
      <c r="C53" s="392"/>
      <c r="D53" s="375"/>
      <c r="E53" s="375"/>
      <c r="F53" s="393"/>
      <c r="G53" s="375"/>
      <c r="H53" s="375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</row>
    <row r="54" ht="23.1" customHeight="1" spans="1:25" s="342" customFormat="1" x14ac:dyDescent="0.25">
      <c r="A54" s="394"/>
      <c r="B54" s="394"/>
      <c r="C54" s="394"/>
      <c r="D54" s="368"/>
      <c r="E54" s="368"/>
      <c r="F54" s="377"/>
      <c r="G54" s="368"/>
      <c r="H54" s="368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</row>
    <row r="55" ht="23.1" customHeight="1" spans="1:25" s="342" customFormat="1" x14ac:dyDescent="0.25">
      <c r="A55" s="391"/>
      <c r="B55" s="391"/>
      <c r="C55" s="391"/>
      <c r="D55" s="359"/>
      <c r="E55" s="359"/>
      <c r="F55" s="378"/>
      <c r="G55" s="359"/>
      <c r="H55" s="359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</row>
    <row r="56" ht="23.1" customHeight="1" spans="1:25" s="342" customFormat="1" x14ac:dyDescent="0.25">
      <c r="A56" s="391"/>
      <c r="B56" s="391"/>
      <c r="C56" s="391"/>
      <c r="D56" s="359"/>
      <c r="E56" s="359"/>
      <c r="F56" s="378"/>
      <c r="G56" s="359"/>
      <c r="H56" s="359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</row>
    <row r="57" ht="23.1" customHeight="1" spans="1:25" s="342" customFormat="1" x14ac:dyDescent="0.25">
      <c r="A57" s="359"/>
      <c r="B57" s="359"/>
      <c r="C57" s="362"/>
      <c r="D57" s="359"/>
      <c r="E57" s="359"/>
      <c r="F57" s="378"/>
      <c r="G57" s="359"/>
      <c r="H57" s="359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</row>
    <row r="58" ht="23.1" customHeight="1" spans="1:25" s="342" customFormat="1" x14ac:dyDescent="0.25">
      <c r="A58" s="371"/>
      <c r="B58" s="371"/>
      <c r="C58" s="372"/>
      <c r="D58" s="371"/>
      <c r="E58" s="371"/>
      <c r="F58" s="372"/>
      <c r="G58" s="371"/>
      <c r="H58" s="371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</row>
    <row r="59" ht="23.1" customHeight="1" spans="1:25" s="342" customFormat="1" x14ac:dyDescent="0.25">
      <c r="A59" s="355"/>
      <c r="B59" s="355"/>
      <c r="C59" s="395"/>
      <c r="D59" s="355"/>
      <c r="E59" s="355"/>
      <c r="F59" s="373"/>
      <c r="G59" s="355"/>
      <c r="H59" s="355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</row>
    <row r="60" ht="23.1" customHeight="1" spans="1:25" s="342" customFormat="1" x14ac:dyDescent="0.25">
      <c r="A60" s="359"/>
      <c r="B60" s="359"/>
      <c r="C60" s="391"/>
      <c r="D60" s="359"/>
      <c r="E60" s="359"/>
      <c r="F60" s="362"/>
      <c r="G60" s="359"/>
      <c r="H60" s="359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</row>
    <row r="61" ht="23.1" customHeight="1" spans="1:25" s="342" customFormat="1" x14ac:dyDescent="0.25">
      <c r="A61" s="359"/>
      <c r="B61" s="359"/>
      <c r="C61" s="362"/>
      <c r="D61" s="359"/>
      <c r="E61" s="359"/>
      <c r="F61" s="362"/>
      <c r="G61" s="359"/>
      <c r="H61" s="359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</row>
    <row r="62" ht="23.1" customHeight="1" spans="1:25" s="342" customFormat="1" x14ac:dyDescent="0.25">
      <c r="A62" s="359"/>
      <c r="B62" s="359"/>
      <c r="C62" s="362"/>
      <c r="D62" s="359"/>
      <c r="E62" s="359"/>
      <c r="F62" s="362"/>
      <c r="G62" s="359"/>
      <c r="H62" s="359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</row>
    <row r="63" ht="23.1" customHeight="1" spans="1:25" s="342" customFormat="1" x14ac:dyDescent="0.25">
      <c r="A63" s="371"/>
      <c r="B63" s="371"/>
      <c r="C63" s="372"/>
      <c r="D63" s="371"/>
      <c r="E63" s="371"/>
      <c r="F63" s="372"/>
      <c r="G63" s="371"/>
      <c r="H63" s="37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</row>
    <row r="64" ht="23.1" customHeight="1" spans="1:25" s="342" customFormat="1" x14ac:dyDescent="0.25">
      <c r="A64" s="368"/>
      <c r="B64" s="368"/>
      <c r="C64" s="369"/>
      <c r="D64" s="368"/>
      <c r="E64" s="368"/>
      <c r="F64" s="369"/>
      <c r="G64" s="368"/>
      <c r="H64" s="368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</row>
    <row r="65" ht="23.1" customHeight="1" spans="1:25" s="342" customFormat="1" x14ac:dyDescent="0.25">
      <c r="A65" s="359"/>
      <c r="B65" s="359"/>
      <c r="C65" s="362"/>
      <c r="D65" s="359"/>
      <c r="E65" s="359"/>
      <c r="F65" s="362"/>
      <c r="G65" s="359"/>
      <c r="H65" s="359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</row>
    <row r="66" ht="23.1" customHeight="1" spans="1:25" s="342" customFormat="1" x14ac:dyDescent="0.25">
      <c r="A66" s="359"/>
      <c r="B66" s="359"/>
      <c r="C66" s="362"/>
      <c r="D66" s="359"/>
      <c r="E66" s="359"/>
      <c r="F66" s="362"/>
      <c r="G66" s="359"/>
      <c r="H66" s="359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</row>
    <row r="67" ht="23.1" customHeight="1" spans="1:25" s="342" customFormat="1" x14ac:dyDescent="0.25">
      <c r="A67" s="359"/>
      <c r="B67" s="359"/>
      <c r="C67" s="362"/>
      <c r="D67" s="359"/>
      <c r="E67" s="359"/>
      <c r="F67" s="362"/>
      <c r="G67" s="359"/>
      <c r="H67" s="359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</row>
    <row r="68" ht="23.1" customHeight="1" spans="1:25" s="342" customFormat="1" x14ac:dyDescent="0.25">
      <c r="A68" s="359"/>
      <c r="B68" s="359"/>
      <c r="C68" s="362"/>
      <c r="D68" s="359"/>
      <c r="E68" s="359"/>
      <c r="F68" s="362"/>
      <c r="G68" s="359"/>
      <c r="H68" s="359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</row>
    <row r="69" ht="9" customHeight="1" spans="1:25" x14ac:dyDescent="0.2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</row>
    <row r="70" ht="24" customHeight="1" spans="1:25" x14ac:dyDescent="0.25">
      <c r="A70" s="212" t="s">
        <v>94</v>
      </c>
      <c r="B70" s="210" t="s">
        <v>95</v>
      </c>
      <c r="C70" s="210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</row>
    <row r="71" ht="24" customHeight="1" spans="1:25" x14ac:dyDescent="0.25">
      <c r="A71" s="381"/>
      <c r="B71" s="210" t="s">
        <v>96</v>
      </c>
      <c r="C71" s="210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</row>
    <row r="72" ht="24" customHeight="1" spans="1:25" x14ac:dyDescent="0.25">
      <c r="A72" s="212" t="s">
        <v>97</v>
      </c>
      <c r="B72" s="210" t="s">
        <v>95</v>
      </c>
      <c r="C72" s="210">
        <v>1</v>
      </c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</row>
    <row r="73" ht="24" customHeight="1" spans="1:25" x14ac:dyDescent="0.25">
      <c r="A73" s="215"/>
      <c r="B73" s="213" t="s">
        <v>96</v>
      </c>
      <c r="C73" s="213"/>
      <c r="D73" s="156"/>
      <c r="E73" s="156"/>
      <c r="F73" s="156"/>
      <c r="G73" s="202"/>
      <c r="H73" s="202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</row>
    <row r="74" ht="24" customHeight="1" spans="1:25" x14ac:dyDescent="0.25">
      <c r="A74" s="382" t="s">
        <v>98</v>
      </c>
      <c r="B74" s="383"/>
      <c r="C74" s="210">
        <f>SUM(C70:C73)</f>
        <v>1</v>
      </c>
      <c r="D74" s="156"/>
      <c r="E74" s="156"/>
      <c r="F74" s="156"/>
      <c r="G74" s="203" t="s">
        <v>23</v>
      </c>
      <c r="H74" s="203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</row>
    <row r="75" spans="1:25" x14ac:dyDescent="0.2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</row>
    <row r="76" spans="1:25" x14ac:dyDescent="0.25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</row>
    <row r="77" spans="1:25" x14ac:dyDescent="0.25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</row>
    <row r="78" spans="1:25" x14ac:dyDescent="0.25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</row>
    <row r="79" spans="1:25" x14ac:dyDescent="0.25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13.875" style="1" customWidth="1"/>
    <col min="2" max="2" width="12.125" style="1" customWidth="1"/>
    <col min="3" max="3" width="8.125" style="1" customWidth="1"/>
    <col min="4" max="4" width="8.5" style="1" customWidth="1"/>
    <col min="5" max="5" width="5.625" style="1" customWidth="1"/>
    <col min="6" max="7" width="8.375" style="1" customWidth="1"/>
    <col min="8" max="9" width="11.125" style="1" customWidth="1"/>
    <col min="10" max="221" width="9" style="1" customWidth="1"/>
    <col min="222" max="222" width="13.875" style="1" customWidth="1"/>
    <col min="223" max="223" width="9.875" style="1" customWidth="1"/>
    <col min="224" max="224" width="8.375" style="1" customWidth="1"/>
    <col min="225" max="225" width="8.25" style="1" customWidth="1"/>
    <col min="226" max="226" width="5.625" style="1" customWidth="1"/>
    <col min="227" max="228" width="8.375" style="1" customWidth="1"/>
    <col min="229" max="229" width="11.125" style="1" customWidth="1"/>
    <col min="230" max="230" width="11.625" style="1" customWidth="1"/>
    <col min="231" max="477" width="9" style="1" customWidth="1"/>
    <col min="478" max="478" width="13.875" style="1" customWidth="1"/>
    <col min="479" max="479" width="9.875" style="1" customWidth="1"/>
    <col min="480" max="480" width="8.375" style="1" customWidth="1"/>
    <col min="481" max="481" width="8.25" style="1" customWidth="1"/>
    <col min="482" max="482" width="5.625" style="1" customWidth="1"/>
    <col min="483" max="484" width="8.375" style="1" customWidth="1"/>
    <col min="485" max="485" width="11.125" style="1" customWidth="1"/>
    <col min="486" max="486" width="11.625" style="1" customWidth="1"/>
    <col min="487" max="733" width="9" style="1" customWidth="1"/>
    <col min="734" max="734" width="13.875" style="1" customWidth="1"/>
    <col min="735" max="735" width="9.875" style="1" customWidth="1"/>
    <col min="736" max="736" width="8.375" style="1" customWidth="1"/>
    <col min="737" max="737" width="8.25" style="1" customWidth="1"/>
    <col min="738" max="738" width="5.625" style="1" customWidth="1"/>
    <col min="739" max="740" width="8.375" style="1" customWidth="1"/>
    <col min="741" max="741" width="11.125" style="1" customWidth="1"/>
    <col min="742" max="742" width="11.625" style="1" customWidth="1"/>
    <col min="743" max="989" width="9" style="1" customWidth="1"/>
    <col min="990" max="990" width="13.875" style="1" customWidth="1"/>
    <col min="991" max="991" width="9.875" style="1" customWidth="1"/>
    <col min="992" max="992" width="8.375" style="1" customWidth="1"/>
    <col min="993" max="993" width="8.25" style="1" customWidth="1"/>
    <col min="994" max="994" width="5.625" style="1" customWidth="1"/>
    <col min="995" max="996" width="8.375" style="1" customWidth="1"/>
    <col min="997" max="997" width="11.125" style="1" customWidth="1"/>
    <col min="998" max="998" width="11.625" style="1" customWidth="1"/>
    <col min="999" max="1245" width="9" style="1" customWidth="1"/>
    <col min="1246" max="1246" width="13.875" style="1" customWidth="1"/>
    <col min="1247" max="1247" width="9.875" style="1" customWidth="1"/>
    <col min="1248" max="1248" width="8.375" style="1" customWidth="1"/>
    <col min="1249" max="1249" width="8.25" style="1" customWidth="1"/>
    <col min="1250" max="1250" width="5.625" style="1" customWidth="1"/>
    <col min="1251" max="1252" width="8.375" style="1" customWidth="1"/>
    <col min="1253" max="1253" width="11.125" style="1" customWidth="1"/>
    <col min="1254" max="1254" width="11.625" style="1" customWidth="1"/>
    <col min="1255" max="1501" width="9" style="1" customWidth="1"/>
    <col min="1502" max="1502" width="13.875" style="1" customWidth="1"/>
    <col min="1503" max="1503" width="9.875" style="1" customWidth="1"/>
    <col min="1504" max="1504" width="8.375" style="1" customWidth="1"/>
    <col min="1505" max="1505" width="8.25" style="1" customWidth="1"/>
    <col min="1506" max="1506" width="5.625" style="1" customWidth="1"/>
    <col min="1507" max="1508" width="8.375" style="1" customWidth="1"/>
    <col min="1509" max="1509" width="11.125" style="1" customWidth="1"/>
    <col min="1510" max="1510" width="11.625" style="1" customWidth="1"/>
    <col min="1511" max="1757" width="9" style="1" customWidth="1"/>
    <col min="1758" max="1758" width="13.875" style="1" customWidth="1"/>
    <col min="1759" max="1759" width="9.875" style="1" customWidth="1"/>
    <col min="1760" max="1760" width="8.375" style="1" customWidth="1"/>
    <col min="1761" max="1761" width="8.25" style="1" customWidth="1"/>
    <col min="1762" max="1762" width="5.625" style="1" customWidth="1"/>
    <col min="1763" max="1764" width="8.375" style="1" customWidth="1"/>
    <col min="1765" max="1765" width="11.125" style="1" customWidth="1"/>
    <col min="1766" max="1766" width="11.625" style="1" customWidth="1"/>
    <col min="1767" max="2013" width="9" style="1" customWidth="1"/>
    <col min="2014" max="2014" width="13.875" style="1" customWidth="1"/>
    <col min="2015" max="2015" width="9.875" style="1" customWidth="1"/>
    <col min="2016" max="2016" width="8.375" style="1" customWidth="1"/>
    <col min="2017" max="2017" width="8.25" style="1" customWidth="1"/>
    <col min="2018" max="2018" width="5.625" style="1" customWidth="1"/>
    <col min="2019" max="2020" width="8.375" style="1" customWidth="1"/>
    <col min="2021" max="2021" width="11.125" style="1" customWidth="1"/>
    <col min="2022" max="2022" width="11.625" style="1" customWidth="1"/>
    <col min="2023" max="2269" width="9" style="1" customWidth="1"/>
    <col min="2270" max="2270" width="13.875" style="1" customWidth="1"/>
    <col min="2271" max="2271" width="9.875" style="1" customWidth="1"/>
    <col min="2272" max="2272" width="8.375" style="1" customWidth="1"/>
    <col min="2273" max="2273" width="8.25" style="1" customWidth="1"/>
    <col min="2274" max="2274" width="5.625" style="1" customWidth="1"/>
    <col min="2275" max="2276" width="8.375" style="1" customWidth="1"/>
    <col min="2277" max="2277" width="11.125" style="1" customWidth="1"/>
    <col min="2278" max="2278" width="11.625" style="1" customWidth="1"/>
    <col min="2279" max="2525" width="9" style="1" customWidth="1"/>
    <col min="2526" max="2526" width="13.875" style="1" customWidth="1"/>
    <col min="2527" max="2527" width="9.875" style="1" customWidth="1"/>
    <col min="2528" max="2528" width="8.375" style="1" customWidth="1"/>
    <col min="2529" max="2529" width="8.25" style="1" customWidth="1"/>
    <col min="2530" max="2530" width="5.625" style="1" customWidth="1"/>
    <col min="2531" max="2532" width="8.375" style="1" customWidth="1"/>
    <col min="2533" max="2533" width="11.125" style="1" customWidth="1"/>
    <col min="2534" max="2534" width="11.625" style="1" customWidth="1"/>
    <col min="2535" max="2781" width="9" style="1" customWidth="1"/>
    <col min="2782" max="2782" width="13.875" style="1" customWidth="1"/>
    <col min="2783" max="2783" width="9.875" style="1" customWidth="1"/>
    <col min="2784" max="2784" width="8.375" style="1" customWidth="1"/>
    <col min="2785" max="2785" width="8.25" style="1" customWidth="1"/>
    <col min="2786" max="2786" width="5.625" style="1" customWidth="1"/>
    <col min="2787" max="2788" width="8.375" style="1" customWidth="1"/>
    <col min="2789" max="2789" width="11.125" style="1" customWidth="1"/>
    <col min="2790" max="2790" width="11.625" style="1" customWidth="1"/>
    <col min="2791" max="3037" width="9" style="1" customWidth="1"/>
    <col min="3038" max="3038" width="13.875" style="1" customWidth="1"/>
    <col min="3039" max="3039" width="9.875" style="1" customWidth="1"/>
    <col min="3040" max="3040" width="8.375" style="1" customWidth="1"/>
    <col min="3041" max="3041" width="8.25" style="1" customWidth="1"/>
    <col min="3042" max="3042" width="5.625" style="1" customWidth="1"/>
    <col min="3043" max="3044" width="8.375" style="1" customWidth="1"/>
    <col min="3045" max="3045" width="11.125" style="1" customWidth="1"/>
    <col min="3046" max="3046" width="11.625" style="1" customWidth="1"/>
    <col min="3047" max="3293" width="9" style="1" customWidth="1"/>
    <col min="3294" max="3294" width="13.875" style="1" customWidth="1"/>
    <col min="3295" max="3295" width="9.875" style="1" customWidth="1"/>
    <col min="3296" max="3296" width="8.375" style="1" customWidth="1"/>
    <col min="3297" max="3297" width="8.25" style="1" customWidth="1"/>
    <col min="3298" max="3298" width="5.625" style="1" customWidth="1"/>
    <col min="3299" max="3300" width="8.375" style="1" customWidth="1"/>
    <col min="3301" max="3301" width="11.125" style="1" customWidth="1"/>
    <col min="3302" max="3302" width="11.625" style="1" customWidth="1"/>
    <col min="3303" max="3549" width="9" style="1" customWidth="1"/>
    <col min="3550" max="3550" width="13.875" style="1" customWidth="1"/>
    <col min="3551" max="3551" width="9.875" style="1" customWidth="1"/>
    <col min="3552" max="3552" width="8.375" style="1" customWidth="1"/>
    <col min="3553" max="3553" width="8.25" style="1" customWidth="1"/>
    <col min="3554" max="3554" width="5.625" style="1" customWidth="1"/>
    <col min="3555" max="3556" width="8.375" style="1" customWidth="1"/>
    <col min="3557" max="3557" width="11.125" style="1" customWidth="1"/>
    <col min="3558" max="3558" width="11.625" style="1" customWidth="1"/>
    <col min="3559" max="3805" width="9" style="1" customWidth="1"/>
    <col min="3806" max="3806" width="13.875" style="1" customWidth="1"/>
    <col min="3807" max="3807" width="9.875" style="1" customWidth="1"/>
    <col min="3808" max="3808" width="8.375" style="1" customWidth="1"/>
    <col min="3809" max="3809" width="8.25" style="1" customWidth="1"/>
    <col min="3810" max="3810" width="5.625" style="1" customWidth="1"/>
    <col min="3811" max="3812" width="8.375" style="1" customWidth="1"/>
    <col min="3813" max="3813" width="11.125" style="1" customWidth="1"/>
    <col min="3814" max="3814" width="11.625" style="1" customWidth="1"/>
    <col min="3815" max="4061" width="9" style="1" customWidth="1"/>
    <col min="4062" max="4062" width="13.875" style="1" customWidth="1"/>
    <col min="4063" max="4063" width="9.875" style="1" customWidth="1"/>
    <col min="4064" max="4064" width="8.375" style="1" customWidth="1"/>
    <col min="4065" max="4065" width="8.25" style="1" customWidth="1"/>
    <col min="4066" max="4066" width="5.625" style="1" customWidth="1"/>
    <col min="4067" max="4068" width="8.375" style="1" customWidth="1"/>
    <col min="4069" max="4069" width="11.125" style="1" customWidth="1"/>
    <col min="4070" max="4070" width="11.625" style="1" customWidth="1"/>
    <col min="4071" max="4317" width="9" style="1" customWidth="1"/>
    <col min="4318" max="4318" width="13.875" style="1" customWidth="1"/>
    <col min="4319" max="4319" width="9.875" style="1" customWidth="1"/>
    <col min="4320" max="4320" width="8.375" style="1" customWidth="1"/>
    <col min="4321" max="4321" width="8.25" style="1" customWidth="1"/>
    <col min="4322" max="4322" width="5.625" style="1" customWidth="1"/>
    <col min="4323" max="4324" width="8.375" style="1" customWidth="1"/>
    <col min="4325" max="4325" width="11.125" style="1" customWidth="1"/>
    <col min="4326" max="4326" width="11.625" style="1" customWidth="1"/>
    <col min="4327" max="4573" width="9" style="1" customWidth="1"/>
    <col min="4574" max="4574" width="13.875" style="1" customWidth="1"/>
    <col min="4575" max="4575" width="9.875" style="1" customWidth="1"/>
    <col min="4576" max="4576" width="8.375" style="1" customWidth="1"/>
    <col min="4577" max="4577" width="8.25" style="1" customWidth="1"/>
    <col min="4578" max="4578" width="5.625" style="1" customWidth="1"/>
    <col min="4579" max="4580" width="8.375" style="1" customWidth="1"/>
    <col min="4581" max="4581" width="11.125" style="1" customWidth="1"/>
    <col min="4582" max="4582" width="11.625" style="1" customWidth="1"/>
    <col min="4583" max="4829" width="9" style="1" customWidth="1"/>
    <col min="4830" max="4830" width="13.875" style="1" customWidth="1"/>
    <col min="4831" max="4831" width="9.875" style="1" customWidth="1"/>
    <col min="4832" max="4832" width="8.375" style="1" customWidth="1"/>
    <col min="4833" max="4833" width="8.25" style="1" customWidth="1"/>
    <col min="4834" max="4834" width="5.625" style="1" customWidth="1"/>
    <col min="4835" max="4836" width="8.375" style="1" customWidth="1"/>
    <col min="4837" max="4837" width="11.125" style="1" customWidth="1"/>
    <col min="4838" max="4838" width="11.625" style="1" customWidth="1"/>
    <col min="4839" max="5085" width="9" style="1" customWidth="1"/>
    <col min="5086" max="5086" width="13.875" style="1" customWidth="1"/>
    <col min="5087" max="5087" width="9.875" style="1" customWidth="1"/>
    <col min="5088" max="5088" width="8.375" style="1" customWidth="1"/>
    <col min="5089" max="5089" width="8.25" style="1" customWidth="1"/>
    <col min="5090" max="5090" width="5.625" style="1" customWidth="1"/>
    <col min="5091" max="5092" width="8.375" style="1" customWidth="1"/>
    <col min="5093" max="5093" width="11.125" style="1" customWidth="1"/>
    <col min="5094" max="5094" width="11.625" style="1" customWidth="1"/>
    <col min="5095" max="5341" width="9" style="1" customWidth="1"/>
    <col min="5342" max="5342" width="13.875" style="1" customWidth="1"/>
    <col min="5343" max="5343" width="9.875" style="1" customWidth="1"/>
    <col min="5344" max="5344" width="8.375" style="1" customWidth="1"/>
    <col min="5345" max="5345" width="8.25" style="1" customWidth="1"/>
    <col min="5346" max="5346" width="5.625" style="1" customWidth="1"/>
    <col min="5347" max="5348" width="8.375" style="1" customWidth="1"/>
    <col min="5349" max="5349" width="11.125" style="1" customWidth="1"/>
    <col min="5350" max="5350" width="11.625" style="1" customWidth="1"/>
    <col min="5351" max="5597" width="9" style="1" customWidth="1"/>
    <col min="5598" max="5598" width="13.875" style="1" customWidth="1"/>
    <col min="5599" max="5599" width="9.875" style="1" customWidth="1"/>
    <col min="5600" max="5600" width="8.375" style="1" customWidth="1"/>
    <col min="5601" max="5601" width="8.25" style="1" customWidth="1"/>
    <col min="5602" max="5602" width="5.625" style="1" customWidth="1"/>
    <col min="5603" max="5604" width="8.375" style="1" customWidth="1"/>
    <col min="5605" max="5605" width="11.125" style="1" customWidth="1"/>
    <col min="5606" max="5606" width="11.625" style="1" customWidth="1"/>
    <col min="5607" max="5853" width="9" style="1" customWidth="1"/>
    <col min="5854" max="5854" width="13.875" style="1" customWidth="1"/>
    <col min="5855" max="5855" width="9.875" style="1" customWidth="1"/>
    <col min="5856" max="5856" width="8.375" style="1" customWidth="1"/>
    <col min="5857" max="5857" width="8.25" style="1" customWidth="1"/>
    <col min="5858" max="5858" width="5.625" style="1" customWidth="1"/>
    <col min="5859" max="5860" width="8.375" style="1" customWidth="1"/>
    <col min="5861" max="5861" width="11.125" style="1" customWidth="1"/>
    <col min="5862" max="5862" width="11.625" style="1" customWidth="1"/>
    <col min="5863" max="6109" width="9" style="1" customWidth="1"/>
    <col min="6110" max="6110" width="13.875" style="1" customWidth="1"/>
    <col min="6111" max="6111" width="9.875" style="1" customWidth="1"/>
    <col min="6112" max="6112" width="8.375" style="1" customWidth="1"/>
    <col min="6113" max="6113" width="8.25" style="1" customWidth="1"/>
    <col min="6114" max="6114" width="5.625" style="1" customWidth="1"/>
    <col min="6115" max="6116" width="8.375" style="1" customWidth="1"/>
    <col min="6117" max="6117" width="11.125" style="1" customWidth="1"/>
    <col min="6118" max="6118" width="11.625" style="1" customWidth="1"/>
    <col min="6119" max="6365" width="9" style="1" customWidth="1"/>
    <col min="6366" max="6366" width="13.875" style="1" customWidth="1"/>
    <col min="6367" max="6367" width="9.875" style="1" customWidth="1"/>
    <col min="6368" max="6368" width="8.375" style="1" customWidth="1"/>
    <col min="6369" max="6369" width="8.25" style="1" customWidth="1"/>
    <col min="6370" max="6370" width="5.625" style="1" customWidth="1"/>
    <col min="6371" max="6372" width="8.375" style="1" customWidth="1"/>
    <col min="6373" max="6373" width="11.125" style="1" customWidth="1"/>
    <col min="6374" max="6374" width="11.625" style="1" customWidth="1"/>
    <col min="6375" max="6621" width="9" style="1" customWidth="1"/>
    <col min="6622" max="6622" width="13.875" style="1" customWidth="1"/>
    <col min="6623" max="6623" width="9.875" style="1" customWidth="1"/>
    <col min="6624" max="6624" width="8.375" style="1" customWidth="1"/>
    <col min="6625" max="6625" width="8.25" style="1" customWidth="1"/>
    <col min="6626" max="6626" width="5.625" style="1" customWidth="1"/>
    <col min="6627" max="6628" width="8.375" style="1" customWidth="1"/>
    <col min="6629" max="6629" width="11.125" style="1" customWidth="1"/>
    <col min="6630" max="6630" width="11.625" style="1" customWidth="1"/>
    <col min="6631" max="6877" width="9" style="1" customWidth="1"/>
    <col min="6878" max="6878" width="13.875" style="1" customWidth="1"/>
    <col min="6879" max="6879" width="9.875" style="1" customWidth="1"/>
    <col min="6880" max="6880" width="8.375" style="1" customWidth="1"/>
    <col min="6881" max="6881" width="8.25" style="1" customWidth="1"/>
    <col min="6882" max="6882" width="5.625" style="1" customWidth="1"/>
    <col min="6883" max="6884" width="8.375" style="1" customWidth="1"/>
    <col min="6885" max="6885" width="11.125" style="1" customWidth="1"/>
    <col min="6886" max="6886" width="11.625" style="1" customWidth="1"/>
    <col min="6887" max="7133" width="9" style="1" customWidth="1"/>
    <col min="7134" max="7134" width="13.875" style="1" customWidth="1"/>
    <col min="7135" max="7135" width="9.875" style="1" customWidth="1"/>
    <col min="7136" max="7136" width="8.375" style="1" customWidth="1"/>
    <col min="7137" max="7137" width="8.25" style="1" customWidth="1"/>
    <col min="7138" max="7138" width="5.625" style="1" customWidth="1"/>
    <col min="7139" max="7140" width="8.375" style="1" customWidth="1"/>
    <col min="7141" max="7141" width="11.125" style="1" customWidth="1"/>
    <col min="7142" max="7142" width="11.625" style="1" customWidth="1"/>
    <col min="7143" max="7389" width="9" style="1" customWidth="1"/>
    <col min="7390" max="7390" width="13.875" style="1" customWidth="1"/>
    <col min="7391" max="7391" width="9.875" style="1" customWidth="1"/>
    <col min="7392" max="7392" width="8.375" style="1" customWidth="1"/>
    <col min="7393" max="7393" width="8.25" style="1" customWidth="1"/>
    <col min="7394" max="7394" width="5.625" style="1" customWidth="1"/>
    <col min="7395" max="7396" width="8.375" style="1" customWidth="1"/>
    <col min="7397" max="7397" width="11.125" style="1" customWidth="1"/>
    <col min="7398" max="7398" width="11.625" style="1" customWidth="1"/>
    <col min="7399" max="7645" width="9" style="1" customWidth="1"/>
    <col min="7646" max="7646" width="13.875" style="1" customWidth="1"/>
    <col min="7647" max="7647" width="9.875" style="1" customWidth="1"/>
    <col min="7648" max="7648" width="8.375" style="1" customWidth="1"/>
    <col min="7649" max="7649" width="8.25" style="1" customWidth="1"/>
    <col min="7650" max="7650" width="5.625" style="1" customWidth="1"/>
    <col min="7651" max="7652" width="8.375" style="1" customWidth="1"/>
    <col min="7653" max="7653" width="11.125" style="1" customWidth="1"/>
    <col min="7654" max="7654" width="11.625" style="1" customWidth="1"/>
    <col min="7655" max="7901" width="9" style="1" customWidth="1"/>
    <col min="7902" max="7902" width="13.875" style="1" customWidth="1"/>
    <col min="7903" max="7903" width="9.875" style="1" customWidth="1"/>
    <col min="7904" max="7904" width="8.375" style="1" customWidth="1"/>
    <col min="7905" max="7905" width="8.25" style="1" customWidth="1"/>
    <col min="7906" max="7906" width="5.625" style="1" customWidth="1"/>
    <col min="7907" max="7908" width="8.375" style="1" customWidth="1"/>
    <col min="7909" max="7909" width="11.125" style="1" customWidth="1"/>
    <col min="7910" max="7910" width="11.625" style="1" customWidth="1"/>
    <col min="7911" max="8157" width="9" style="1" customWidth="1"/>
    <col min="8158" max="8158" width="13.875" style="1" customWidth="1"/>
    <col min="8159" max="8159" width="9.875" style="1" customWidth="1"/>
    <col min="8160" max="8160" width="8.375" style="1" customWidth="1"/>
    <col min="8161" max="8161" width="8.25" style="1" customWidth="1"/>
    <col min="8162" max="8162" width="5.625" style="1" customWidth="1"/>
    <col min="8163" max="8164" width="8.375" style="1" customWidth="1"/>
    <col min="8165" max="8165" width="11.125" style="1" customWidth="1"/>
    <col min="8166" max="8166" width="11.625" style="1" customWidth="1"/>
    <col min="8167" max="8413" width="9" style="1" customWidth="1"/>
    <col min="8414" max="8414" width="13.875" style="1" customWidth="1"/>
    <col min="8415" max="8415" width="9.875" style="1" customWidth="1"/>
    <col min="8416" max="8416" width="8.375" style="1" customWidth="1"/>
    <col min="8417" max="8417" width="8.25" style="1" customWidth="1"/>
    <col min="8418" max="8418" width="5.625" style="1" customWidth="1"/>
    <col min="8419" max="8420" width="8.375" style="1" customWidth="1"/>
    <col min="8421" max="8421" width="11.125" style="1" customWidth="1"/>
    <col min="8422" max="8422" width="11.625" style="1" customWidth="1"/>
    <col min="8423" max="8669" width="9" style="1" customWidth="1"/>
    <col min="8670" max="8670" width="13.875" style="1" customWidth="1"/>
    <col min="8671" max="8671" width="9.875" style="1" customWidth="1"/>
    <col min="8672" max="8672" width="8.375" style="1" customWidth="1"/>
    <col min="8673" max="8673" width="8.25" style="1" customWidth="1"/>
    <col min="8674" max="8674" width="5.625" style="1" customWidth="1"/>
    <col min="8675" max="8676" width="8.375" style="1" customWidth="1"/>
    <col min="8677" max="8677" width="11.125" style="1" customWidth="1"/>
    <col min="8678" max="8678" width="11.625" style="1" customWidth="1"/>
    <col min="8679" max="8925" width="9" style="1" customWidth="1"/>
    <col min="8926" max="8926" width="13.875" style="1" customWidth="1"/>
    <col min="8927" max="8927" width="9.875" style="1" customWidth="1"/>
    <col min="8928" max="8928" width="8.375" style="1" customWidth="1"/>
    <col min="8929" max="8929" width="8.25" style="1" customWidth="1"/>
    <col min="8930" max="8930" width="5.625" style="1" customWidth="1"/>
    <col min="8931" max="8932" width="8.375" style="1" customWidth="1"/>
    <col min="8933" max="8933" width="11.125" style="1" customWidth="1"/>
    <col min="8934" max="8934" width="11.625" style="1" customWidth="1"/>
    <col min="8935" max="9181" width="9" style="1" customWidth="1"/>
    <col min="9182" max="9182" width="13.875" style="1" customWidth="1"/>
    <col min="9183" max="9183" width="9.875" style="1" customWidth="1"/>
    <col min="9184" max="9184" width="8.375" style="1" customWidth="1"/>
    <col min="9185" max="9185" width="8.25" style="1" customWidth="1"/>
    <col min="9186" max="9186" width="5.625" style="1" customWidth="1"/>
    <col min="9187" max="9188" width="8.375" style="1" customWidth="1"/>
    <col min="9189" max="9189" width="11.125" style="1" customWidth="1"/>
    <col min="9190" max="9190" width="11.625" style="1" customWidth="1"/>
    <col min="9191" max="9437" width="9" style="1" customWidth="1"/>
    <col min="9438" max="9438" width="13.875" style="1" customWidth="1"/>
    <col min="9439" max="9439" width="9.875" style="1" customWidth="1"/>
    <col min="9440" max="9440" width="8.375" style="1" customWidth="1"/>
    <col min="9441" max="9441" width="8.25" style="1" customWidth="1"/>
    <col min="9442" max="9442" width="5.625" style="1" customWidth="1"/>
    <col min="9443" max="9444" width="8.375" style="1" customWidth="1"/>
    <col min="9445" max="9445" width="11.125" style="1" customWidth="1"/>
    <col min="9446" max="9446" width="11.625" style="1" customWidth="1"/>
    <col min="9447" max="9693" width="9" style="1" customWidth="1"/>
    <col min="9694" max="9694" width="13.875" style="1" customWidth="1"/>
    <col min="9695" max="9695" width="9.875" style="1" customWidth="1"/>
    <col min="9696" max="9696" width="8.375" style="1" customWidth="1"/>
    <col min="9697" max="9697" width="8.25" style="1" customWidth="1"/>
    <col min="9698" max="9698" width="5.625" style="1" customWidth="1"/>
    <col min="9699" max="9700" width="8.375" style="1" customWidth="1"/>
    <col min="9701" max="9701" width="11.125" style="1" customWidth="1"/>
    <col min="9702" max="9702" width="11.625" style="1" customWidth="1"/>
    <col min="9703" max="9949" width="9" style="1" customWidth="1"/>
    <col min="9950" max="9950" width="13.875" style="1" customWidth="1"/>
    <col min="9951" max="9951" width="9.875" style="1" customWidth="1"/>
    <col min="9952" max="9952" width="8.375" style="1" customWidth="1"/>
    <col min="9953" max="9953" width="8.25" style="1" customWidth="1"/>
    <col min="9954" max="9954" width="5.625" style="1" customWidth="1"/>
    <col min="9955" max="9956" width="8.375" style="1" customWidth="1"/>
    <col min="9957" max="9957" width="11.125" style="1" customWidth="1"/>
    <col min="9958" max="9958" width="11.625" style="1" customWidth="1"/>
    <col min="9959" max="10205" width="9" style="1" customWidth="1"/>
    <col min="10206" max="10206" width="13.875" style="1" customWidth="1"/>
    <col min="10207" max="10207" width="9.875" style="1" customWidth="1"/>
    <col min="10208" max="10208" width="8.375" style="1" customWidth="1"/>
    <col min="10209" max="10209" width="8.25" style="1" customWidth="1"/>
    <col min="10210" max="10210" width="5.625" style="1" customWidth="1"/>
    <col min="10211" max="10212" width="8.375" style="1" customWidth="1"/>
    <col min="10213" max="10213" width="11.125" style="1" customWidth="1"/>
    <col min="10214" max="10214" width="11.625" style="1" customWidth="1"/>
    <col min="10215" max="10461" width="9" style="1" customWidth="1"/>
    <col min="10462" max="10462" width="13.875" style="1" customWidth="1"/>
    <col min="10463" max="10463" width="9.875" style="1" customWidth="1"/>
    <col min="10464" max="10464" width="8.375" style="1" customWidth="1"/>
    <col min="10465" max="10465" width="8.25" style="1" customWidth="1"/>
    <col min="10466" max="10466" width="5.625" style="1" customWidth="1"/>
    <col min="10467" max="10468" width="8.375" style="1" customWidth="1"/>
    <col min="10469" max="10469" width="11.125" style="1" customWidth="1"/>
    <col min="10470" max="10470" width="11.625" style="1" customWidth="1"/>
    <col min="10471" max="10717" width="9" style="1" customWidth="1"/>
    <col min="10718" max="10718" width="13.875" style="1" customWidth="1"/>
    <col min="10719" max="10719" width="9.875" style="1" customWidth="1"/>
    <col min="10720" max="10720" width="8.375" style="1" customWidth="1"/>
    <col min="10721" max="10721" width="8.25" style="1" customWidth="1"/>
    <col min="10722" max="10722" width="5.625" style="1" customWidth="1"/>
    <col min="10723" max="10724" width="8.375" style="1" customWidth="1"/>
    <col min="10725" max="10725" width="11.125" style="1" customWidth="1"/>
    <col min="10726" max="10726" width="11.625" style="1" customWidth="1"/>
    <col min="10727" max="10973" width="9" style="1" customWidth="1"/>
    <col min="10974" max="10974" width="13.875" style="1" customWidth="1"/>
    <col min="10975" max="10975" width="9.875" style="1" customWidth="1"/>
    <col min="10976" max="10976" width="8.375" style="1" customWidth="1"/>
    <col min="10977" max="10977" width="8.25" style="1" customWidth="1"/>
    <col min="10978" max="10978" width="5.625" style="1" customWidth="1"/>
    <col min="10979" max="10980" width="8.375" style="1" customWidth="1"/>
    <col min="10981" max="10981" width="11.125" style="1" customWidth="1"/>
    <col min="10982" max="10982" width="11.625" style="1" customWidth="1"/>
    <col min="10983" max="11229" width="9" style="1" customWidth="1"/>
    <col min="11230" max="11230" width="13.875" style="1" customWidth="1"/>
    <col min="11231" max="11231" width="9.875" style="1" customWidth="1"/>
    <col min="11232" max="11232" width="8.375" style="1" customWidth="1"/>
    <col min="11233" max="11233" width="8.25" style="1" customWidth="1"/>
    <col min="11234" max="11234" width="5.625" style="1" customWidth="1"/>
    <col min="11235" max="11236" width="8.375" style="1" customWidth="1"/>
    <col min="11237" max="11237" width="11.125" style="1" customWidth="1"/>
    <col min="11238" max="11238" width="11.625" style="1" customWidth="1"/>
    <col min="11239" max="11485" width="9" style="1" customWidth="1"/>
    <col min="11486" max="11486" width="13.875" style="1" customWidth="1"/>
    <col min="11487" max="11487" width="9.875" style="1" customWidth="1"/>
    <col min="11488" max="11488" width="8.375" style="1" customWidth="1"/>
    <col min="11489" max="11489" width="8.25" style="1" customWidth="1"/>
    <col min="11490" max="11490" width="5.625" style="1" customWidth="1"/>
    <col min="11491" max="11492" width="8.375" style="1" customWidth="1"/>
    <col min="11493" max="11493" width="11.125" style="1" customWidth="1"/>
    <col min="11494" max="11494" width="11.625" style="1" customWidth="1"/>
    <col min="11495" max="11741" width="9" style="1" customWidth="1"/>
    <col min="11742" max="11742" width="13.875" style="1" customWidth="1"/>
    <col min="11743" max="11743" width="9.875" style="1" customWidth="1"/>
    <col min="11744" max="11744" width="8.375" style="1" customWidth="1"/>
    <col min="11745" max="11745" width="8.25" style="1" customWidth="1"/>
    <col min="11746" max="11746" width="5.625" style="1" customWidth="1"/>
    <col min="11747" max="11748" width="8.375" style="1" customWidth="1"/>
    <col min="11749" max="11749" width="11.125" style="1" customWidth="1"/>
    <col min="11750" max="11750" width="11.625" style="1" customWidth="1"/>
    <col min="11751" max="11997" width="9" style="1" customWidth="1"/>
    <col min="11998" max="11998" width="13.875" style="1" customWidth="1"/>
    <col min="11999" max="11999" width="9.875" style="1" customWidth="1"/>
    <col min="12000" max="12000" width="8.375" style="1" customWidth="1"/>
    <col min="12001" max="12001" width="8.25" style="1" customWidth="1"/>
    <col min="12002" max="12002" width="5.625" style="1" customWidth="1"/>
    <col min="12003" max="12004" width="8.375" style="1" customWidth="1"/>
    <col min="12005" max="12005" width="11.125" style="1" customWidth="1"/>
    <col min="12006" max="12006" width="11.625" style="1" customWidth="1"/>
    <col min="12007" max="12253" width="9" style="1" customWidth="1"/>
    <col min="12254" max="12254" width="13.875" style="1" customWidth="1"/>
    <col min="12255" max="12255" width="9.875" style="1" customWidth="1"/>
    <col min="12256" max="12256" width="8.375" style="1" customWidth="1"/>
    <col min="12257" max="12257" width="8.25" style="1" customWidth="1"/>
    <col min="12258" max="12258" width="5.625" style="1" customWidth="1"/>
    <col min="12259" max="12260" width="8.375" style="1" customWidth="1"/>
    <col min="12261" max="12261" width="11.125" style="1" customWidth="1"/>
    <col min="12262" max="12262" width="11.625" style="1" customWidth="1"/>
    <col min="12263" max="12509" width="9" style="1" customWidth="1"/>
    <col min="12510" max="12510" width="13.875" style="1" customWidth="1"/>
    <col min="12511" max="12511" width="9.875" style="1" customWidth="1"/>
    <col min="12512" max="12512" width="8.375" style="1" customWidth="1"/>
    <col min="12513" max="12513" width="8.25" style="1" customWidth="1"/>
    <col min="12514" max="12514" width="5.625" style="1" customWidth="1"/>
    <col min="12515" max="12516" width="8.375" style="1" customWidth="1"/>
    <col min="12517" max="12517" width="11.125" style="1" customWidth="1"/>
    <col min="12518" max="12518" width="11.625" style="1" customWidth="1"/>
    <col min="12519" max="12765" width="9" style="1" customWidth="1"/>
    <col min="12766" max="12766" width="13.875" style="1" customWidth="1"/>
    <col min="12767" max="12767" width="9.875" style="1" customWidth="1"/>
    <col min="12768" max="12768" width="8.375" style="1" customWidth="1"/>
    <col min="12769" max="12769" width="8.25" style="1" customWidth="1"/>
    <col min="12770" max="12770" width="5.625" style="1" customWidth="1"/>
    <col min="12771" max="12772" width="8.375" style="1" customWidth="1"/>
    <col min="12773" max="12773" width="11.125" style="1" customWidth="1"/>
    <col min="12774" max="12774" width="11.625" style="1" customWidth="1"/>
    <col min="12775" max="13021" width="9" style="1" customWidth="1"/>
    <col min="13022" max="13022" width="13.875" style="1" customWidth="1"/>
    <col min="13023" max="13023" width="9.875" style="1" customWidth="1"/>
    <col min="13024" max="13024" width="8.375" style="1" customWidth="1"/>
    <col min="13025" max="13025" width="8.25" style="1" customWidth="1"/>
    <col min="13026" max="13026" width="5.625" style="1" customWidth="1"/>
    <col min="13027" max="13028" width="8.375" style="1" customWidth="1"/>
    <col min="13029" max="13029" width="11.125" style="1" customWidth="1"/>
    <col min="13030" max="13030" width="11.625" style="1" customWidth="1"/>
    <col min="13031" max="13277" width="9" style="1" customWidth="1"/>
    <col min="13278" max="13278" width="13.875" style="1" customWidth="1"/>
    <col min="13279" max="13279" width="9.875" style="1" customWidth="1"/>
    <col min="13280" max="13280" width="8.375" style="1" customWidth="1"/>
    <col min="13281" max="13281" width="8.25" style="1" customWidth="1"/>
    <col min="13282" max="13282" width="5.625" style="1" customWidth="1"/>
    <col min="13283" max="13284" width="8.375" style="1" customWidth="1"/>
    <col min="13285" max="13285" width="11.125" style="1" customWidth="1"/>
    <col min="13286" max="13286" width="11.625" style="1" customWidth="1"/>
    <col min="13287" max="13533" width="9" style="1" customWidth="1"/>
    <col min="13534" max="13534" width="13.875" style="1" customWidth="1"/>
    <col min="13535" max="13535" width="9.875" style="1" customWidth="1"/>
    <col min="13536" max="13536" width="8.375" style="1" customWidth="1"/>
    <col min="13537" max="13537" width="8.25" style="1" customWidth="1"/>
    <col min="13538" max="13538" width="5.625" style="1" customWidth="1"/>
    <col min="13539" max="13540" width="8.375" style="1" customWidth="1"/>
    <col min="13541" max="13541" width="11.125" style="1" customWidth="1"/>
    <col min="13542" max="13542" width="11.625" style="1" customWidth="1"/>
    <col min="13543" max="13789" width="9" style="1" customWidth="1"/>
    <col min="13790" max="13790" width="13.875" style="1" customWidth="1"/>
    <col min="13791" max="13791" width="9.875" style="1" customWidth="1"/>
    <col min="13792" max="13792" width="8.375" style="1" customWidth="1"/>
    <col min="13793" max="13793" width="8.25" style="1" customWidth="1"/>
    <col min="13794" max="13794" width="5.625" style="1" customWidth="1"/>
    <col min="13795" max="13796" width="8.375" style="1" customWidth="1"/>
    <col min="13797" max="13797" width="11.125" style="1" customWidth="1"/>
    <col min="13798" max="13798" width="11.625" style="1" customWidth="1"/>
    <col min="13799" max="14045" width="9" style="1" customWidth="1"/>
    <col min="14046" max="14046" width="13.875" style="1" customWidth="1"/>
    <col min="14047" max="14047" width="9.875" style="1" customWidth="1"/>
    <col min="14048" max="14048" width="8.375" style="1" customWidth="1"/>
    <col min="14049" max="14049" width="8.25" style="1" customWidth="1"/>
    <col min="14050" max="14050" width="5.625" style="1" customWidth="1"/>
    <col min="14051" max="14052" width="8.375" style="1" customWidth="1"/>
    <col min="14053" max="14053" width="11.125" style="1" customWidth="1"/>
    <col min="14054" max="14054" width="11.625" style="1" customWidth="1"/>
    <col min="14055" max="14301" width="9" style="1" customWidth="1"/>
    <col min="14302" max="14302" width="13.875" style="1" customWidth="1"/>
    <col min="14303" max="14303" width="9.875" style="1" customWidth="1"/>
    <col min="14304" max="14304" width="8.375" style="1" customWidth="1"/>
    <col min="14305" max="14305" width="8.25" style="1" customWidth="1"/>
    <col min="14306" max="14306" width="5.625" style="1" customWidth="1"/>
    <col min="14307" max="14308" width="8.375" style="1" customWidth="1"/>
    <col min="14309" max="14309" width="11.125" style="1" customWidth="1"/>
    <col min="14310" max="14310" width="11.625" style="1" customWidth="1"/>
    <col min="14311" max="14557" width="9" style="1" customWidth="1"/>
    <col min="14558" max="14558" width="13.875" style="1" customWidth="1"/>
    <col min="14559" max="14559" width="9.875" style="1" customWidth="1"/>
    <col min="14560" max="14560" width="8.375" style="1" customWidth="1"/>
    <col min="14561" max="14561" width="8.25" style="1" customWidth="1"/>
    <col min="14562" max="14562" width="5.625" style="1" customWidth="1"/>
    <col min="14563" max="14564" width="8.375" style="1" customWidth="1"/>
    <col min="14565" max="14565" width="11.125" style="1" customWidth="1"/>
    <col min="14566" max="14566" width="11.625" style="1" customWidth="1"/>
    <col min="14567" max="14813" width="9" style="1" customWidth="1"/>
    <col min="14814" max="14814" width="13.875" style="1" customWidth="1"/>
    <col min="14815" max="14815" width="9.875" style="1" customWidth="1"/>
    <col min="14816" max="14816" width="8.375" style="1" customWidth="1"/>
    <col min="14817" max="14817" width="8.25" style="1" customWidth="1"/>
    <col min="14818" max="14818" width="5.625" style="1" customWidth="1"/>
    <col min="14819" max="14820" width="8.375" style="1" customWidth="1"/>
    <col min="14821" max="14821" width="11.125" style="1" customWidth="1"/>
    <col min="14822" max="14822" width="11.625" style="1" customWidth="1"/>
    <col min="14823" max="15069" width="9" style="1" customWidth="1"/>
    <col min="15070" max="15070" width="13.875" style="1" customWidth="1"/>
    <col min="15071" max="15071" width="9.875" style="1" customWidth="1"/>
    <col min="15072" max="15072" width="8.375" style="1" customWidth="1"/>
    <col min="15073" max="15073" width="8.25" style="1" customWidth="1"/>
    <col min="15074" max="15074" width="5.625" style="1" customWidth="1"/>
    <col min="15075" max="15076" width="8.375" style="1" customWidth="1"/>
    <col min="15077" max="15077" width="11.125" style="1" customWidth="1"/>
    <col min="15078" max="15078" width="11.625" style="1" customWidth="1"/>
    <col min="15079" max="15325" width="9" style="1" customWidth="1"/>
    <col min="15326" max="15326" width="13.875" style="1" customWidth="1"/>
    <col min="15327" max="15327" width="9.875" style="1" customWidth="1"/>
    <col min="15328" max="15328" width="8.375" style="1" customWidth="1"/>
    <col min="15329" max="15329" width="8.25" style="1" customWidth="1"/>
    <col min="15330" max="15330" width="5.625" style="1" customWidth="1"/>
    <col min="15331" max="15332" width="8.375" style="1" customWidth="1"/>
    <col min="15333" max="15333" width="11.125" style="1" customWidth="1"/>
    <col min="15334" max="15334" width="11.625" style="1" customWidth="1"/>
    <col min="15335" max="15581" width="9" style="1" customWidth="1"/>
    <col min="15582" max="15582" width="13.875" style="1" customWidth="1"/>
    <col min="15583" max="15583" width="9.875" style="1" customWidth="1"/>
    <col min="15584" max="15584" width="8.375" style="1" customWidth="1"/>
    <col min="15585" max="15585" width="8.25" style="1" customWidth="1"/>
    <col min="15586" max="15586" width="5.625" style="1" customWidth="1"/>
    <col min="15587" max="15588" width="8.375" style="1" customWidth="1"/>
    <col min="15589" max="15589" width="11.125" style="1" customWidth="1"/>
    <col min="15590" max="15590" width="11.625" style="1" customWidth="1"/>
    <col min="15591" max="15837" width="9" style="1" customWidth="1"/>
    <col min="15838" max="15838" width="13.875" style="1" customWidth="1"/>
    <col min="15839" max="15839" width="9.875" style="1" customWidth="1"/>
    <col min="15840" max="15840" width="8.375" style="1" customWidth="1"/>
    <col min="15841" max="15841" width="8.25" style="1" customWidth="1"/>
    <col min="15842" max="15842" width="5.625" style="1" customWidth="1"/>
    <col min="15843" max="15844" width="8.375" style="1" customWidth="1"/>
    <col min="15845" max="15845" width="11.125" style="1" customWidth="1"/>
    <col min="15846" max="15846" width="11.625" style="1" customWidth="1"/>
    <col min="15847" max="16093" width="9" style="1" customWidth="1"/>
    <col min="16094" max="16094" width="13.875" style="1" customWidth="1"/>
    <col min="16095" max="16095" width="9.875" style="1" customWidth="1"/>
    <col min="16096" max="16096" width="8.375" style="1" customWidth="1"/>
    <col min="16097" max="16097" width="8.25" style="1" customWidth="1"/>
    <col min="16098" max="16098" width="5.625" style="1" customWidth="1"/>
    <col min="16099" max="16100" width="8.375" style="1" customWidth="1"/>
    <col min="16101" max="16101" width="11.125" style="1" customWidth="1"/>
    <col min="16102" max="16102" width="11.625" style="1" customWidth="1"/>
    <col min="16103" max="16384" width="9" style="1" customWidth="1"/>
  </cols>
  <sheetData>
    <row r="1" ht="27.95" customHeight="1" spans="1:25" s="3" customFormat="1" x14ac:dyDescent="0.25">
      <c r="A1" s="396" t="s">
        <v>25</v>
      </c>
      <c r="B1" s="396"/>
      <c r="C1" s="396"/>
      <c r="D1" s="396"/>
      <c r="E1" s="396"/>
      <c r="F1" s="396"/>
      <c r="G1" s="396"/>
      <c r="H1" s="396"/>
      <c r="I1" s="39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97" t="s">
        <v>26</v>
      </c>
      <c r="B2" s="397"/>
      <c r="C2" s="397"/>
      <c r="D2" s="397"/>
      <c r="E2" s="397"/>
      <c r="F2" s="397"/>
      <c r="G2" s="397"/>
      <c r="H2" s="397"/>
      <c r="I2" s="39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156" customFormat="1" x14ac:dyDescent="0.25">
      <c r="A4" s="206" t="s">
        <v>105</v>
      </c>
      <c r="B4" s="206"/>
      <c r="C4" s="206"/>
      <c r="D4" s="206"/>
      <c r="E4" s="206"/>
      <c r="F4" s="206"/>
      <c r="G4" s="206"/>
      <c r="H4" s="206"/>
      <c r="I4" s="20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2.95" customHeight="1" spans="1:25" s="156" customFormat="1" x14ac:dyDescent="0.25">
      <c r="A5" s="192" t="s">
        <v>106</v>
      </c>
      <c r="B5" s="192"/>
      <c r="C5" s="192"/>
      <c r="D5" s="192"/>
      <c r="E5" s="192"/>
      <c r="F5" s="192"/>
      <c r="G5" s="192"/>
      <c r="H5" s="192"/>
      <c r="I5" s="192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ht="14.25" customHeight="1" spans="1:25" s="156" customFormat="1" x14ac:dyDescent="0.25">
      <c r="A6" s="192"/>
      <c r="B6" s="192"/>
      <c r="C6" s="192"/>
      <c r="D6" s="192"/>
      <c r="E6" s="192"/>
      <c r="F6" s="192"/>
      <c r="G6" s="192"/>
      <c r="H6" s="192"/>
      <c r="I6" s="338" t="s">
        <v>107</v>
      </c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22.5" customHeight="1" spans="1:25" s="156" customFormat="1" x14ac:dyDescent="0.25">
      <c r="A7" s="156" t="str">
        <f>'Act. Cntr-Seal No List'!A4:D4</f>
        <v>M / V  :  SAWASDEE DENEB</v>
      </c>
      <c r="B7" s="156"/>
      <c r="C7" s="156"/>
      <c r="D7" s="156" t="s">
        <v>108</v>
      </c>
      <c r="E7" s="207" t="str">
        <f>'OS-IN'!H6</f>
        <v>2607N</v>
      </c>
      <c r="F7" s="207"/>
      <c r="G7" s="338" t="s">
        <v>5</v>
      </c>
      <c r="H7" s="208">
        <v>46217</v>
      </c>
      <c r="I7" s="192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ht="22.5" customHeight="1" spans="1:25" s="156" customFormat="1" x14ac:dyDescent="0.25">
      <c r="A8" s="156" t="s">
        <v>109</v>
      </c>
      <c r="B8" s="156"/>
      <c r="C8" s="156"/>
      <c r="D8" s="10" t="s">
        <v>7</v>
      </c>
      <c r="E8" s="192">
        <f>'OS-IN'!L8</f>
        <v>6</v>
      </c>
      <c r="F8" s="156"/>
      <c r="G8" s="338" t="s">
        <v>8</v>
      </c>
      <c r="H8" s="19" t="s">
        <v>110</v>
      </c>
      <c r="I8" s="19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9" customHeight="1" spans="1:25" s="156" customFormat="1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21" customHeight="1" spans="1:25" s="201" customFormat="1" x14ac:dyDescent="0.25">
      <c r="A10" s="263" t="s">
        <v>111</v>
      </c>
      <c r="B10" s="398" t="s">
        <v>93</v>
      </c>
      <c r="C10" s="263" t="s">
        <v>89</v>
      </c>
      <c r="D10" s="253" t="s">
        <v>112</v>
      </c>
      <c r="E10" s="174"/>
      <c r="F10" s="399" t="s">
        <v>113</v>
      </c>
      <c r="G10" s="253"/>
      <c r="H10" s="399" t="s">
        <v>114</v>
      </c>
      <c r="I10" s="263" t="s">
        <v>57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</row>
    <row r="11" ht="21" customHeight="1" spans="1:25" s="201" customFormat="1" x14ac:dyDescent="0.25">
      <c r="A11" s="33"/>
      <c r="B11" s="400"/>
      <c r="C11" s="33"/>
      <c r="D11" s="401" t="s">
        <v>115</v>
      </c>
      <c r="E11" s="402"/>
      <c r="F11" s="403" t="s">
        <v>116</v>
      </c>
      <c r="G11" s="401" t="s">
        <v>117</v>
      </c>
      <c r="H11" s="404" t="s">
        <v>118</v>
      </c>
      <c r="I11" s="33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</row>
    <row r="12" ht="22.15" customHeight="1" spans="1:25" s="405" customFormat="1" x14ac:dyDescent="0.25">
      <c r="A12" s="406"/>
      <c r="B12" s="407"/>
      <c r="C12" s="408"/>
      <c r="D12" s="409"/>
      <c r="E12" s="409"/>
      <c r="F12" s="410"/>
      <c r="G12" s="410"/>
      <c r="H12" s="411"/>
      <c r="I12" s="412"/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</row>
    <row r="13" ht="22.15" customHeight="1" spans="1:25" s="405" customFormat="1" x14ac:dyDescent="0.25">
      <c r="A13" s="413"/>
      <c r="B13" s="414"/>
      <c r="C13" s="415"/>
      <c r="D13" s="416"/>
      <c r="E13" s="416"/>
      <c r="F13" s="417"/>
      <c r="G13" s="417"/>
      <c r="H13" s="418"/>
      <c r="I13" s="419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</row>
    <row r="14" ht="22.15" customHeight="1" spans="1:25" s="405" customFormat="1" x14ac:dyDescent="0.25">
      <c r="A14" s="413"/>
      <c r="B14" s="414"/>
      <c r="C14" s="415"/>
      <c r="D14" s="416"/>
      <c r="E14" s="416"/>
      <c r="F14" s="417"/>
      <c r="G14" s="417"/>
      <c r="H14" s="418"/>
      <c r="I14" s="419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</row>
    <row r="15" ht="22.15" customHeight="1" spans="1:25" s="405" customFormat="1" x14ac:dyDescent="0.25">
      <c r="A15" s="413"/>
      <c r="B15" s="414"/>
      <c r="C15" s="415"/>
      <c r="D15" s="416"/>
      <c r="E15" s="416"/>
      <c r="F15" s="417"/>
      <c r="G15" s="417"/>
      <c r="H15" s="418"/>
      <c r="I15" s="419"/>
      <c r="J15" s="405"/>
      <c r="K15" s="405"/>
      <c r="L15" s="405"/>
      <c r="M15" s="405"/>
      <c r="N15" s="405"/>
      <c r="O15" s="405"/>
      <c r="P15" s="405"/>
      <c r="Q15" s="405"/>
      <c r="R15" s="405"/>
      <c r="S15" s="405"/>
      <c r="T15" s="405"/>
      <c r="U15" s="405"/>
      <c r="V15" s="405"/>
      <c r="W15" s="405"/>
      <c r="X15" s="405"/>
      <c r="Y15" s="405"/>
    </row>
    <row r="16" ht="22.15" customHeight="1" spans="1:25" s="405" customFormat="1" x14ac:dyDescent="0.25">
      <c r="A16" s="420"/>
      <c r="B16" s="421"/>
      <c r="C16" s="420"/>
      <c r="D16" s="111"/>
      <c r="E16" s="111"/>
      <c r="F16" s="422"/>
      <c r="G16" s="422"/>
      <c r="H16" s="423"/>
      <c r="I16" s="424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5"/>
    </row>
    <row r="17" ht="22.15" customHeight="1" spans="1:25" s="405" customFormat="1" x14ac:dyDescent="0.25">
      <c r="A17" s="425"/>
      <c r="B17" s="407"/>
      <c r="C17" s="425"/>
      <c r="D17" s="409"/>
      <c r="E17" s="409"/>
      <c r="F17" s="426"/>
      <c r="G17" s="426"/>
      <c r="H17" s="427"/>
      <c r="I17" s="428"/>
      <c r="J17" s="405"/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</row>
    <row r="18" ht="22.15" customHeight="1" spans="1:25" s="405" customFormat="1" x14ac:dyDescent="0.25">
      <c r="A18" s="429"/>
      <c r="B18" s="430"/>
      <c r="C18" s="430"/>
      <c r="D18" s="431"/>
      <c r="E18" s="432"/>
      <c r="F18" s="433"/>
      <c r="G18" s="433"/>
      <c r="H18" s="434"/>
      <c r="I18" s="435"/>
      <c r="J18" s="405"/>
      <c r="K18" s="405"/>
      <c r="L18" s="405"/>
      <c r="M18" s="405"/>
      <c r="N18" s="405"/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</row>
    <row r="19" ht="22.15" customHeight="1" spans="1:25" s="405" customFormat="1" x14ac:dyDescent="0.25">
      <c r="A19" s="430"/>
      <c r="B19" s="430"/>
      <c r="C19" s="430"/>
      <c r="D19" s="431"/>
      <c r="E19" s="432"/>
      <c r="F19" s="436"/>
      <c r="G19" s="436"/>
      <c r="H19" s="434"/>
      <c r="I19" s="437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</row>
    <row r="20" ht="22.15" customHeight="1" spans="1:25" s="405" customFormat="1" x14ac:dyDescent="0.25">
      <c r="A20" s="430"/>
      <c r="B20" s="430"/>
      <c r="C20" s="430"/>
      <c r="D20" s="431"/>
      <c r="E20" s="432"/>
      <c r="F20" s="436"/>
      <c r="G20" s="436"/>
      <c r="H20" s="434"/>
      <c r="I20" s="437"/>
      <c r="J20" s="405"/>
      <c r="K20" s="405"/>
      <c r="L20" s="405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</row>
    <row r="21" ht="22.15" customHeight="1" spans="1:25" s="405" customFormat="1" x14ac:dyDescent="0.25">
      <c r="A21" s="438"/>
      <c r="B21" s="438"/>
      <c r="C21" s="438"/>
      <c r="D21" s="112"/>
      <c r="E21" s="439"/>
      <c r="F21" s="440"/>
      <c r="G21" s="440"/>
      <c r="H21" s="441"/>
      <c r="I21" s="442"/>
      <c r="J21" s="405"/>
      <c r="K21" s="405"/>
      <c r="L21" s="405"/>
      <c r="M21" s="405"/>
      <c r="N21" s="405"/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</row>
    <row r="22" ht="22.15" customHeight="1" spans="1:25" s="405" customFormat="1" x14ac:dyDescent="0.25">
      <c r="A22" s="408"/>
      <c r="B22" s="408"/>
      <c r="C22" s="408"/>
      <c r="D22" s="104"/>
      <c r="E22" s="443"/>
      <c r="F22" s="444"/>
      <c r="G22" s="444"/>
      <c r="H22" s="427"/>
      <c r="I22" s="44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</row>
    <row r="23" ht="22.15" customHeight="1" spans="1:25" s="405" customFormat="1" x14ac:dyDescent="0.25">
      <c r="A23" s="430"/>
      <c r="B23" s="430"/>
      <c r="C23" s="430"/>
      <c r="D23" s="431"/>
      <c r="E23" s="432"/>
      <c r="F23" s="436"/>
      <c r="G23" s="436"/>
      <c r="H23" s="434"/>
      <c r="I23" s="437"/>
      <c r="J23" s="405"/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</row>
    <row r="24" ht="22.15" customHeight="1" spans="1:25" s="405" customFormat="1" x14ac:dyDescent="0.25">
      <c r="A24" s="430"/>
      <c r="B24" s="430"/>
      <c r="C24" s="430"/>
      <c r="D24" s="431"/>
      <c r="E24" s="432"/>
      <c r="F24" s="436"/>
      <c r="G24" s="436"/>
      <c r="H24" s="434"/>
      <c r="I24" s="437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</row>
    <row r="25" ht="22.15" customHeight="1" spans="1:25" s="405" customFormat="1" x14ac:dyDescent="0.25">
      <c r="A25" s="430"/>
      <c r="B25" s="430"/>
      <c r="C25" s="430"/>
      <c r="D25" s="431"/>
      <c r="E25" s="432"/>
      <c r="F25" s="436"/>
      <c r="G25" s="436"/>
      <c r="H25" s="434"/>
      <c r="I25" s="437"/>
      <c r="J25" s="405"/>
      <c r="K25" s="405"/>
      <c r="L25" s="405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5"/>
      <c r="Y25" s="405"/>
    </row>
    <row r="26" ht="22.15" customHeight="1" spans="1:25" s="405" customFormat="1" x14ac:dyDescent="0.25">
      <c r="A26" s="446"/>
      <c r="B26" s="446"/>
      <c r="C26" s="446"/>
      <c r="D26" s="112"/>
      <c r="E26" s="439"/>
      <c r="F26" s="447"/>
      <c r="G26" s="447"/>
      <c r="H26" s="448"/>
      <c r="I26" s="449"/>
      <c r="J26" s="405"/>
      <c r="K26" s="405"/>
      <c r="L26" s="405"/>
      <c r="M26" s="405"/>
      <c r="N26" s="405"/>
      <c r="O26" s="405"/>
      <c r="P26" s="405"/>
      <c r="Q26" s="405"/>
      <c r="R26" s="405"/>
      <c r="S26" s="405"/>
      <c r="T26" s="405"/>
      <c r="U26" s="405"/>
      <c r="V26" s="405"/>
      <c r="W26" s="405"/>
      <c r="X26" s="405"/>
      <c r="Y26" s="405"/>
    </row>
    <row r="27" ht="22.15" customHeight="1" spans="1:25" s="405" customFormat="1" x14ac:dyDescent="0.25">
      <c r="A27" s="450"/>
      <c r="B27" s="450"/>
      <c r="C27" s="450"/>
      <c r="D27" s="104"/>
      <c r="E27" s="443"/>
      <c r="F27" s="451"/>
      <c r="G27" s="451"/>
      <c r="H27" s="103"/>
      <c r="I27" s="452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Y27" s="405"/>
    </row>
    <row r="28" ht="22.15" customHeight="1" spans="1:25" s="405" customFormat="1" x14ac:dyDescent="0.25">
      <c r="A28" s="430"/>
      <c r="B28" s="430"/>
      <c r="C28" s="430"/>
      <c r="D28" s="431"/>
      <c r="E28" s="432"/>
      <c r="F28" s="436"/>
      <c r="G28" s="436"/>
      <c r="H28" s="453"/>
      <c r="I28" s="437"/>
      <c r="J28" s="405"/>
      <c r="K28" s="405"/>
      <c r="L28" s="405"/>
      <c r="M28" s="405"/>
      <c r="N28" s="405"/>
      <c r="O28" s="405"/>
      <c r="P28" s="405"/>
      <c r="Q28" s="405"/>
      <c r="R28" s="405"/>
      <c r="S28" s="405"/>
      <c r="T28" s="405"/>
      <c r="U28" s="405"/>
      <c r="V28" s="405"/>
      <c r="W28" s="405"/>
      <c r="X28" s="405"/>
      <c r="Y28" s="405"/>
    </row>
    <row r="29" ht="22.15" customHeight="1" spans="1:25" s="405" customFormat="1" x14ac:dyDescent="0.25">
      <c r="A29" s="454"/>
      <c r="B29" s="454"/>
      <c r="C29" s="454"/>
      <c r="D29" s="431"/>
      <c r="E29" s="432"/>
      <c r="F29" s="455"/>
      <c r="G29" s="455"/>
      <c r="H29" s="453"/>
      <c r="I29" s="437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Y29" s="405"/>
    </row>
    <row r="30" ht="22.15" customHeight="1" spans="1:25" s="405" customFormat="1" x14ac:dyDescent="0.25">
      <c r="A30" s="430"/>
      <c r="B30" s="430"/>
      <c r="C30" s="430"/>
      <c r="D30" s="431"/>
      <c r="E30" s="432"/>
      <c r="F30" s="436"/>
      <c r="G30" s="436"/>
      <c r="H30" s="434"/>
      <c r="I30" s="437"/>
      <c r="J30" s="405"/>
      <c r="K30" s="405"/>
      <c r="L30" s="405"/>
      <c r="M30" s="405"/>
      <c r="N30" s="405"/>
      <c r="O30" s="405"/>
      <c r="P30" s="405"/>
      <c r="Q30" s="405"/>
      <c r="R30" s="405"/>
      <c r="S30" s="405"/>
      <c r="T30" s="405"/>
      <c r="U30" s="405"/>
      <c r="V30" s="405"/>
      <c r="W30" s="405"/>
      <c r="X30" s="405"/>
      <c r="Y30" s="405"/>
    </row>
    <row r="31" ht="22.15" customHeight="1" spans="1:25" s="405" customFormat="1" x14ac:dyDescent="0.25">
      <c r="A31" s="438"/>
      <c r="B31" s="438"/>
      <c r="C31" s="438"/>
      <c r="D31" s="112"/>
      <c r="E31" s="439"/>
      <c r="F31" s="440"/>
      <c r="G31" s="440"/>
      <c r="H31" s="111"/>
      <c r="I31" s="442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Y31" s="405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5" customFormat="1" x14ac:dyDescent="0.25">
      <c r="A33" s="405"/>
      <c r="B33" s="405"/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5"/>
      <c r="O33" s="405"/>
      <c r="P33" s="405"/>
      <c r="Q33" s="405"/>
      <c r="R33" s="405"/>
      <c r="S33" s="405"/>
      <c r="T33" s="405"/>
      <c r="U33" s="405"/>
      <c r="V33" s="405"/>
      <c r="W33" s="405"/>
      <c r="X33" s="405"/>
      <c r="Y33" s="405"/>
    </row>
    <row r="34" ht="14.25" customHeight="1" spans="1:25" s="405" customFormat="1" x14ac:dyDescent="0.25">
      <c r="A34" s="405"/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405"/>
      <c r="R34" s="405"/>
      <c r="S34" s="405"/>
      <c r="T34" s="405"/>
      <c r="U34" s="405"/>
      <c r="V34" s="405"/>
      <c r="W34" s="405"/>
      <c r="X34" s="405"/>
      <c r="Y34" s="405"/>
    </row>
    <row r="35" ht="14.25" customHeight="1" spans="1:25" s="405" customFormat="1" x14ac:dyDescent="0.25">
      <c r="A35" s="405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  <c r="P35" s="405"/>
      <c r="Q35" s="405"/>
      <c r="R35" s="405"/>
      <c r="S35" s="405"/>
      <c r="T35" s="405"/>
      <c r="U35" s="405"/>
      <c r="V35" s="405"/>
      <c r="W35" s="405"/>
      <c r="X35" s="405"/>
      <c r="Y35" s="405"/>
    </row>
    <row r="36" ht="14.25" customHeight="1" spans="1:25" s="405" customFormat="1" x14ac:dyDescent="0.25">
      <c r="A36" s="405"/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405"/>
      <c r="R36" s="405"/>
      <c r="S36" s="405"/>
      <c r="T36" s="405"/>
      <c r="U36" s="405"/>
      <c r="V36" s="405"/>
      <c r="W36" s="405"/>
      <c r="X36" s="405"/>
      <c r="Y36" s="405"/>
    </row>
    <row r="37" ht="14.25" customHeight="1" spans="1:25" s="405" customFormat="1" x14ac:dyDescent="0.25">
      <c r="A37" s="405"/>
      <c r="B37" s="405"/>
      <c r="C37" s="405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405"/>
      <c r="R37" s="405"/>
      <c r="S37" s="405"/>
      <c r="T37" s="405"/>
      <c r="U37" s="405"/>
      <c r="V37" s="405"/>
      <c r="W37" s="405"/>
      <c r="X37" s="405"/>
      <c r="Y37" s="405"/>
    </row>
    <row r="38" ht="14.25" customHeight="1" spans="1:25" s="405" customFormat="1" x14ac:dyDescent="0.25">
      <c r="A38" s="405"/>
      <c r="B38" s="405"/>
      <c r="C38" s="405"/>
      <c r="D38" s="405"/>
      <c r="E38" s="405"/>
      <c r="F38" s="405"/>
      <c r="G38" s="405"/>
      <c r="H38" s="405"/>
      <c r="I38" s="405"/>
      <c r="J38" s="405"/>
      <c r="K38" s="405"/>
      <c r="L38" s="405"/>
      <c r="M38" s="405"/>
      <c r="N38" s="405"/>
      <c r="O38" s="405"/>
      <c r="P38" s="405"/>
      <c r="Q38" s="405"/>
      <c r="R38" s="405"/>
      <c r="S38" s="405"/>
      <c r="T38" s="405"/>
      <c r="U38" s="405"/>
      <c r="V38" s="405"/>
      <c r="W38" s="405"/>
      <c r="X38" s="405"/>
      <c r="Y38" s="405"/>
    </row>
    <row r="39" ht="14.25" customHeight="1" spans="1:25" s="405" customFormat="1" x14ac:dyDescent="0.25">
      <c r="A39" s="405"/>
      <c r="B39" s="405"/>
      <c r="C39" s="405"/>
      <c r="D39" s="405"/>
      <c r="E39" s="405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5"/>
    </row>
    <row r="40" ht="15.95" customHeight="1" spans="1:25" s="3" customForma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95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s="405" customFormat="1" x14ac:dyDescent="0.25">
      <c r="A42" s="204" t="s">
        <v>23</v>
      </c>
      <c r="B42" s="204"/>
      <c r="C42" s="41"/>
      <c r="D42" s="204" t="s">
        <v>119</v>
      </c>
      <c r="E42" s="204"/>
      <c r="F42" s="204"/>
      <c r="G42" s="41"/>
      <c r="H42" s="204" t="s">
        <v>24</v>
      </c>
      <c r="I42" s="204"/>
      <c r="J42" s="405"/>
      <c r="K42" s="405"/>
      <c r="L42" s="405"/>
      <c r="M42" s="405"/>
      <c r="N42" s="405"/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</row>
    <row r="43" ht="26.25" customHeight="1" hidden="1" spans="1:25" s="3" customFormat="1" x14ac:dyDescent="0.25">
      <c r="A43" s="396" t="s">
        <v>25</v>
      </c>
      <c r="B43" s="396"/>
      <c r="C43" s="396"/>
      <c r="D43" s="396"/>
      <c r="E43" s="396"/>
      <c r="F43" s="396"/>
      <c r="G43" s="396"/>
      <c r="H43" s="396"/>
      <c r="I43" s="39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hidden="1" spans="1:25" s="3" customFormat="1" x14ac:dyDescent="0.25">
      <c r="A44" s="397" t="s">
        <v>26</v>
      </c>
      <c r="B44" s="397"/>
      <c r="C44" s="397"/>
      <c r="D44" s="397"/>
      <c r="E44" s="397"/>
      <c r="F44" s="397"/>
      <c r="G44" s="397"/>
      <c r="H44" s="397"/>
      <c r="I44" s="39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 hidden="1" spans="1:25" s="3" customForma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7" customHeight="1" hidden="1" spans="1:25" s="156" customFormat="1" x14ac:dyDescent="0.25">
      <c r="A46" s="206" t="s">
        <v>105</v>
      </c>
      <c r="B46" s="206"/>
      <c r="C46" s="206"/>
      <c r="D46" s="206"/>
      <c r="E46" s="206"/>
      <c r="F46" s="206"/>
      <c r="G46" s="206"/>
      <c r="H46" s="206"/>
      <c r="I46" s="20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</row>
    <row r="47" ht="12.95" customHeight="1" hidden="1" spans="1:25" s="156" customFormat="1" x14ac:dyDescent="0.25">
      <c r="A47" s="192" t="s">
        <v>106</v>
      </c>
      <c r="B47" s="192"/>
      <c r="C47" s="192"/>
      <c r="D47" s="192"/>
      <c r="E47" s="192"/>
      <c r="F47" s="192"/>
      <c r="G47" s="192"/>
      <c r="H47" s="192"/>
      <c r="I47" s="192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</row>
    <row r="48" ht="14.25" customHeight="1" hidden="1" spans="1:25" s="156" customFormat="1" x14ac:dyDescent="0.25">
      <c r="A48" s="192"/>
      <c r="B48" s="192"/>
      <c r="C48" s="192"/>
      <c r="D48" s="192"/>
      <c r="E48" s="192"/>
      <c r="F48" s="192"/>
      <c r="G48" s="192"/>
      <c r="H48" s="192"/>
      <c r="I48" s="338" t="s">
        <v>120</v>
      </c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</row>
    <row r="49" ht="22.5" customHeight="1" hidden="1" spans="1:25" s="156" customFormat="1" x14ac:dyDescent="0.25">
      <c r="A49" s="156" t="str">
        <f>A7</f>
        <v>M / V  :  SAWASDEE DENEB</v>
      </c>
      <c r="B49" s="156"/>
      <c r="C49" s="156"/>
      <c r="D49" s="156" t="s">
        <v>108</v>
      </c>
      <c r="E49" s="207" t="str">
        <f>E7</f>
        <v>2607N</v>
      </c>
      <c r="F49" s="207"/>
      <c r="G49" s="338" t="s">
        <v>5</v>
      </c>
      <c r="H49" s="208">
        <f>H7</f>
        <v>46217</v>
      </c>
      <c r="I49" s="192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</row>
    <row r="50" ht="22.5" customHeight="1" hidden="1" spans="1:25" s="156" customFormat="1" x14ac:dyDescent="0.25">
      <c r="A50" s="156" t="s">
        <v>109</v>
      </c>
      <c r="B50" s="156"/>
      <c r="C50" s="156"/>
      <c r="D50" s="10" t="s">
        <v>7</v>
      </c>
      <c r="E50" s="192">
        <f>E8</f>
        <v>6</v>
      </c>
      <c r="F50" s="156"/>
      <c r="G50" s="338" t="s">
        <v>8</v>
      </c>
      <c r="H50" s="19" t="s">
        <v>110</v>
      </c>
      <c r="I50" s="19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</row>
    <row r="51" ht="9" customHeight="1" hidden="1" spans="1:25" s="156" customFormat="1" x14ac:dyDescent="0.25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</row>
    <row r="52" ht="21" customHeight="1" hidden="1" spans="1:25" s="201" customFormat="1" x14ac:dyDescent="0.25">
      <c r="A52" s="263" t="s">
        <v>111</v>
      </c>
      <c r="B52" s="398" t="s">
        <v>93</v>
      </c>
      <c r="C52" s="263" t="s">
        <v>89</v>
      </c>
      <c r="D52" s="253" t="s">
        <v>112</v>
      </c>
      <c r="E52" s="174"/>
      <c r="F52" s="399" t="s">
        <v>113</v>
      </c>
      <c r="G52" s="253"/>
      <c r="H52" s="399" t="s">
        <v>114</v>
      </c>
      <c r="I52" s="263" t="s">
        <v>57</v>
      </c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</row>
    <row r="53" ht="21" customHeight="1" hidden="1" spans="1:25" s="201" customFormat="1" x14ac:dyDescent="0.25">
      <c r="A53" s="33"/>
      <c r="B53" s="400"/>
      <c r="C53" s="33"/>
      <c r="D53" s="401" t="s">
        <v>115</v>
      </c>
      <c r="E53" s="402"/>
      <c r="F53" s="403" t="s">
        <v>116</v>
      </c>
      <c r="G53" s="401" t="s">
        <v>117</v>
      </c>
      <c r="H53" s="404" t="s">
        <v>118</v>
      </c>
      <c r="I53" s="33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</row>
    <row r="54" ht="21" customHeight="1" hidden="1" spans="1:25" s="405" customFormat="1" x14ac:dyDescent="0.25">
      <c r="A54" s="406" t="s">
        <v>121</v>
      </c>
      <c r="B54" s="407"/>
      <c r="C54" s="408" t="s">
        <v>122</v>
      </c>
      <c r="D54" s="409"/>
      <c r="E54" s="409"/>
      <c r="F54" s="410">
        <v>14</v>
      </c>
      <c r="G54" s="410">
        <v>14</v>
      </c>
      <c r="H54" s="411">
        <f>H12</f>
        <v>NaN</v>
      </c>
      <c r="I54" s="412" t="s">
        <v>123</v>
      </c>
      <c r="J54" s="405"/>
      <c r="K54" s="405"/>
      <c r="L54" s="405"/>
      <c r="M54" s="405"/>
      <c r="N54" s="405"/>
      <c r="O54" s="405"/>
      <c r="P54" s="405"/>
      <c r="Q54" s="405"/>
      <c r="R54" s="405"/>
      <c r="S54" s="405"/>
      <c r="T54" s="405"/>
      <c r="U54" s="405"/>
      <c r="V54" s="405"/>
      <c r="W54" s="405"/>
      <c r="X54" s="405"/>
      <c r="Y54" s="405"/>
    </row>
    <row r="55" ht="21" customHeight="1" hidden="1" spans="1:25" s="405" customFormat="1" x14ac:dyDescent="0.25">
      <c r="A55" s="413"/>
      <c r="B55" s="414"/>
      <c r="C55" s="415"/>
      <c r="D55" s="416"/>
      <c r="E55" s="416"/>
      <c r="F55" s="417"/>
      <c r="G55" s="417"/>
      <c r="H55" s="418"/>
      <c r="I55" s="419"/>
      <c r="J55" s="405"/>
      <c r="K55" s="405"/>
      <c r="L55" s="405"/>
      <c r="M55" s="405"/>
      <c r="N55" s="405"/>
      <c r="O55" s="405"/>
      <c r="P55" s="405"/>
      <c r="Q55" s="405"/>
      <c r="R55" s="405"/>
      <c r="S55" s="405"/>
      <c r="T55" s="405"/>
      <c r="U55" s="405"/>
      <c r="V55" s="405"/>
      <c r="W55" s="405"/>
      <c r="X55" s="405"/>
      <c r="Y55" s="405"/>
    </row>
    <row r="56" ht="21" customHeight="1" hidden="1" spans="1:25" s="405" customFormat="1" x14ac:dyDescent="0.25">
      <c r="A56" s="413"/>
      <c r="B56" s="414"/>
      <c r="C56" s="415"/>
      <c r="D56" s="416"/>
      <c r="E56" s="416"/>
      <c r="F56" s="417"/>
      <c r="G56" s="417"/>
      <c r="H56" s="418"/>
      <c r="I56" s="419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5"/>
      <c r="W56" s="405"/>
      <c r="X56" s="405"/>
      <c r="Y56" s="405"/>
    </row>
    <row r="57" ht="21" customHeight="1" hidden="1" spans="1:25" s="405" customFormat="1" x14ac:dyDescent="0.25">
      <c r="A57" s="413"/>
      <c r="B57" s="414"/>
      <c r="C57" s="415"/>
      <c r="D57" s="416"/>
      <c r="E57" s="416"/>
      <c r="F57" s="417"/>
      <c r="G57" s="417"/>
      <c r="H57" s="418"/>
      <c r="I57" s="419"/>
      <c r="J57" s="405"/>
      <c r="K57" s="405"/>
      <c r="L57" s="405"/>
      <c r="M57" s="405"/>
      <c r="N57" s="405"/>
      <c r="O57" s="405"/>
      <c r="P57" s="405"/>
      <c r="Q57" s="405"/>
      <c r="R57" s="405"/>
      <c r="S57" s="405"/>
      <c r="T57" s="405"/>
      <c r="U57" s="405"/>
      <c r="V57" s="405"/>
      <c r="W57" s="405"/>
      <c r="X57" s="405"/>
      <c r="Y57" s="405"/>
    </row>
    <row r="58" ht="21" customHeight="1" hidden="1" spans="1:25" s="405" customFormat="1" x14ac:dyDescent="0.25">
      <c r="A58" s="420"/>
      <c r="B58" s="421"/>
      <c r="C58" s="420"/>
      <c r="D58" s="111"/>
      <c r="E58" s="111"/>
      <c r="F58" s="422"/>
      <c r="G58" s="422"/>
      <c r="H58" s="423"/>
      <c r="I58" s="424"/>
      <c r="J58" s="405"/>
      <c r="K58" s="405"/>
      <c r="L58" s="405"/>
      <c r="M58" s="405"/>
      <c r="N58" s="405"/>
      <c r="O58" s="405"/>
      <c r="P58" s="405"/>
      <c r="Q58" s="405"/>
      <c r="R58" s="405"/>
      <c r="S58" s="405"/>
      <c r="T58" s="405"/>
      <c r="U58" s="405"/>
      <c r="V58" s="405"/>
      <c r="W58" s="405"/>
      <c r="X58" s="405"/>
      <c r="Y58" s="405"/>
    </row>
    <row r="59" ht="21" customHeight="1" hidden="1" spans="1:25" s="405" customFormat="1" x14ac:dyDescent="0.25">
      <c r="A59" s="425"/>
      <c r="B59" s="407"/>
      <c r="C59" s="425"/>
      <c r="D59" s="409"/>
      <c r="E59" s="409"/>
      <c r="F59" s="426"/>
      <c r="G59" s="426"/>
      <c r="H59" s="427"/>
      <c r="I59" s="428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</row>
    <row r="60" ht="21" customHeight="1" hidden="1" spans="1:25" s="405" customFormat="1" x14ac:dyDescent="0.25">
      <c r="A60" s="429"/>
      <c r="B60" s="430"/>
      <c r="C60" s="430"/>
      <c r="D60" s="431"/>
      <c r="E60" s="432"/>
      <c r="F60" s="433"/>
      <c r="G60" s="433"/>
      <c r="H60" s="434"/>
      <c r="I60" s="435"/>
      <c r="J60" s="405"/>
      <c r="K60" s="405"/>
      <c r="L60" s="405"/>
      <c r="M60" s="405"/>
      <c r="N60" s="405"/>
      <c r="O60" s="405"/>
      <c r="P60" s="405"/>
      <c r="Q60" s="405"/>
      <c r="R60" s="405"/>
      <c r="S60" s="405"/>
      <c r="T60" s="405"/>
      <c r="U60" s="405"/>
      <c r="V60" s="405"/>
      <c r="W60" s="405"/>
      <c r="X60" s="405"/>
      <c r="Y60" s="405"/>
    </row>
    <row r="61" ht="21" customHeight="1" hidden="1" spans="1:25" s="405" customFormat="1" x14ac:dyDescent="0.25">
      <c r="A61" s="430"/>
      <c r="B61" s="430"/>
      <c r="C61" s="430"/>
      <c r="D61" s="431"/>
      <c r="E61" s="432"/>
      <c r="F61" s="436"/>
      <c r="G61" s="436"/>
      <c r="H61" s="434"/>
      <c r="I61" s="437"/>
      <c r="J61" s="405"/>
      <c r="K61" s="405"/>
      <c r="L61" s="405"/>
      <c r="M61" s="405"/>
      <c r="N61" s="405"/>
      <c r="O61" s="405"/>
      <c r="P61" s="405"/>
      <c r="Q61" s="405"/>
      <c r="R61" s="405"/>
      <c r="S61" s="405"/>
      <c r="T61" s="405"/>
      <c r="U61" s="405"/>
      <c r="V61" s="405"/>
      <c r="W61" s="405"/>
      <c r="X61" s="405"/>
      <c r="Y61" s="405"/>
    </row>
    <row r="62" ht="21" customHeight="1" hidden="1" spans="1:25" s="405" customFormat="1" x14ac:dyDescent="0.25">
      <c r="A62" s="430"/>
      <c r="B62" s="430"/>
      <c r="C62" s="430"/>
      <c r="D62" s="431"/>
      <c r="E62" s="432"/>
      <c r="F62" s="436"/>
      <c r="G62" s="436"/>
      <c r="H62" s="434"/>
      <c r="I62" s="437"/>
      <c r="J62" s="405"/>
      <c r="K62" s="405"/>
      <c r="L62" s="405"/>
      <c r="M62" s="405"/>
      <c r="N62" s="405"/>
      <c r="O62" s="405"/>
      <c r="P62" s="405"/>
      <c r="Q62" s="405"/>
      <c r="R62" s="405"/>
      <c r="S62" s="405"/>
      <c r="T62" s="405"/>
      <c r="U62" s="405"/>
      <c r="V62" s="405"/>
      <c r="W62" s="405"/>
      <c r="X62" s="405"/>
      <c r="Y62" s="405"/>
    </row>
    <row r="63" ht="21" customHeight="1" hidden="1" spans="1:25" s="405" customFormat="1" x14ac:dyDescent="0.25">
      <c r="A63" s="438"/>
      <c r="B63" s="438"/>
      <c r="C63" s="438"/>
      <c r="D63" s="112"/>
      <c r="E63" s="439"/>
      <c r="F63" s="440"/>
      <c r="G63" s="440"/>
      <c r="H63" s="441"/>
      <c r="I63" s="442"/>
      <c r="J63" s="405"/>
      <c r="K63" s="405"/>
      <c r="L63" s="405"/>
      <c r="M63" s="405"/>
      <c r="N63" s="405"/>
      <c r="O63" s="405"/>
      <c r="P63" s="405"/>
      <c r="Q63" s="405"/>
      <c r="R63" s="405"/>
      <c r="S63" s="405"/>
      <c r="T63" s="405"/>
      <c r="U63" s="405"/>
      <c r="V63" s="405"/>
      <c r="W63" s="405"/>
      <c r="X63" s="405"/>
      <c r="Y63" s="405"/>
    </row>
    <row r="64" ht="21" customHeight="1" hidden="1" spans="1:25" s="405" customFormat="1" x14ac:dyDescent="0.25">
      <c r="A64" s="408"/>
      <c r="B64" s="408"/>
      <c r="C64" s="408"/>
      <c r="D64" s="104"/>
      <c r="E64" s="443"/>
      <c r="F64" s="444"/>
      <c r="G64" s="444"/>
      <c r="H64" s="427"/>
      <c r="I64" s="445"/>
      <c r="J64" s="405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5"/>
      <c r="V64" s="405"/>
      <c r="W64" s="405"/>
      <c r="X64" s="405"/>
      <c r="Y64" s="405"/>
    </row>
    <row r="65" ht="21" customHeight="1" hidden="1" spans="1:25" s="405" customFormat="1" x14ac:dyDescent="0.25">
      <c r="A65" s="430"/>
      <c r="B65" s="430"/>
      <c r="C65" s="430"/>
      <c r="D65" s="431"/>
      <c r="E65" s="432"/>
      <c r="F65" s="436"/>
      <c r="G65" s="436"/>
      <c r="H65" s="434"/>
      <c r="I65" s="437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5"/>
      <c r="V65" s="405"/>
      <c r="W65" s="405"/>
      <c r="X65" s="405"/>
      <c r="Y65" s="405"/>
    </row>
    <row r="66" ht="21" customHeight="1" hidden="1" spans="1:25" s="405" customFormat="1" x14ac:dyDescent="0.25">
      <c r="A66" s="430"/>
      <c r="B66" s="430"/>
      <c r="C66" s="430"/>
      <c r="D66" s="431"/>
      <c r="E66" s="432"/>
      <c r="F66" s="436"/>
      <c r="G66" s="436"/>
      <c r="H66" s="434"/>
      <c r="I66" s="437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5"/>
      <c r="V66" s="405"/>
      <c r="W66" s="405"/>
      <c r="X66" s="405"/>
      <c r="Y66" s="405"/>
    </row>
    <row r="67" ht="21" customHeight="1" hidden="1" spans="1:25" s="405" customFormat="1" x14ac:dyDescent="0.25">
      <c r="A67" s="430"/>
      <c r="B67" s="430"/>
      <c r="C67" s="430"/>
      <c r="D67" s="431"/>
      <c r="E67" s="432"/>
      <c r="F67" s="436"/>
      <c r="G67" s="436"/>
      <c r="H67" s="434"/>
      <c r="I67" s="437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5"/>
      <c r="V67" s="405"/>
      <c r="W67" s="405"/>
      <c r="X67" s="405"/>
      <c r="Y67" s="405"/>
    </row>
    <row r="68" ht="21" customHeight="1" hidden="1" spans="1:25" s="405" customFormat="1" x14ac:dyDescent="0.25">
      <c r="A68" s="446"/>
      <c r="B68" s="446"/>
      <c r="C68" s="446"/>
      <c r="D68" s="112"/>
      <c r="E68" s="439"/>
      <c r="F68" s="447"/>
      <c r="G68" s="447"/>
      <c r="H68" s="448"/>
      <c r="I68" s="449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5"/>
      <c r="V68" s="405"/>
      <c r="W68" s="405"/>
      <c r="X68" s="405"/>
      <c r="Y68" s="405"/>
    </row>
    <row r="69" ht="21" customHeight="1" hidden="1" spans="1:25" s="405" customFormat="1" x14ac:dyDescent="0.25">
      <c r="A69" s="450"/>
      <c r="B69" s="450"/>
      <c r="C69" s="450"/>
      <c r="D69" s="104"/>
      <c r="E69" s="443"/>
      <c r="F69" s="451"/>
      <c r="G69" s="451"/>
      <c r="H69" s="103"/>
      <c r="I69" s="452"/>
      <c r="J69" s="405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5"/>
      <c r="V69" s="405"/>
      <c r="W69" s="405"/>
      <c r="X69" s="405"/>
      <c r="Y69" s="405"/>
    </row>
    <row r="70" ht="21" customHeight="1" hidden="1" spans="1:25" s="405" customFormat="1" x14ac:dyDescent="0.25">
      <c r="A70" s="430"/>
      <c r="B70" s="430"/>
      <c r="C70" s="430"/>
      <c r="D70" s="431"/>
      <c r="E70" s="432"/>
      <c r="F70" s="436"/>
      <c r="G70" s="436"/>
      <c r="H70" s="453"/>
      <c r="I70" s="437"/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5"/>
      <c r="V70" s="405"/>
      <c r="W70" s="405"/>
      <c r="X70" s="405"/>
      <c r="Y70" s="405"/>
    </row>
    <row r="71" ht="21" customHeight="1" hidden="1" spans="1:25" s="405" customFormat="1" x14ac:dyDescent="0.25">
      <c r="A71" s="454"/>
      <c r="B71" s="454"/>
      <c r="C71" s="454"/>
      <c r="D71" s="431"/>
      <c r="E71" s="432"/>
      <c r="F71" s="455"/>
      <c r="G71" s="455"/>
      <c r="H71" s="453"/>
      <c r="I71" s="437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5"/>
      <c r="V71" s="405"/>
      <c r="W71" s="405"/>
      <c r="X71" s="405"/>
      <c r="Y71" s="405"/>
    </row>
    <row r="72" ht="21" customHeight="1" hidden="1" spans="1:25" s="405" customFormat="1" x14ac:dyDescent="0.25">
      <c r="A72" s="454"/>
      <c r="B72" s="454"/>
      <c r="C72" s="454"/>
      <c r="D72" s="431"/>
      <c r="E72" s="432"/>
      <c r="F72" s="455"/>
      <c r="G72" s="455"/>
      <c r="H72" s="453"/>
      <c r="I72" s="437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5"/>
      <c r="V72" s="405"/>
      <c r="W72" s="405"/>
      <c r="X72" s="405"/>
      <c r="Y72" s="405"/>
    </row>
    <row r="73" ht="21" customHeight="1" hidden="1" spans="1:25" s="405" customFormat="1" x14ac:dyDescent="0.25">
      <c r="A73" s="414"/>
      <c r="B73" s="414"/>
      <c r="C73" s="414"/>
      <c r="D73" s="456"/>
      <c r="E73" s="432"/>
      <c r="F73" s="457"/>
      <c r="G73" s="457"/>
      <c r="H73" s="416"/>
      <c r="I73" s="437"/>
      <c r="J73" s="405"/>
      <c r="K73" s="405"/>
      <c r="L73" s="405"/>
      <c r="M73" s="405"/>
      <c r="N73" s="405"/>
      <c r="O73" s="405"/>
      <c r="P73" s="405"/>
      <c r="Q73" s="405"/>
      <c r="R73" s="405"/>
      <c r="S73" s="405"/>
      <c r="T73" s="405"/>
      <c r="U73" s="405"/>
      <c r="V73" s="405"/>
      <c r="W73" s="405"/>
      <c r="X73" s="405"/>
      <c r="Y73" s="405"/>
    </row>
    <row r="74" ht="6.95" customHeight="1" hidden="1" spans="1:25" s="3" customForma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" customHeight="1" hidden="1" spans="1:25" s="405" customFormat="1" x14ac:dyDescent="0.25">
      <c r="A75" s="405" t="s">
        <v>124</v>
      </c>
      <c r="B75" s="405"/>
      <c r="C75" s="405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405"/>
      <c r="R75" s="405"/>
      <c r="S75" s="405"/>
      <c r="T75" s="405"/>
      <c r="U75" s="405"/>
      <c r="V75" s="405"/>
      <c r="W75" s="405"/>
      <c r="X75" s="405"/>
      <c r="Y75" s="405"/>
    </row>
    <row r="76" ht="14.25" customHeight="1" hidden="1" spans="1:25" s="405" customFormat="1" x14ac:dyDescent="0.25">
      <c r="A76" s="405" t="s">
        <v>125</v>
      </c>
      <c r="B76" s="405"/>
      <c r="C76" s="405"/>
      <c r="D76" s="405"/>
      <c r="E76" s="405"/>
      <c r="F76" s="405"/>
      <c r="G76" s="405"/>
      <c r="H76" s="405"/>
      <c r="I76" s="405"/>
      <c r="J76" s="405"/>
      <c r="K76" s="405"/>
      <c r="L76" s="405"/>
      <c r="M76" s="405"/>
      <c r="N76" s="405"/>
      <c r="O76" s="405"/>
      <c r="P76" s="405"/>
      <c r="Q76" s="405"/>
      <c r="R76" s="405"/>
      <c r="S76" s="405"/>
      <c r="T76" s="405"/>
      <c r="U76" s="405"/>
      <c r="V76" s="405"/>
      <c r="W76" s="405"/>
      <c r="X76" s="405"/>
      <c r="Y76" s="405"/>
    </row>
    <row r="77" ht="14.25" customHeight="1" hidden="1" spans="1:25" s="405" customFormat="1" x14ac:dyDescent="0.25">
      <c r="A77" s="405" t="s">
        <v>126</v>
      </c>
      <c r="B77" s="405"/>
      <c r="C77" s="405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405"/>
      <c r="R77" s="405"/>
      <c r="S77" s="405"/>
      <c r="T77" s="405"/>
      <c r="U77" s="405"/>
      <c r="V77" s="405"/>
      <c r="W77" s="405"/>
      <c r="X77" s="405"/>
      <c r="Y77" s="405"/>
    </row>
    <row r="78" ht="14.25" customHeight="1" hidden="1" spans="1:25" s="405" customFormat="1" x14ac:dyDescent="0.25">
      <c r="A78" s="405" t="s">
        <v>127</v>
      </c>
      <c r="B78" s="405"/>
      <c r="C78" s="405"/>
      <c r="D78" s="405"/>
      <c r="E78" s="405"/>
      <c r="F78" s="405"/>
      <c r="G78" s="405"/>
      <c r="H78" s="405"/>
      <c r="I78" s="405"/>
      <c r="J78" s="405"/>
      <c r="K78" s="405"/>
      <c r="L78" s="405"/>
      <c r="M78" s="405"/>
      <c r="N78" s="405"/>
      <c r="O78" s="405"/>
      <c r="P78" s="405"/>
      <c r="Q78" s="405"/>
      <c r="R78" s="405"/>
      <c r="S78" s="405"/>
      <c r="T78" s="405"/>
      <c r="U78" s="405"/>
      <c r="V78" s="405"/>
      <c r="W78" s="405"/>
      <c r="X78" s="405"/>
      <c r="Y78" s="405"/>
    </row>
    <row r="79" ht="14.25" customHeight="1" hidden="1" spans="1:25" s="405" customFormat="1" x14ac:dyDescent="0.25">
      <c r="A79" s="405" t="s">
        <v>128</v>
      </c>
      <c r="B79" s="405"/>
      <c r="C79" s="405"/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405"/>
      <c r="R79" s="405"/>
      <c r="S79" s="405"/>
      <c r="T79" s="405"/>
      <c r="U79" s="405"/>
      <c r="V79" s="405"/>
      <c r="W79" s="405"/>
      <c r="X79" s="405"/>
      <c r="Y79" s="405"/>
    </row>
    <row r="80" ht="14.25" customHeight="1" hidden="1" spans="1:25" s="405" customFormat="1" x14ac:dyDescent="0.25">
      <c r="A80" s="405" t="s">
        <v>129</v>
      </c>
      <c r="B80" s="405"/>
      <c r="C80" s="405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5"/>
      <c r="V80" s="405"/>
      <c r="W80" s="405"/>
      <c r="X80" s="405"/>
      <c r="Y80" s="405"/>
    </row>
    <row r="81" ht="14.25" customHeight="1" hidden="1" spans="1:25" s="405" customFormat="1" x14ac:dyDescent="0.25">
      <c r="A81" s="405"/>
      <c r="B81" s="405"/>
      <c r="C81" s="405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5"/>
      <c r="V81" s="405"/>
      <c r="W81" s="405"/>
      <c r="X81" s="405"/>
      <c r="Y81" s="405"/>
    </row>
    <row r="82" ht="15.95" customHeight="1" hidden="1" spans="1:25" s="3" customForma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95" customHeight="1" hidden="1" spans="1:25" s="3" customForma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8" customHeight="1" hidden="1" spans="1:25" s="405" customFormat="1" x14ac:dyDescent="0.25">
      <c r="A84" s="204" t="s">
        <v>23</v>
      </c>
      <c r="B84" s="204"/>
      <c r="C84" s="41"/>
      <c r="D84" s="204" t="s">
        <v>119</v>
      </c>
      <c r="E84" s="204"/>
      <c r="F84" s="204"/>
      <c r="G84" s="41"/>
      <c r="H84" s="204" t="s">
        <v>24</v>
      </c>
      <c r="I84" s="204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5"/>
      <c r="V84" s="405"/>
      <c r="W84" s="405"/>
      <c r="X84" s="405"/>
      <c r="Y84" s="405"/>
    </row>
    <row r="85" ht="27" customHeight="1" spans="1:25" s="3" customFormat="1" x14ac:dyDescent="0.25">
      <c r="A85" s="396" t="s">
        <v>25</v>
      </c>
      <c r="B85" s="396"/>
      <c r="C85" s="396"/>
      <c r="D85" s="396"/>
      <c r="E85" s="396"/>
      <c r="F85" s="396"/>
      <c r="G85" s="396"/>
      <c r="H85" s="396"/>
      <c r="I85" s="39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8" customHeight="1" spans="1:25" s="3" customFormat="1" x14ac:dyDescent="0.25">
      <c r="A86" s="397" t="s">
        <v>26</v>
      </c>
      <c r="B86" s="397"/>
      <c r="C86" s="397"/>
      <c r="D86" s="397"/>
      <c r="E86" s="397"/>
      <c r="F86" s="397"/>
      <c r="G86" s="397"/>
      <c r="H86" s="397"/>
      <c r="I86" s="39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1.25" customHeight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6.25" customHeight="1" spans="1:25" s="5" customFormat="1" x14ac:dyDescent="0.25">
      <c r="A88" s="206" t="s">
        <v>105</v>
      </c>
      <c r="B88" s="206"/>
      <c r="C88" s="206"/>
      <c r="D88" s="206"/>
      <c r="E88" s="206"/>
      <c r="F88" s="206"/>
      <c r="G88" s="206"/>
      <c r="H88" s="206"/>
      <c r="I88" s="20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95" customHeight="1" spans="1:25" s="5" customFormat="1" x14ac:dyDescent="0.25">
      <c r="A89" s="192" t="s">
        <v>106</v>
      </c>
      <c r="B89" s="192"/>
      <c r="C89" s="192"/>
      <c r="D89" s="192"/>
      <c r="E89" s="192"/>
      <c r="F89" s="192"/>
      <c r="G89" s="192"/>
      <c r="H89" s="192"/>
      <c r="I89" s="19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25" customHeight="1" spans="1:25" s="5" customFormat="1" x14ac:dyDescent="0.25">
      <c r="A90" s="192"/>
      <c r="B90" s="192"/>
      <c r="C90" s="192"/>
      <c r="D90" s="192"/>
      <c r="E90" s="192"/>
      <c r="F90" s="192"/>
      <c r="G90" s="192"/>
      <c r="H90" s="192"/>
      <c r="I90" s="338" t="s">
        <v>107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2.5" customHeight="1" spans="1:25" s="5" customFormat="1" x14ac:dyDescent="0.25">
      <c r="A91" s="156" t="str">
        <f>A7</f>
        <v>M / V  :  SAWASDEE DENEB</v>
      </c>
      <c r="B91" s="156"/>
      <c r="C91" s="156"/>
      <c r="D91" s="156" t="s">
        <v>108</v>
      </c>
      <c r="E91" s="207" t="str">
        <f>'OS-OUT'!H6</f>
        <v>2608S</v>
      </c>
      <c r="F91" s="207"/>
      <c r="G91" s="338" t="s">
        <v>5</v>
      </c>
      <c r="H91" s="208">
        <f>'OS-OUT'!L6</f>
        <v>46218</v>
      </c>
      <c r="I91" s="19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2.5" customHeight="1" spans="1:25" s="5" customFormat="1" x14ac:dyDescent="0.25">
      <c r="A92" s="156" t="s">
        <v>109</v>
      </c>
      <c r="B92" s="156"/>
      <c r="C92" s="156"/>
      <c r="D92" s="156" t="s">
        <v>7</v>
      </c>
      <c r="E92" s="192">
        <f>E8</f>
        <v>6</v>
      </c>
      <c r="F92" s="156"/>
      <c r="G92" s="338" t="s">
        <v>8</v>
      </c>
      <c r="H92" s="19" t="s">
        <v>110</v>
      </c>
      <c r="I92" s="1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9" customHeight="1" spans="1:25" s="5" customFormat="1" x14ac:dyDescent="0.25">
      <c r="A93" s="156"/>
      <c r="B93" s="156"/>
      <c r="C93" s="156"/>
      <c r="D93" s="156"/>
      <c r="E93" s="156"/>
      <c r="F93" s="156"/>
      <c r="G93" s="156"/>
      <c r="H93" s="156"/>
      <c r="I93" s="15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1" customHeight="1" spans="1:25" s="5" customFormat="1" x14ac:dyDescent="0.25">
      <c r="A94" s="263" t="s">
        <v>111</v>
      </c>
      <c r="B94" s="263" t="s">
        <v>93</v>
      </c>
      <c r="C94" s="263" t="s">
        <v>89</v>
      </c>
      <c r="D94" s="253" t="s">
        <v>112</v>
      </c>
      <c r="E94" s="174"/>
      <c r="F94" s="253" t="s">
        <v>113</v>
      </c>
      <c r="G94" s="174"/>
      <c r="H94" s="399" t="s">
        <v>114</v>
      </c>
      <c r="I94" s="263" t="s">
        <v>57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1" customHeight="1" spans="1:25" s="5" customFormat="1" x14ac:dyDescent="0.25">
      <c r="A95" s="33"/>
      <c r="B95" s="33"/>
      <c r="C95" s="33"/>
      <c r="D95" s="401" t="s">
        <v>115</v>
      </c>
      <c r="E95" s="402"/>
      <c r="F95" s="403" t="s">
        <v>116</v>
      </c>
      <c r="G95" s="401" t="s">
        <v>117</v>
      </c>
      <c r="H95" s="404" t="s">
        <v>118</v>
      </c>
      <c r="I95" s="3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15" customHeight="1" spans="1:25" x14ac:dyDescent="0.25">
      <c r="A96" s="458" t="s">
        <v>130</v>
      </c>
      <c r="B96" s="459"/>
      <c r="C96" s="460" t="s">
        <v>122</v>
      </c>
      <c r="D96" s="220"/>
      <c r="E96" s="220"/>
      <c r="F96" s="461">
        <v>-25</v>
      </c>
      <c r="G96" s="461">
        <v>-23.4</v>
      </c>
      <c r="H96" s="462" t="s">
        <v>131</v>
      </c>
      <c r="I96" s="463" t="s">
        <v>132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2.15" customHeight="1" spans="1:25" x14ac:dyDescent="0.25">
      <c r="A97" s="464" t="s">
        <v>133</v>
      </c>
      <c r="B97" s="465"/>
      <c r="C97" s="466" t="s">
        <v>122</v>
      </c>
      <c r="D97" s="399"/>
      <c r="E97" s="399"/>
      <c r="F97" s="467">
        <v>-25</v>
      </c>
      <c r="G97" s="468">
        <v>-24.9</v>
      </c>
      <c r="H97" s="469" t="s">
        <v>134</v>
      </c>
      <c r="I97" s="470" t="s">
        <v>132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2.15" customHeight="1" spans="1:25" x14ac:dyDescent="0.25">
      <c r="A98" s="464" t="s">
        <v>135</v>
      </c>
      <c r="B98" s="465"/>
      <c r="C98" s="466" t="s">
        <v>122</v>
      </c>
      <c r="D98" s="399"/>
      <c r="E98" s="399"/>
      <c r="F98" s="467">
        <v>-25</v>
      </c>
      <c r="G98" s="471">
        <v>-23.1</v>
      </c>
      <c r="H98" s="469" t="s">
        <v>134</v>
      </c>
      <c r="I98" s="470" t="s">
        <v>132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2.15" customHeight="1" spans="1:25" x14ac:dyDescent="0.25">
      <c r="A99" s="464" t="s">
        <v>136</v>
      </c>
      <c r="B99" s="465"/>
      <c r="C99" s="466" t="s">
        <v>122</v>
      </c>
      <c r="D99" s="399"/>
      <c r="E99" s="399"/>
      <c r="F99" s="467">
        <v>-25</v>
      </c>
      <c r="G99" s="471">
        <v>-23.9</v>
      </c>
      <c r="H99" s="469" t="s">
        <v>134</v>
      </c>
      <c r="I99" s="463" t="s">
        <v>132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2.15" customHeight="1" spans="1:25" x14ac:dyDescent="0.25">
      <c r="A100" s="420" t="s">
        <v>137</v>
      </c>
      <c r="B100" s="472"/>
      <c r="C100" s="420" t="s">
        <v>122</v>
      </c>
      <c r="D100" s="473"/>
      <c r="E100" s="473"/>
      <c r="F100" s="422">
        <v>-25</v>
      </c>
      <c r="G100" s="474">
        <v>-4.3</v>
      </c>
      <c r="H100" s="475" t="s">
        <v>134</v>
      </c>
      <c r="I100" s="424" t="s">
        <v>132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2.15" customHeight="1" spans="1:25" x14ac:dyDescent="0.25">
      <c r="A101" s="425" t="s">
        <v>138</v>
      </c>
      <c r="B101" s="459"/>
      <c r="C101" s="425" t="s">
        <v>122</v>
      </c>
      <c r="D101" s="220"/>
      <c r="E101" s="220"/>
      <c r="F101" s="426">
        <v>-25</v>
      </c>
      <c r="G101" s="426">
        <v>-25</v>
      </c>
      <c r="H101" s="476" t="s">
        <v>134</v>
      </c>
      <c r="I101" s="428" t="s">
        <v>132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2.15" customHeight="1" spans="1:25" x14ac:dyDescent="0.25">
      <c r="A102" s="477"/>
      <c r="B102" s="478"/>
      <c r="C102" s="478"/>
      <c r="D102" s="171"/>
      <c r="E102" s="174"/>
      <c r="F102" s="479"/>
      <c r="G102" s="480"/>
      <c r="H102" s="481"/>
      <c r="I102" s="4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2.15" customHeight="1" spans="1:25" x14ac:dyDescent="0.25">
      <c r="A103" s="478"/>
      <c r="B103" s="478"/>
      <c r="C103" s="478"/>
      <c r="D103" s="171"/>
      <c r="E103" s="174"/>
      <c r="F103" s="479"/>
      <c r="G103" s="480"/>
      <c r="H103" s="481"/>
      <c r="I103" s="48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2.15" customHeight="1" spans="1:25" x14ac:dyDescent="0.25">
      <c r="A104" s="478"/>
      <c r="B104" s="478"/>
      <c r="C104" s="478"/>
      <c r="D104" s="171"/>
      <c r="E104" s="174"/>
      <c r="F104" s="479"/>
      <c r="G104" s="480"/>
      <c r="H104" s="481"/>
      <c r="I104" s="48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2.15" customHeight="1" spans="1:25" x14ac:dyDescent="0.25">
      <c r="A105" s="483"/>
      <c r="B105" s="483"/>
      <c r="C105" s="483"/>
      <c r="D105" s="197"/>
      <c r="E105" s="178"/>
      <c r="F105" s="484"/>
      <c r="G105" s="484"/>
      <c r="H105" s="485"/>
      <c r="I105" s="48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2.15" customHeight="1" spans="1:25" x14ac:dyDescent="0.25">
      <c r="A106" s="460"/>
      <c r="B106" s="460"/>
      <c r="C106" s="460"/>
      <c r="D106" s="30"/>
      <c r="E106" s="28"/>
      <c r="F106" s="487"/>
      <c r="G106" s="487"/>
      <c r="H106" s="476"/>
      <c r="I106" s="48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2.15" customHeight="1" spans="1:25" x14ac:dyDescent="0.25">
      <c r="A107" s="478"/>
      <c r="B107" s="478"/>
      <c r="C107" s="478"/>
      <c r="D107" s="171"/>
      <c r="E107" s="174"/>
      <c r="F107" s="480"/>
      <c r="G107" s="480"/>
      <c r="H107" s="481"/>
      <c r="I107" s="48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2.15" customHeight="1" spans="1:25" x14ac:dyDescent="0.25">
      <c r="A108" s="478"/>
      <c r="B108" s="478"/>
      <c r="C108" s="478"/>
      <c r="D108" s="171"/>
      <c r="E108" s="174"/>
      <c r="F108" s="480"/>
      <c r="G108" s="480"/>
      <c r="H108" s="481"/>
      <c r="I108" s="48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2.15" customHeight="1" spans="1:25" x14ac:dyDescent="0.25">
      <c r="A109" s="478"/>
      <c r="B109" s="478"/>
      <c r="C109" s="478"/>
      <c r="D109" s="171"/>
      <c r="E109" s="174"/>
      <c r="F109" s="480"/>
      <c r="G109" s="480"/>
      <c r="H109" s="481"/>
      <c r="I109" s="48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2.15" customHeight="1" spans="1:25" x14ac:dyDescent="0.25">
      <c r="A110" s="490"/>
      <c r="B110" s="490"/>
      <c r="C110" s="490"/>
      <c r="D110" s="197"/>
      <c r="E110" s="178"/>
      <c r="F110" s="491"/>
      <c r="G110" s="491"/>
      <c r="H110" s="263"/>
      <c r="I110" s="49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2.15" customHeight="1" spans="1:25" x14ac:dyDescent="0.25">
      <c r="A111" s="493"/>
      <c r="B111" s="493"/>
      <c r="C111" s="493"/>
      <c r="D111" s="30"/>
      <c r="E111" s="28"/>
      <c r="F111" s="494"/>
      <c r="G111" s="494"/>
      <c r="H111" s="29"/>
      <c r="I111" s="49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2.15" customHeight="1" spans="1:25" x14ac:dyDescent="0.25">
      <c r="A112" s="478"/>
      <c r="B112" s="478"/>
      <c r="C112" s="478"/>
      <c r="D112" s="171"/>
      <c r="E112" s="174"/>
      <c r="F112" s="480"/>
      <c r="G112" s="480"/>
      <c r="H112" s="289"/>
      <c r="I112" s="48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2.15" customHeight="1" spans="1:25" x14ac:dyDescent="0.25">
      <c r="A113" s="496"/>
      <c r="B113" s="496"/>
      <c r="C113" s="496"/>
      <c r="D113" s="171"/>
      <c r="E113" s="174"/>
      <c r="F113" s="497"/>
      <c r="G113" s="498"/>
      <c r="H113" s="289"/>
      <c r="I113" s="9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2.15" customHeight="1" spans="1:25" x14ac:dyDescent="0.25">
      <c r="A114" s="496"/>
      <c r="B114" s="496"/>
      <c r="C114" s="496"/>
      <c r="D114" s="171"/>
      <c r="E114" s="174"/>
      <c r="F114" s="497"/>
      <c r="G114" s="498"/>
      <c r="H114" s="289"/>
      <c r="I114" s="9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2.15" customHeight="1" spans="1:25" x14ac:dyDescent="0.25">
      <c r="A115" s="499"/>
      <c r="B115" s="499"/>
      <c r="C115" s="499"/>
      <c r="D115" s="253"/>
      <c r="E115" s="174"/>
      <c r="F115" s="468"/>
      <c r="G115" s="500"/>
      <c r="H115" s="399"/>
      <c r="I115" s="5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5.45" customHeight="1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405" t="s">
        <v>124</v>
      </c>
      <c r="B117" s="405"/>
      <c r="C117" s="405"/>
      <c r="D117" s="405"/>
      <c r="E117" s="405"/>
      <c r="F117" s="405"/>
      <c r="G117" s="405"/>
      <c r="H117" s="405"/>
      <c r="I117" s="40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405" t="s">
        <v>125</v>
      </c>
      <c r="B118" s="405"/>
      <c r="C118" s="405"/>
      <c r="D118" s="405"/>
      <c r="E118" s="405"/>
      <c r="F118" s="405"/>
      <c r="G118" s="405"/>
      <c r="H118" s="405"/>
      <c r="I118" s="40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405" t="s">
        <v>126</v>
      </c>
      <c r="B119" s="405"/>
      <c r="C119" s="405"/>
      <c r="D119" s="405"/>
      <c r="E119" s="405"/>
      <c r="F119" s="405"/>
      <c r="G119" s="405"/>
      <c r="H119" s="405"/>
      <c r="I119" s="40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405" t="s">
        <v>127</v>
      </c>
      <c r="B120" s="405"/>
      <c r="C120" s="405"/>
      <c r="D120" s="405"/>
      <c r="E120" s="405"/>
      <c r="F120" s="405"/>
      <c r="G120" s="405"/>
      <c r="H120" s="405"/>
      <c r="I120" s="40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405" t="s">
        <v>128</v>
      </c>
      <c r="B121" s="405"/>
      <c r="C121" s="405"/>
      <c r="D121" s="405"/>
      <c r="E121" s="405"/>
      <c r="F121" s="405"/>
      <c r="G121" s="405"/>
      <c r="H121" s="405"/>
      <c r="I121" s="40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405" t="s">
        <v>129</v>
      </c>
      <c r="B122" s="405"/>
      <c r="C122" s="405"/>
      <c r="D122" s="405"/>
      <c r="E122" s="405"/>
      <c r="F122" s="405"/>
      <c r="G122" s="405"/>
      <c r="H122" s="405"/>
      <c r="I122" s="40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405"/>
      <c r="B123" s="405"/>
      <c r="C123" s="405"/>
      <c r="D123" s="405"/>
      <c r="E123" s="405"/>
      <c r="F123" s="405"/>
      <c r="G123" s="405"/>
      <c r="H123" s="405"/>
      <c r="I123" s="40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501"/>
      <c r="B125" s="501"/>
      <c r="C125" s="3"/>
      <c r="D125" s="501"/>
      <c r="E125" s="501"/>
      <c r="F125" s="501"/>
      <c r="G125" s="3"/>
      <c r="H125" s="501"/>
      <c r="I125" s="50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" customHeight="1" spans="1:25" x14ac:dyDescent="0.25">
      <c r="A126" s="204" t="s">
        <v>23</v>
      </c>
      <c r="B126" s="204"/>
      <c r="C126" s="41"/>
      <c r="D126" s="204" t="s">
        <v>119</v>
      </c>
      <c r="E126" s="204"/>
      <c r="F126" s="204"/>
      <c r="G126" s="41"/>
      <c r="H126" s="204" t="s">
        <v>24</v>
      </c>
      <c r="I126" s="20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</sheetData>
  <mergeCells count="91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  <mergeCell ref="A85:I85"/>
    <mergeCell ref="A86:I86"/>
    <mergeCell ref="A88:I88"/>
    <mergeCell ref="A89:I89"/>
    <mergeCell ref="E91:F91"/>
    <mergeCell ref="H91:I91"/>
    <mergeCell ref="H92:I92"/>
    <mergeCell ref="D94:E94"/>
    <mergeCell ref="F94:G94"/>
    <mergeCell ref="A94:A95"/>
    <mergeCell ref="B94:B95"/>
    <mergeCell ref="C94:C95"/>
    <mergeCell ref="D95:E95"/>
    <mergeCell ref="I94:I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A126:B126"/>
    <mergeCell ref="D126:F126"/>
    <mergeCell ref="H126:I126"/>
  </mergeCells>
  <printOptions horizontalCentered="1"/>
  <pageMargins left="0.3937007874015748" right="0.3937007874015748" top="0.3937007874015748" bottom="0.3937007874015748" header="0" footer="0"/>
  <pageSetup paperSize="9" orientation="portrait" horizontalDpi="4294967295" verticalDpi="4294967295" scale="96" fitToWidth="0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8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6" customWidth="1"/>
    <col min="2" max="2" width="9.5" style="156" customWidth="1"/>
    <col min="3" max="5" width="5.625" style="156" customWidth="1"/>
    <col min="6" max="9" width="6" style="156" customWidth="1"/>
    <col min="10" max="10" width="9" style="156" customWidth="1"/>
    <col min="11" max="14" width="7.625" style="156" customWidth="1"/>
    <col min="15" max="15" width="7.875" style="156" customWidth="1"/>
    <col min="16" max="18" width="7.625" style="156" customWidth="1"/>
    <col min="19" max="19" width="6.75" style="156" customWidth="1"/>
    <col min="20" max="256" width="9" style="156" customWidth="1"/>
    <col min="257" max="257" width="7.5" style="156" customWidth="1"/>
    <col min="258" max="258" width="9.5" style="156" customWidth="1"/>
    <col min="259" max="261" width="5.625" style="156" customWidth="1"/>
    <col min="262" max="265" width="6" style="156" customWidth="1"/>
    <col min="266" max="266" width="9" style="156" customWidth="1"/>
    <col min="267" max="267" width="7.625" style="156" customWidth="1"/>
    <col min="268" max="274" width="8" style="156" customWidth="1"/>
    <col min="275" max="275" width="6.75" style="156" customWidth="1"/>
    <col min="276" max="512" width="9" style="156" customWidth="1"/>
    <col min="513" max="513" width="7.5" style="156" customWidth="1"/>
    <col min="514" max="514" width="9.5" style="156" customWidth="1"/>
    <col min="515" max="517" width="5.625" style="156" customWidth="1"/>
    <col min="518" max="521" width="6" style="156" customWidth="1"/>
    <col min="522" max="522" width="9" style="156" customWidth="1"/>
    <col min="523" max="523" width="7.625" style="156" customWidth="1"/>
    <col min="524" max="530" width="8" style="156" customWidth="1"/>
    <col min="531" max="531" width="6.75" style="156" customWidth="1"/>
    <col min="532" max="768" width="9" style="156" customWidth="1"/>
    <col min="769" max="769" width="7.5" style="156" customWidth="1"/>
    <col min="770" max="770" width="9.5" style="156" customWidth="1"/>
    <col min="771" max="773" width="5.625" style="156" customWidth="1"/>
    <col min="774" max="777" width="6" style="156" customWidth="1"/>
    <col min="778" max="778" width="9" style="156" customWidth="1"/>
    <col min="779" max="779" width="7.625" style="156" customWidth="1"/>
    <col min="780" max="786" width="8" style="156" customWidth="1"/>
    <col min="787" max="787" width="6.75" style="156" customWidth="1"/>
    <col min="788" max="1024" width="9" style="156" customWidth="1"/>
    <col min="1025" max="1025" width="7.5" style="156" customWidth="1"/>
    <col min="1026" max="1026" width="9.5" style="156" customWidth="1"/>
    <col min="1027" max="1029" width="5.625" style="156" customWidth="1"/>
    <col min="1030" max="1033" width="6" style="156" customWidth="1"/>
    <col min="1034" max="1034" width="9" style="156" customWidth="1"/>
    <col min="1035" max="1035" width="7.625" style="156" customWidth="1"/>
    <col min="1036" max="1042" width="8" style="156" customWidth="1"/>
    <col min="1043" max="1043" width="6.75" style="156" customWidth="1"/>
    <col min="1044" max="1280" width="9" style="156" customWidth="1"/>
    <col min="1281" max="1281" width="7.5" style="156" customWidth="1"/>
    <col min="1282" max="1282" width="9.5" style="156" customWidth="1"/>
    <col min="1283" max="1285" width="5.625" style="156" customWidth="1"/>
    <col min="1286" max="1289" width="6" style="156" customWidth="1"/>
    <col min="1290" max="1290" width="9" style="156" customWidth="1"/>
    <col min="1291" max="1291" width="7.625" style="156" customWidth="1"/>
    <col min="1292" max="1298" width="8" style="156" customWidth="1"/>
    <col min="1299" max="1299" width="6.75" style="156" customWidth="1"/>
    <col min="1300" max="1536" width="9" style="156" customWidth="1"/>
    <col min="1537" max="1537" width="7.5" style="156" customWidth="1"/>
    <col min="1538" max="1538" width="9.5" style="156" customWidth="1"/>
    <col min="1539" max="1541" width="5.625" style="156" customWidth="1"/>
    <col min="1542" max="1545" width="6" style="156" customWidth="1"/>
    <col min="1546" max="1546" width="9" style="156" customWidth="1"/>
    <col min="1547" max="1547" width="7.625" style="156" customWidth="1"/>
    <col min="1548" max="1554" width="8" style="156" customWidth="1"/>
    <col min="1555" max="1555" width="6.75" style="156" customWidth="1"/>
    <col min="1556" max="1792" width="9" style="156" customWidth="1"/>
    <col min="1793" max="1793" width="7.5" style="156" customWidth="1"/>
    <col min="1794" max="1794" width="9.5" style="156" customWidth="1"/>
    <col min="1795" max="1797" width="5.625" style="156" customWidth="1"/>
    <col min="1798" max="1801" width="6" style="156" customWidth="1"/>
    <col min="1802" max="1802" width="9" style="156" customWidth="1"/>
    <col min="1803" max="1803" width="7.625" style="156" customWidth="1"/>
    <col min="1804" max="1810" width="8" style="156" customWidth="1"/>
    <col min="1811" max="1811" width="6.75" style="156" customWidth="1"/>
    <col min="1812" max="2048" width="9" style="156" customWidth="1"/>
    <col min="2049" max="2049" width="7.5" style="156" customWidth="1"/>
    <col min="2050" max="2050" width="9.5" style="156" customWidth="1"/>
    <col min="2051" max="2053" width="5.625" style="156" customWidth="1"/>
    <col min="2054" max="2057" width="6" style="156" customWidth="1"/>
    <col min="2058" max="2058" width="9" style="156" customWidth="1"/>
    <col min="2059" max="2059" width="7.625" style="156" customWidth="1"/>
    <col min="2060" max="2066" width="8" style="156" customWidth="1"/>
    <col min="2067" max="2067" width="6.75" style="156" customWidth="1"/>
    <col min="2068" max="2304" width="9" style="156" customWidth="1"/>
    <col min="2305" max="2305" width="7.5" style="156" customWidth="1"/>
    <col min="2306" max="2306" width="9.5" style="156" customWidth="1"/>
    <col min="2307" max="2309" width="5.625" style="156" customWidth="1"/>
    <col min="2310" max="2313" width="6" style="156" customWidth="1"/>
    <col min="2314" max="2314" width="9" style="156" customWidth="1"/>
    <col min="2315" max="2315" width="7.625" style="156" customWidth="1"/>
    <col min="2316" max="2322" width="8" style="156" customWidth="1"/>
    <col min="2323" max="2323" width="6.75" style="156" customWidth="1"/>
    <col min="2324" max="2560" width="9" style="156" customWidth="1"/>
    <col min="2561" max="2561" width="7.5" style="156" customWidth="1"/>
    <col min="2562" max="2562" width="9.5" style="156" customWidth="1"/>
    <col min="2563" max="2565" width="5.625" style="156" customWidth="1"/>
    <col min="2566" max="2569" width="6" style="156" customWidth="1"/>
    <col min="2570" max="2570" width="9" style="156" customWidth="1"/>
    <col min="2571" max="2571" width="7.625" style="156" customWidth="1"/>
    <col min="2572" max="2578" width="8" style="156" customWidth="1"/>
    <col min="2579" max="2579" width="6.75" style="156" customWidth="1"/>
    <col min="2580" max="2816" width="9" style="156" customWidth="1"/>
    <col min="2817" max="2817" width="7.5" style="156" customWidth="1"/>
    <col min="2818" max="2818" width="9.5" style="156" customWidth="1"/>
    <col min="2819" max="2821" width="5.625" style="156" customWidth="1"/>
    <col min="2822" max="2825" width="6" style="156" customWidth="1"/>
    <col min="2826" max="2826" width="9" style="156" customWidth="1"/>
    <col min="2827" max="2827" width="7.625" style="156" customWidth="1"/>
    <col min="2828" max="2834" width="8" style="156" customWidth="1"/>
    <col min="2835" max="2835" width="6.75" style="156" customWidth="1"/>
    <col min="2836" max="3072" width="9" style="156" customWidth="1"/>
    <col min="3073" max="3073" width="7.5" style="156" customWidth="1"/>
    <col min="3074" max="3074" width="9.5" style="156" customWidth="1"/>
    <col min="3075" max="3077" width="5.625" style="156" customWidth="1"/>
    <col min="3078" max="3081" width="6" style="156" customWidth="1"/>
    <col min="3082" max="3082" width="9" style="156" customWidth="1"/>
    <col min="3083" max="3083" width="7.625" style="156" customWidth="1"/>
    <col min="3084" max="3090" width="8" style="156" customWidth="1"/>
    <col min="3091" max="3091" width="6.75" style="156" customWidth="1"/>
    <col min="3092" max="3328" width="9" style="156" customWidth="1"/>
    <col min="3329" max="3329" width="7.5" style="156" customWidth="1"/>
    <col min="3330" max="3330" width="9.5" style="156" customWidth="1"/>
    <col min="3331" max="3333" width="5.625" style="156" customWidth="1"/>
    <col min="3334" max="3337" width="6" style="156" customWidth="1"/>
    <col min="3338" max="3338" width="9" style="156" customWidth="1"/>
    <col min="3339" max="3339" width="7.625" style="156" customWidth="1"/>
    <col min="3340" max="3346" width="8" style="156" customWidth="1"/>
    <col min="3347" max="3347" width="6.75" style="156" customWidth="1"/>
    <col min="3348" max="3584" width="9" style="156" customWidth="1"/>
    <col min="3585" max="3585" width="7.5" style="156" customWidth="1"/>
    <col min="3586" max="3586" width="9.5" style="156" customWidth="1"/>
    <col min="3587" max="3589" width="5.625" style="156" customWidth="1"/>
    <col min="3590" max="3593" width="6" style="156" customWidth="1"/>
    <col min="3594" max="3594" width="9" style="156" customWidth="1"/>
    <col min="3595" max="3595" width="7.625" style="156" customWidth="1"/>
    <col min="3596" max="3602" width="8" style="156" customWidth="1"/>
    <col min="3603" max="3603" width="6.75" style="156" customWidth="1"/>
    <col min="3604" max="3840" width="9" style="156" customWidth="1"/>
    <col min="3841" max="3841" width="7.5" style="156" customWidth="1"/>
    <col min="3842" max="3842" width="9.5" style="156" customWidth="1"/>
    <col min="3843" max="3845" width="5.625" style="156" customWidth="1"/>
    <col min="3846" max="3849" width="6" style="156" customWidth="1"/>
    <col min="3850" max="3850" width="9" style="156" customWidth="1"/>
    <col min="3851" max="3851" width="7.625" style="156" customWidth="1"/>
    <col min="3852" max="3858" width="8" style="156" customWidth="1"/>
    <col min="3859" max="3859" width="6.75" style="156" customWidth="1"/>
    <col min="3860" max="4096" width="9" style="156" customWidth="1"/>
    <col min="4097" max="4097" width="7.5" style="156" customWidth="1"/>
    <col min="4098" max="4098" width="9.5" style="156" customWidth="1"/>
    <col min="4099" max="4101" width="5.625" style="156" customWidth="1"/>
    <col min="4102" max="4105" width="6" style="156" customWidth="1"/>
    <col min="4106" max="4106" width="9" style="156" customWidth="1"/>
    <col min="4107" max="4107" width="7.625" style="156" customWidth="1"/>
    <col min="4108" max="4114" width="8" style="156" customWidth="1"/>
    <col min="4115" max="4115" width="6.75" style="156" customWidth="1"/>
    <col min="4116" max="4352" width="9" style="156" customWidth="1"/>
    <col min="4353" max="4353" width="7.5" style="156" customWidth="1"/>
    <col min="4354" max="4354" width="9.5" style="156" customWidth="1"/>
    <col min="4355" max="4357" width="5.625" style="156" customWidth="1"/>
    <col min="4358" max="4361" width="6" style="156" customWidth="1"/>
    <col min="4362" max="4362" width="9" style="156" customWidth="1"/>
    <col min="4363" max="4363" width="7.625" style="156" customWidth="1"/>
    <col min="4364" max="4370" width="8" style="156" customWidth="1"/>
    <col min="4371" max="4371" width="6.75" style="156" customWidth="1"/>
    <col min="4372" max="4608" width="9" style="156" customWidth="1"/>
    <col min="4609" max="4609" width="7.5" style="156" customWidth="1"/>
    <col min="4610" max="4610" width="9.5" style="156" customWidth="1"/>
    <col min="4611" max="4613" width="5.625" style="156" customWidth="1"/>
    <col min="4614" max="4617" width="6" style="156" customWidth="1"/>
    <col min="4618" max="4618" width="9" style="156" customWidth="1"/>
    <col min="4619" max="4619" width="7.625" style="156" customWidth="1"/>
    <col min="4620" max="4626" width="8" style="156" customWidth="1"/>
    <col min="4627" max="4627" width="6.75" style="156" customWidth="1"/>
    <col min="4628" max="4864" width="9" style="156" customWidth="1"/>
    <col min="4865" max="4865" width="7.5" style="156" customWidth="1"/>
    <col min="4866" max="4866" width="9.5" style="156" customWidth="1"/>
    <col min="4867" max="4869" width="5.625" style="156" customWidth="1"/>
    <col min="4870" max="4873" width="6" style="156" customWidth="1"/>
    <col min="4874" max="4874" width="9" style="156" customWidth="1"/>
    <col min="4875" max="4875" width="7.625" style="156" customWidth="1"/>
    <col min="4876" max="4882" width="8" style="156" customWidth="1"/>
    <col min="4883" max="4883" width="6.75" style="156" customWidth="1"/>
    <col min="4884" max="5120" width="9" style="156" customWidth="1"/>
    <col min="5121" max="5121" width="7.5" style="156" customWidth="1"/>
    <col min="5122" max="5122" width="9.5" style="156" customWidth="1"/>
    <col min="5123" max="5125" width="5.625" style="156" customWidth="1"/>
    <col min="5126" max="5129" width="6" style="156" customWidth="1"/>
    <col min="5130" max="5130" width="9" style="156" customWidth="1"/>
    <col min="5131" max="5131" width="7.625" style="156" customWidth="1"/>
    <col min="5132" max="5138" width="8" style="156" customWidth="1"/>
    <col min="5139" max="5139" width="6.75" style="156" customWidth="1"/>
    <col min="5140" max="5376" width="9" style="156" customWidth="1"/>
    <col min="5377" max="5377" width="7.5" style="156" customWidth="1"/>
    <col min="5378" max="5378" width="9.5" style="156" customWidth="1"/>
    <col min="5379" max="5381" width="5.625" style="156" customWidth="1"/>
    <col min="5382" max="5385" width="6" style="156" customWidth="1"/>
    <col min="5386" max="5386" width="9" style="156" customWidth="1"/>
    <col min="5387" max="5387" width="7.625" style="156" customWidth="1"/>
    <col min="5388" max="5394" width="8" style="156" customWidth="1"/>
    <col min="5395" max="5395" width="6.75" style="156" customWidth="1"/>
    <col min="5396" max="5632" width="9" style="156" customWidth="1"/>
    <col min="5633" max="5633" width="7.5" style="156" customWidth="1"/>
    <col min="5634" max="5634" width="9.5" style="156" customWidth="1"/>
    <col min="5635" max="5637" width="5.625" style="156" customWidth="1"/>
    <col min="5638" max="5641" width="6" style="156" customWidth="1"/>
    <col min="5642" max="5642" width="9" style="156" customWidth="1"/>
    <col min="5643" max="5643" width="7.625" style="156" customWidth="1"/>
    <col min="5644" max="5650" width="8" style="156" customWidth="1"/>
    <col min="5651" max="5651" width="6.75" style="156" customWidth="1"/>
    <col min="5652" max="5888" width="9" style="156" customWidth="1"/>
    <col min="5889" max="5889" width="7.5" style="156" customWidth="1"/>
    <col min="5890" max="5890" width="9.5" style="156" customWidth="1"/>
    <col min="5891" max="5893" width="5.625" style="156" customWidth="1"/>
    <col min="5894" max="5897" width="6" style="156" customWidth="1"/>
    <col min="5898" max="5898" width="9" style="156" customWidth="1"/>
    <col min="5899" max="5899" width="7.625" style="156" customWidth="1"/>
    <col min="5900" max="5906" width="8" style="156" customWidth="1"/>
    <col min="5907" max="5907" width="6.75" style="156" customWidth="1"/>
    <col min="5908" max="6144" width="9" style="156" customWidth="1"/>
    <col min="6145" max="6145" width="7.5" style="156" customWidth="1"/>
    <col min="6146" max="6146" width="9.5" style="156" customWidth="1"/>
    <col min="6147" max="6149" width="5.625" style="156" customWidth="1"/>
    <col min="6150" max="6153" width="6" style="156" customWidth="1"/>
    <col min="6154" max="6154" width="9" style="156" customWidth="1"/>
    <col min="6155" max="6155" width="7.625" style="156" customWidth="1"/>
    <col min="6156" max="6162" width="8" style="156" customWidth="1"/>
    <col min="6163" max="6163" width="6.75" style="156" customWidth="1"/>
    <col min="6164" max="6400" width="9" style="156" customWidth="1"/>
    <col min="6401" max="6401" width="7.5" style="156" customWidth="1"/>
    <col min="6402" max="6402" width="9.5" style="156" customWidth="1"/>
    <col min="6403" max="6405" width="5.625" style="156" customWidth="1"/>
    <col min="6406" max="6409" width="6" style="156" customWidth="1"/>
    <col min="6410" max="6410" width="9" style="156" customWidth="1"/>
    <col min="6411" max="6411" width="7.625" style="156" customWidth="1"/>
    <col min="6412" max="6418" width="8" style="156" customWidth="1"/>
    <col min="6419" max="6419" width="6.75" style="156" customWidth="1"/>
    <col min="6420" max="6656" width="9" style="156" customWidth="1"/>
    <col min="6657" max="6657" width="7.5" style="156" customWidth="1"/>
    <col min="6658" max="6658" width="9.5" style="156" customWidth="1"/>
    <col min="6659" max="6661" width="5.625" style="156" customWidth="1"/>
    <col min="6662" max="6665" width="6" style="156" customWidth="1"/>
    <col min="6666" max="6666" width="9" style="156" customWidth="1"/>
    <col min="6667" max="6667" width="7.625" style="156" customWidth="1"/>
    <col min="6668" max="6674" width="8" style="156" customWidth="1"/>
    <col min="6675" max="6675" width="6.75" style="156" customWidth="1"/>
    <col min="6676" max="6912" width="9" style="156" customWidth="1"/>
    <col min="6913" max="6913" width="7.5" style="156" customWidth="1"/>
    <col min="6914" max="6914" width="9.5" style="156" customWidth="1"/>
    <col min="6915" max="6917" width="5.625" style="156" customWidth="1"/>
    <col min="6918" max="6921" width="6" style="156" customWidth="1"/>
    <col min="6922" max="6922" width="9" style="156" customWidth="1"/>
    <col min="6923" max="6923" width="7.625" style="156" customWidth="1"/>
    <col min="6924" max="6930" width="8" style="156" customWidth="1"/>
    <col min="6931" max="6931" width="6.75" style="156" customWidth="1"/>
    <col min="6932" max="7168" width="9" style="156" customWidth="1"/>
    <col min="7169" max="7169" width="7.5" style="156" customWidth="1"/>
    <col min="7170" max="7170" width="9.5" style="156" customWidth="1"/>
    <col min="7171" max="7173" width="5.625" style="156" customWidth="1"/>
    <col min="7174" max="7177" width="6" style="156" customWidth="1"/>
    <col min="7178" max="7178" width="9" style="156" customWidth="1"/>
    <col min="7179" max="7179" width="7.625" style="156" customWidth="1"/>
    <col min="7180" max="7186" width="8" style="156" customWidth="1"/>
    <col min="7187" max="7187" width="6.75" style="156" customWidth="1"/>
    <col min="7188" max="7424" width="9" style="156" customWidth="1"/>
    <col min="7425" max="7425" width="7.5" style="156" customWidth="1"/>
    <col min="7426" max="7426" width="9.5" style="156" customWidth="1"/>
    <col min="7427" max="7429" width="5.625" style="156" customWidth="1"/>
    <col min="7430" max="7433" width="6" style="156" customWidth="1"/>
    <col min="7434" max="7434" width="9" style="156" customWidth="1"/>
    <col min="7435" max="7435" width="7.625" style="156" customWidth="1"/>
    <col min="7436" max="7442" width="8" style="156" customWidth="1"/>
    <col min="7443" max="7443" width="6.75" style="156" customWidth="1"/>
    <col min="7444" max="7680" width="9" style="156" customWidth="1"/>
    <col min="7681" max="7681" width="7.5" style="156" customWidth="1"/>
    <col min="7682" max="7682" width="9.5" style="156" customWidth="1"/>
    <col min="7683" max="7685" width="5.625" style="156" customWidth="1"/>
    <col min="7686" max="7689" width="6" style="156" customWidth="1"/>
    <col min="7690" max="7690" width="9" style="156" customWidth="1"/>
    <col min="7691" max="7691" width="7.625" style="156" customWidth="1"/>
    <col min="7692" max="7698" width="8" style="156" customWidth="1"/>
    <col min="7699" max="7699" width="6.75" style="156" customWidth="1"/>
    <col min="7700" max="7936" width="9" style="156" customWidth="1"/>
    <col min="7937" max="7937" width="7.5" style="156" customWidth="1"/>
    <col min="7938" max="7938" width="9.5" style="156" customWidth="1"/>
    <col min="7939" max="7941" width="5.625" style="156" customWidth="1"/>
    <col min="7942" max="7945" width="6" style="156" customWidth="1"/>
    <col min="7946" max="7946" width="9" style="156" customWidth="1"/>
    <col min="7947" max="7947" width="7.625" style="156" customWidth="1"/>
    <col min="7948" max="7954" width="8" style="156" customWidth="1"/>
    <col min="7955" max="7955" width="6.75" style="156" customWidth="1"/>
    <col min="7956" max="8192" width="9" style="156" customWidth="1"/>
    <col min="8193" max="8193" width="7.5" style="156" customWidth="1"/>
    <col min="8194" max="8194" width="9.5" style="156" customWidth="1"/>
    <col min="8195" max="8197" width="5.625" style="156" customWidth="1"/>
    <col min="8198" max="8201" width="6" style="156" customWidth="1"/>
    <col min="8202" max="8202" width="9" style="156" customWidth="1"/>
    <col min="8203" max="8203" width="7.625" style="156" customWidth="1"/>
    <col min="8204" max="8210" width="8" style="156" customWidth="1"/>
    <col min="8211" max="8211" width="6.75" style="156" customWidth="1"/>
    <col min="8212" max="8448" width="9" style="156" customWidth="1"/>
    <col min="8449" max="8449" width="7.5" style="156" customWidth="1"/>
    <col min="8450" max="8450" width="9.5" style="156" customWidth="1"/>
    <col min="8451" max="8453" width="5.625" style="156" customWidth="1"/>
    <col min="8454" max="8457" width="6" style="156" customWidth="1"/>
    <col min="8458" max="8458" width="9" style="156" customWidth="1"/>
    <col min="8459" max="8459" width="7.625" style="156" customWidth="1"/>
    <col min="8460" max="8466" width="8" style="156" customWidth="1"/>
    <col min="8467" max="8467" width="6.75" style="156" customWidth="1"/>
    <col min="8468" max="8704" width="9" style="156" customWidth="1"/>
    <col min="8705" max="8705" width="7.5" style="156" customWidth="1"/>
    <col min="8706" max="8706" width="9.5" style="156" customWidth="1"/>
    <col min="8707" max="8709" width="5.625" style="156" customWidth="1"/>
    <col min="8710" max="8713" width="6" style="156" customWidth="1"/>
    <col min="8714" max="8714" width="9" style="156" customWidth="1"/>
    <col min="8715" max="8715" width="7.625" style="156" customWidth="1"/>
    <col min="8716" max="8722" width="8" style="156" customWidth="1"/>
    <col min="8723" max="8723" width="6.75" style="156" customWidth="1"/>
    <col min="8724" max="8960" width="9" style="156" customWidth="1"/>
    <col min="8961" max="8961" width="7.5" style="156" customWidth="1"/>
    <col min="8962" max="8962" width="9.5" style="156" customWidth="1"/>
    <col min="8963" max="8965" width="5.625" style="156" customWidth="1"/>
    <col min="8966" max="8969" width="6" style="156" customWidth="1"/>
    <col min="8970" max="8970" width="9" style="156" customWidth="1"/>
    <col min="8971" max="8971" width="7.625" style="156" customWidth="1"/>
    <col min="8972" max="8978" width="8" style="156" customWidth="1"/>
    <col min="8979" max="8979" width="6.75" style="156" customWidth="1"/>
    <col min="8980" max="9216" width="9" style="156" customWidth="1"/>
    <col min="9217" max="9217" width="7.5" style="156" customWidth="1"/>
    <col min="9218" max="9218" width="9.5" style="156" customWidth="1"/>
    <col min="9219" max="9221" width="5.625" style="156" customWidth="1"/>
    <col min="9222" max="9225" width="6" style="156" customWidth="1"/>
    <col min="9226" max="9226" width="9" style="156" customWidth="1"/>
    <col min="9227" max="9227" width="7.625" style="156" customWidth="1"/>
    <col min="9228" max="9234" width="8" style="156" customWidth="1"/>
    <col min="9235" max="9235" width="6.75" style="156" customWidth="1"/>
    <col min="9236" max="9472" width="9" style="156" customWidth="1"/>
    <col min="9473" max="9473" width="7.5" style="156" customWidth="1"/>
    <col min="9474" max="9474" width="9.5" style="156" customWidth="1"/>
    <col min="9475" max="9477" width="5.625" style="156" customWidth="1"/>
    <col min="9478" max="9481" width="6" style="156" customWidth="1"/>
    <col min="9482" max="9482" width="9" style="156" customWidth="1"/>
    <col min="9483" max="9483" width="7.625" style="156" customWidth="1"/>
    <col min="9484" max="9490" width="8" style="156" customWidth="1"/>
    <col min="9491" max="9491" width="6.75" style="156" customWidth="1"/>
    <col min="9492" max="9728" width="9" style="156" customWidth="1"/>
    <col min="9729" max="9729" width="7.5" style="156" customWidth="1"/>
    <col min="9730" max="9730" width="9.5" style="156" customWidth="1"/>
    <col min="9731" max="9733" width="5.625" style="156" customWidth="1"/>
    <col min="9734" max="9737" width="6" style="156" customWidth="1"/>
    <col min="9738" max="9738" width="9" style="156" customWidth="1"/>
    <col min="9739" max="9739" width="7.625" style="156" customWidth="1"/>
    <col min="9740" max="9746" width="8" style="156" customWidth="1"/>
    <col min="9747" max="9747" width="6.75" style="156" customWidth="1"/>
    <col min="9748" max="9984" width="9" style="156" customWidth="1"/>
    <col min="9985" max="9985" width="7.5" style="156" customWidth="1"/>
    <col min="9986" max="9986" width="9.5" style="156" customWidth="1"/>
    <col min="9987" max="9989" width="5.625" style="156" customWidth="1"/>
    <col min="9990" max="9993" width="6" style="156" customWidth="1"/>
    <col min="9994" max="9994" width="9" style="156" customWidth="1"/>
    <col min="9995" max="9995" width="7.625" style="156" customWidth="1"/>
    <col min="9996" max="10002" width="8" style="156" customWidth="1"/>
    <col min="10003" max="10003" width="6.75" style="156" customWidth="1"/>
    <col min="10004" max="10240" width="9" style="156" customWidth="1"/>
    <col min="10241" max="10241" width="7.5" style="156" customWidth="1"/>
    <col min="10242" max="10242" width="9.5" style="156" customWidth="1"/>
    <col min="10243" max="10245" width="5.625" style="156" customWidth="1"/>
    <col min="10246" max="10249" width="6" style="156" customWidth="1"/>
    <col min="10250" max="10250" width="9" style="156" customWidth="1"/>
    <col min="10251" max="10251" width="7.625" style="156" customWidth="1"/>
    <col min="10252" max="10258" width="8" style="156" customWidth="1"/>
    <col min="10259" max="10259" width="6.75" style="156" customWidth="1"/>
    <col min="10260" max="10496" width="9" style="156" customWidth="1"/>
    <col min="10497" max="10497" width="7.5" style="156" customWidth="1"/>
    <col min="10498" max="10498" width="9.5" style="156" customWidth="1"/>
    <col min="10499" max="10501" width="5.625" style="156" customWidth="1"/>
    <col min="10502" max="10505" width="6" style="156" customWidth="1"/>
    <col min="10506" max="10506" width="9" style="156" customWidth="1"/>
    <col min="10507" max="10507" width="7.625" style="156" customWidth="1"/>
    <col min="10508" max="10514" width="8" style="156" customWidth="1"/>
    <col min="10515" max="10515" width="6.75" style="156" customWidth="1"/>
    <col min="10516" max="10752" width="9" style="156" customWidth="1"/>
    <col min="10753" max="10753" width="7.5" style="156" customWidth="1"/>
    <col min="10754" max="10754" width="9.5" style="156" customWidth="1"/>
    <col min="10755" max="10757" width="5.625" style="156" customWidth="1"/>
    <col min="10758" max="10761" width="6" style="156" customWidth="1"/>
    <col min="10762" max="10762" width="9" style="156" customWidth="1"/>
    <col min="10763" max="10763" width="7.625" style="156" customWidth="1"/>
    <col min="10764" max="10770" width="8" style="156" customWidth="1"/>
    <col min="10771" max="10771" width="6.75" style="156" customWidth="1"/>
    <col min="10772" max="11008" width="9" style="156" customWidth="1"/>
    <col min="11009" max="11009" width="7.5" style="156" customWidth="1"/>
    <col min="11010" max="11010" width="9.5" style="156" customWidth="1"/>
    <col min="11011" max="11013" width="5.625" style="156" customWidth="1"/>
    <col min="11014" max="11017" width="6" style="156" customWidth="1"/>
    <col min="11018" max="11018" width="9" style="156" customWidth="1"/>
    <col min="11019" max="11019" width="7.625" style="156" customWidth="1"/>
    <col min="11020" max="11026" width="8" style="156" customWidth="1"/>
    <col min="11027" max="11027" width="6.75" style="156" customWidth="1"/>
    <col min="11028" max="11264" width="9" style="156" customWidth="1"/>
    <col min="11265" max="11265" width="7.5" style="156" customWidth="1"/>
    <col min="11266" max="11266" width="9.5" style="156" customWidth="1"/>
    <col min="11267" max="11269" width="5.625" style="156" customWidth="1"/>
    <col min="11270" max="11273" width="6" style="156" customWidth="1"/>
    <col min="11274" max="11274" width="9" style="156" customWidth="1"/>
    <col min="11275" max="11275" width="7.625" style="156" customWidth="1"/>
    <col min="11276" max="11282" width="8" style="156" customWidth="1"/>
    <col min="11283" max="11283" width="6.75" style="156" customWidth="1"/>
    <col min="11284" max="11520" width="9" style="156" customWidth="1"/>
    <col min="11521" max="11521" width="7.5" style="156" customWidth="1"/>
    <col min="11522" max="11522" width="9.5" style="156" customWidth="1"/>
    <col min="11523" max="11525" width="5.625" style="156" customWidth="1"/>
    <col min="11526" max="11529" width="6" style="156" customWidth="1"/>
    <col min="11530" max="11530" width="9" style="156" customWidth="1"/>
    <col min="11531" max="11531" width="7.625" style="156" customWidth="1"/>
    <col min="11532" max="11538" width="8" style="156" customWidth="1"/>
    <col min="11539" max="11539" width="6.75" style="156" customWidth="1"/>
    <col min="11540" max="11776" width="9" style="156" customWidth="1"/>
    <col min="11777" max="11777" width="7.5" style="156" customWidth="1"/>
    <col min="11778" max="11778" width="9.5" style="156" customWidth="1"/>
    <col min="11779" max="11781" width="5.625" style="156" customWidth="1"/>
    <col min="11782" max="11785" width="6" style="156" customWidth="1"/>
    <col min="11786" max="11786" width="9" style="156" customWidth="1"/>
    <col min="11787" max="11787" width="7.625" style="156" customWidth="1"/>
    <col min="11788" max="11794" width="8" style="156" customWidth="1"/>
    <col min="11795" max="11795" width="6.75" style="156" customWidth="1"/>
    <col min="11796" max="12032" width="9" style="156" customWidth="1"/>
    <col min="12033" max="12033" width="7.5" style="156" customWidth="1"/>
    <col min="12034" max="12034" width="9.5" style="156" customWidth="1"/>
    <col min="12035" max="12037" width="5.625" style="156" customWidth="1"/>
    <col min="12038" max="12041" width="6" style="156" customWidth="1"/>
    <col min="12042" max="12042" width="9" style="156" customWidth="1"/>
    <col min="12043" max="12043" width="7.625" style="156" customWidth="1"/>
    <col min="12044" max="12050" width="8" style="156" customWidth="1"/>
    <col min="12051" max="12051" width="6.75" style="156" customWidth="1"/>
    <col min="12052" max="12288" width="9" style="156" customWidth="1"/>
    <col min="12289" max="12289" width="7.5" style="156" customWidth="1"/>
    <col min="12290" max="12290" width="9.5" style="156" customWidth="1"/>
    <col min="12291" max="12293" width="5.625" style="156" customWidth="1"/>
    <col min="12294" max="12297" width="6" style="156" customWidth="1"/>
    <col min="12298" max="12298" width="9" style="156" customWidth="1"/>
    <col min="12299" max="12299" width="7.625" style="156" customWidth="1"/>
    <col min="12300" max="12306" width="8" style="156" customWidth="1"/>
    <col min="12307" max="12307" width="6.75" style="156" customWidth="1"/>
    <col min="12308" max="12544" width="9" style="156" customWidth="1"/>
    <col min="12545" max="12545" width="7.5" style="156" customWidth="1"/>
    <col min="12546" max="12546" width="9.5" style="156" customWidth="1"/>
    <col min="12547" max="12549" width="5.625" style="156" customWidth="1"/>
    <col min="12550" max="12553" width="6" style="156" customWidth="1"/>
    <col min="12554" max="12554" width="9" style="156" customWidth="1"/>
    <col min="12555" max="12555" width="7.625" style="156" customWidth="1"/>
    <col min="12556" max="12562" width="8" style="156" customWidth="1"/>
    <col min="12563" max="12563" width="6.75" style="156" customWidth="1"/>
    <col min="12564" max="12800" width="9" style="156" customWidth="1"/>
    <col min="12801" max="12801" width="7.5" style="156" customWidth="1"/>
    <col min="12802" max="12802" width="9.5" style="156" customWidth="1"/>
    <col min="12803" max="12805" width="5.625" style="156" customWidth="1"/>
    <col min="12806" max="12809" width="6" style="156" customWidth="1"/>
    <col min="12810" max="12810" width="9" style="156" customWidth="1"/>
    <col min="12811" max="12811" width="7.625" style="156" customWidth="1"/>
    <col min="12812" max="12818" width="8" style="156" customWidth="1"/>
    <col min="12819" max="12819" width="6.75" style="156" customWidth="1"/>
    <col min="12820" max="13056" width="9" style="156" customWidth="1"/>
    <col min="13057" max="13057" width="7.5" style="156" customWidth="1"/>
    <col min="13058" max="13058" width="9.5" style="156" customWidth="1"/>
    <col min="13059" max="13061" width="5.625" style="156" customWidth="1"/>
    <col min="13062" max="13065" width="6" style="156" customWidth="1"/>
    <col min="13066" max="13066" width="9" style="156" customWidth="1"/>
    <col min="13067" max="13067" width="7.625" style="156" customWidth="1"/>
    <col min="13068" max="13074" width="8" style="156" customWidth="1"/>
    <col min="13075" max="13075" width="6.75" style="156" customWidth="1"/>
    <col min="13076" max="13312" width="9" style="156" customWidth="1"/>
    <col min="13313" max="13313" width="7.5" style="156" customWidth="1"/>
    <col min="13314" max="13314" width="9.5" style="156" customWidth="1"/>
    <col min="13315" max="13317" width="5.625" style="156" customWidth="1"/>
    <col min="13318" max="13321" width="6" style="156" customWidth="1"/>
    <col min="13322" max="13322" width="9" style="156" customWidth="1"/>
    <col min="13323" max="13323" width="7.625" style="156" customWidth="1"/>
    <col min="13324" max="13330" width="8" style="156" customWidth="1"/>
    <col min="13331" max="13331" width="6.75" style="156" customWidth="1"/>
    <col min="13332" max="13568" width="9" style="156" customWidth="1"/>
    <col min="13569" max="13569" width="7.5" style="156" customWidth="1"/>
    <col min="13570" max="13570" width="9.5" style="156" customWidth="1"/>
    <col min="13571" max="13573" width="5.625" style="156" customWidth="1"/>
    <col min="13574" max="13577" width="6" style="156" customWidth="1"/>
    <col min="13578" max="13578" width="9" style="156" customWidth="1"/>
    <col min="13579" max="13579" width="7.625" style="156" customWidth="1"/>
    <col min="13580" max="13586" width="8" style="156" customWidth="1"/>
    <col min="13587" max="13587" width="6.75" style="156" customWidth="1"/>
    <col min="13588" max="13824" width="9" style="156" customWidth="1"/>
    <col min="13825" max="13825" width="7.5" style="156" customWidth="1"/>
    <col min="13826" max="13826" width="9.5" style="156" customWidth="1"/>
    <col min="13827" max="13829" width="5.625" style="156" customWidth="1"/>
    <col min="13830" max="13833" width="6" style="156" customWidth="1"/>
    <col min="13834" max="13834" width="9" style="156" customWidth="1"/>
    <col min="13835" max="13835" width="7.625" style="156" customWidth="1"/>
    <col min="13836" max="13842" width="8" style="156" customWidth="1"/>
    <col min="13843" max="13843" width="6.75" style="156" customWidth="1"/>
    <col min="13844" max="14080" width="9" style="156" customWidth="1"/>
    <col min="14081" max="14081" width="7.5" style="156" customWidth="1"/>
    <col min="14082" max="14082" width="9.5" style="156" customWidth="1"/>
    <col min="14083" max="14085" width="5.625" style="156" customWidth="1"/>
    <col min="14086" max="14089" width="6" style="156" customWidth="1"/>
    <col min="14090" max="14090" width="9" style="156" customWidth="1"/>
    <col min="14091" max="14091" width="7.625" style="156" customWidth="1"/>
    <col min="14092" max="14098" width="8" style="156" customWidth="1"/>
    <col min="14099" max="14099" width="6.75" style="156" customWidth="1"/>
    <col min="14100" max="14336" width="9" style="156" customWidth="1"/>
    <col min="14337" max="14337" width="7.5" style="156" customWidth="1"/>
    <col min="14338" max="14338" width="9.5" style="156" customWidth="1"/>
    <col min="14339" max="14341" width="5.625" style="156" customWidth="1"/>
    <col min="14342" max="14345" width="6" style="156" customWidth="1"/>
    <col min="14346" max="14346" width="9" style="156" customWidth="1"/>
    <col min="14347" max="14347" width="7.625" style="156" customWidth="1"/>
    <col min="14348" max="14354" width="8" style="156" customWidth="1"/>
    <col min="14355" max="14355" width="6.75" style="156" customWidth="1"/>
    <col min="14356" max="14592" width="9" style="156" customWidth="1"/>
    <col min="14593" max="14593" width="7.5" style="156" customWidth="1"/>
    <col min="14594" max="14594" width="9.5" style="156" customWidth="1"/>
    <col min="14595" max="14597" width="5.625" style="156" customWidth="1"/>
    <col min="14598" max="14601" width="6" style="156" customWidth="1"/>
    <col min="14602" max="14602" width="9" style="156" customWidth="1"/>
    <col min="14603" max="14603" width="7.625" style="156" customWidth="1"/>
    <col min="14604" max="14610" width="8" style="156" customWidth="1"/>
    <col min="14611" max="14611" width="6.75" style="156" customWidth="1"/>
    <col min="14612" max="14848" width="9" style="156" customWidth="1"/>
    <col min="14849" max="14849" width="7.5" style="156" customWidth="1"/>
    <col min="14850" max="14850" width="9.5" style="156" customWidth="1"/>
    <col min="14851" max="14853" width="5.625" style="156" customWidth="1"/>
    <col min="14854" max="14857" width="6" style="156" customWidth="1"/>
    <col min="14858" max="14858" width="9" style="156" customWidth="1"/>
    <col min="14859" max="14859" width="7.625" style="156" customWidth="1"/>
    <col min="14860" max="14866" width="8" style="156" customWidth="1"/>
    <col min="14867" max="14867" width="6.75" style="156" customWidth="1"/>
    <col min="14868" max="15104" width="9" style="156" customWidth="1"/>
    <col min="15105" max="15105" width="7.5" style="156" customWidth="1"/>
    <col min="15106" max="15106" width="9.5" style="156" customWidth="1"/>
    <col min="15107" max="15109" width="5.625" style="156" customWidth="1"/>
    <col min="15110" max="15113" width="6" style="156" customWidth="1"/>
    <col min="15114" max="15114" width="9" style="156" customWidth="1"/>
    <col min="15115" max="15115" width="7.625" style="156" customWidth="1"/>
    <col min="15116" max="15122" width="8" style="156" customWidth="1"/>
    <col min="15123" max="15123" width="6.75" style="156" customWidth="1"/>
    <col min="15124" max="15360" width="9" style="156" customWidth="1"/>
    <col min="15361" max="15361" width="7.5" style="156" customWidth="1"/>
    <col min="15362" max="15362" width="9.5" style="156" customWidth="1"/>
    <col min="15363" max="15365" width="5.625" style="156" customWidth="1"/>
    <col min="15366" max="15369" width="6" style="156" customWidth="1"/>
    <col min="15370" max="15370" width="9" style="156" customWidth="1"/>
    <col min="15371" max="15371" width="7.625" style="156" customWidth="1"/>
    <col min="15372" max="15378" width="8" style="156" customWidth="1"/>
    <col min="15379" max="15379" width="6.75" style="156" customWidth="1"/>
    <col min="15380" max="15616" width="9" style="156" customWidth="1"/>
    <col min="15617" max="15617" width="7.5" style="156" customWidth="1"/>
    <col min="15618" max="15618" width="9.5" style="156" customWidth="1"/>
    <col min="15619" max="15621" width="5.625" style="156" customWidth="1"/>
    <col min="15622" max="15625" width="6" style="156" customWidth="1"/>
    <col min="15626" max="15626" width="9" style="156" customWidth="1"/>
    <col min="15627" max="15627" width="7.625" style="156" customWidth="1"/>
    <col min="15628" max="15634" width="8" style="156" customWidth="1"/>
    <col min="15635" max="15635" width="6.75" style="156" customWidth="1"/>
    <col min="15636" max="15872" width="9" style="156" customWidth="1"/>
    <col min="15873" max="15873" width="7.5" style="156" customWidth="1"/>
    <col min="15874" max="15874" width="9.5" style="156" customWidth="1"/>
    <col min="15875" max="15877" width="5.625" style="156" customWidth="1"/>
    <col min="15878" max="15881" width="6" style="156" customWidth="1"/>
    <col min="15882" max="15882" width="9" style="156" customWidth="1"/>
    <col min="15883" max="15883" width="7.625" style="156" customWidth="1"/>
    <col min="15884" max="15890" width="8" style="156" customWidth="1"/>
    <col min="15891" max="15891" width="6.75" style="156" customWidth="1"/>
    <col min="15892" max="16128" width="9" style="156" customWidth="1"/>
    <col min="16129" max="16129" width="7.5" style="156" customWidth="1"/>
    <col min="16130" max="16130" width="9.5" style="156" customWidth="1"/>
    <col min="16131" max="16133" width="5.625" style="156" customWidth="1"/>
    <col min="16134" max="16137" width="6" style="156" customWidth="1"/>
    <col min="16138" max="16138" width="9" style="156" customWidth="1"/>
    <col min="16139" max="16139" width="7.625" style="156" customWidth="1"/>
    <col min="16140" max="16146" width="8" style="156" customWidth="1"/>
    <col min="16147" max="16147" width="6.75" style="156" customWidth="1"/>
    <col min="16148" max="16384" width="9" style="156" customWidth="1"/>
  </cols>
  <sheetData>
    <row r="1" ht="27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56"/>
      <c r="T2" s="156"/>
      <c r="U2" s="156"/>
      <c r="V2" s="156"/>
      <c r="W2" s="156"/>
      <c r="X2" s="156"/>
      <c r="Y2" s="156"/>
    </row>
    <row r="3" ht="5.2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64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156"/>
      <c r="T4" s="156"/>
      <c r="U4" s="156"/>
      <c r="V4" s="156"/>
      <c r="W4" s="156"/>
      <c r="X4" s="156"/>
      <c r="Y4" s="156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65</v>
      </c>
      <c r="B6" s="207" t="str">
        <f>'OS-OUT'!B6</f>
        <v>SAWASDEE DENEB</v>
      </c>
      <c r="C6" s="156"/>
      <c r="D6" s="156"/>
      <c r="E6" s="156"/>
      <c r="F6" s="156"/>
      <c r="G6" s="156"/>
      <c r="H6" s="156"/>
      <c r="I6" s="207" t="s">
        <v>79</v>
      </c>
      <c r="J6" s="207"/>
      <c r="K6" s="207"/>
      <c r="L6" s="207"/>
      <c r="M6" s="156"/>
      <c r="N6" s="156"/>
      <c r="O6" s="207" t="s">
        <v>67</v>
      </c>
      <c r="P6" s="208">
        <f>'OS-OUT'!L6</f>
        <v>46218</v>
      </c>
      <c r="Q6" s="192"/>
      <c r="R6" s="192"/>
      <c r="S6" s="156"/>
      <c r="T6" s="156"/>
      <c r="U6" s="156"/>
      <c r="V6" s="156"/>
      <c r="W6" s="156"/>
      <c r="X6" s="156"/>
      <c r="Y6" s="156"/>
    </row>
    <row r="7" ht="11.25" customHeight="1" spans="1:25" x14ac:dyDescent="0.25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68</v>
      </c>
      <c r="B8" s="207" t="s">
        <v>26</v>
      </c>
      <c r="C8" s="207"/>
      <c r="D8" s="207"/>
      <c r="E8" s="207"/>
      <c r="F8" s="156"/>
      <c r="G8" s="156"/>
      <c r="H8" s="156"/>
      <c r="I8" s="156" t="s">
        <v>69</v>
      </c>
      <c r="J8" s="192"/>
      <c r="K8" s="156"/>
      <c r="L8" s="156"/>
      <c r="M8" s="156"/>
      <c r="N8" s="156"/>
      <c r="O8" s="207" t="s">
        <v>80</v>
      </c>
      <c r="P8" s="192">
        <f>'OS-OUT'!L8</f>
        <v>6</v>
      </c>
      <c r="Q8" s="192"/>
      <c r="R8" s="192"/>
      <c r="S8" s="156"/>
      <c r="T8" s="156"/>
      <c r="U8" s="156"/>
      <c r="V8" s="156"/>
      <c r="W8" s="156"/>
      <c r="X8" s="156"/>
      <c r="Y8" s="156"/>
    </row>
    <row r="9" ht="6.7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2" customHeight="1" spans="1:25" x14ac:dyDescent="0.25">
      <c r="A10" s="212" t="s">
        <v>11</v>
      </c>
      <c r="B10" s="212" t="s">
        <v>49</v>
      </c>
      <c r="C10" s="275" t="s">
        <v>71</v>
      </c>
      <c r="D10" s="203"/>
      <c r="E10" s="276"/>
      <c r="F10" s="275" t="s">
        <v>72</v>
      </c>
      <c r="G10" s="203"/>
      <c r="H10" s="203"/>
      <c r="I10" s="276"/>
      <c r="J10" s="212" t="s">
        <v>73</v>
      </c>
      <c r="K10" s="212" t="s">
        <v>74</v>
      </c>
      <c r="L10" s="275" t="s">
        <v>81</v>
      </c>
      <c r="M10" s="203"/>
      <c r="N10" s="203"/>
      <c r="O10" s="203"/>
      <c r="P10" s="203"/>
      <c r="Q10" s="203"/>
      <c r="R10" s="276"/>
      <c r="S10" s="156"/>
      <c r="T10" s="156"/>
      <c r="U10" s="156"/>
      <c r="V10" s="156"/>
      <c r="W10" s="156"/>
      <c r="X10" s="156"/>
      <c r="Y10" s="156"/>
    </row>
    <row r="11" ht="12" customHeight="1" spans="1:25" x14ac:dyDescent="0.25">
      <c r="A11" s="215"/>
      <c r="B11" s="215"/>
      <c r="C11" s="277"/>
      <c r="D11" s="278"/>
      <c r="E11" s="279"/>
      <c r="F11" s="277"/>
      <c r="G11" s="278"/>
      <c r="H11" s="278"/>
      <c r="I11" s="279"/>
      <c r="J11" s="215" t="s">
        <v>58</v>
      </c>
      <c r="K11" s="215"/>
      <c r="L11" s="277"/>
      <c r="M11" s="278"/>
      <c r="N11" s="278"/>
      <c r="O11" s="278"/>
      <c r="P11" s="278"/>
      <c r="Q11" s="278"/>
      <c r="R11" s="279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220"/>
      <c r="B12" s="220"/>
      <c r="C12" s="281"/>
      <c r="D12" s="282"/>
      <c r="E12" s="283"/>
      <c r="F12" s="281"/>
      <c r="G12" s="282"/>
      <c r="H12" s="282"/>
      <c r="I12" s="283"/>
      <c r="J12" s="220"/>
      <c r="K12" s="220"/>
      <c r="L12" s="328"/>
      <c r="M12" s="329"/>
      <c r="N12" s="329"/>
      <c r="O12" s="329"/>
      <c r="P12" s="329"/>
      <c r="Q12" s="329"/>
      <c r="R12" s="330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289"/>
      <c r="B13" s="289"/>
      <c r="C13" s="171"/>
      <c r="D13" s="331"/>
      <c r="E13" s="174"/>
      <c r="F13" s="171"/>
      <c r="G13" s="331"/>
      <c r="H13" s="331"/>
      <c r="I13" s="174"/>
      <c r="J13" s="289"/>
      <c r="K13" s="289"/>
      <c r="L13" s="293"/>
      <c r="M13" s="293"/>
      <c r="N13" s="293"/>
      <c r="O13" s="293"/>
      <c r="P13" s="293"/>
      <c r="Q13" s="293"/>
      <c r="R13" s="293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289"/>
      <c r="B14" s="289"/>
      <c r="C14" s="171"/>
      <c r="D14" s="331"/>
      <c r="E14" s="174"/>
      <c r="F14" s="171"/>
      <c r="G14" s="331"/>
      <c r="H14" s="331"/>
      <c r="I14" s="174"/>
      <c r="J14" s="289"/>
      <c r="K14" s="289"/>
      <c r="L14" s="293"/>
      <c r="M14" s="293"/>
      <c r="N14" s="293"/>
      <c r="O14" s="293"/>
      <c r="P14" s="293"/>
      <c r="Q14" s="293"/>
      <c r="R14" s="293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289"/>
      <c r="B15" s="289"/>
      <c r="C15" s="171"/>
      <c r="D15" s="331"/>
      <c r="E15" s="174"/>
      <c r="F15" s="171"/>
      <c r="G15" s="331"/>
      <c r="H15" s="331"/>
      <c r="I15" s="174"/>
      <c r="J15" s="289"/>
      <c r="K15" s="289"/>
      <c r="L15" s="293"/>
      <c r="M15" s="293"/>
      <c r="N15" s="293"/>
      <c r="O15" s="293"/>
      <c r="P15" s="293"/>
      <c r="Q15" s="293"/>
      <c r="R15" s="293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289"/>
      <c r="B16" s="289"/>
      <c r="C16" s="171"/>
      <c r="D16" s="331"/>
      <c r="E16" s="174"/>
      <c r="F16" s="171"/>
      <c r="G16" s="331"/>
      <c r="H16" s="331"/>
      <c r="I16" s="174"/>
      <c r="J16" s="289"/>
      <c r="K16" s="289"/>
      <c r="L16" s="293"/>
      <c r="M16" s="293"/>
      <c r="N16" s="293"/>
      <c r="O16" s="293"/>
      <c r="P16" s="293"/>
      <c r="Q16" s="293"/>
      <c r="R16" s="293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289"/>
      <c r="B17" s="289"/>
      <c r="C17" s="171"/>
      <c r="D17" s="331"/>
      <c r="E17" s="174"/>
      <c r="F17" s="171"/>
      <c r="G17" s="331"/>
      <c r="H17" s="331"/>
      <c r="I17" s="174"/>
      <c r="J17" s="289"/>
      <c r="K17" s="289"/>
      <c r="L17" s="293"/>
      <c r="M17" s="293"/>
      <c r="N17" s="293"/>
      <c r="O17" s="293"/>
      <c r="P17" s="293"/>
      <c r="Q17" s="293"/>
      <c r="R17" s="293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289"/>
      <c r="B18" s="289"/>
      <c r="C18" s="171"/>
      <c r="D18" s="331"/>
      <c r="E18" s="174"/>
      <c r="F18" s="171"/>
      <c r="G18" s="331"/>
      <c r="H18" s="331"/>
      <c r="I18" s="174"/>
      <c r="J18" s="289"/>
      <c r="K18" s="289"/>
      <c r="L18" s="293"/>
      <c r="M18" s="293"/>
      <c r="N18" s="293"/>
      <c r="O18" s="293"/>
      <c r="P18" s="293"/>
      <c r="Q18" s="293"/>
      <c r="R18" s="293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289"/>
      <c r="B19" s="289"/>
      <c r="C19" s="171"/>
      <c r="D19" s="331"/>
      <c r="E19" s="174"/>
      <c r="F19" s="171"/>
      <c r="G19" s="331"/>
      <c r="H19" s="331"/>
      <c r="I19" s="174"/>
      <c r="J19" s="289"/>
      <c r="K19" s="289"/>
      <c r="L19" s="293"/>
      <c r="M19" s="293"/>
      <c r="N19" s="293"/>
      <c r="O19" s="293"/>
      <c r="P19" s="293"/>
      <c r="Q19" s="293"/>
      <c r="R19" s="293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289"/>
      <c r="B20" s="289"/>
      <c r="C20" s="171"/>
      <c r="D20" s="331"/>
      <c r="E20" s="174"/>
      <c r="F20" s="171"/>
      <c r="G20" s="331"/>
      <c r="H20" s="331"/>
      <c r="I20" s="174"/>
      <c r="J20" s="289"/>
      <c r="K20" s="289"/>
      <c r="L20" s="293"/>
      <c r="M20" s="293"/>
      <c r="N20" s="293"/>
      <c r="O20" s="293"/>
      <c r="P20" s="293"/>
      <c r="Q20" s="293"/>
      <c r="R20" s="293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289"/>
      <c r="B21" s="289"/>
      <c r="C21" s="171"/>
      <c r="D21" s="331"/>
      <c r="E21" s="174"/>
      <c r="F21" s="171"/>
      <c r="G21" s="331"/>
      <c r="H21" s="331"/>
      <c r="I21" s="174"/>
      <c r="J21" s="289"/>
      <c r="K21" s="289"/>
      <c r="L21" s="293"/>
      <c r="M21" s="293"/>
      <c r="N21" s="293"/>
      <c r="O21" s="293"/>
      <c r="P21" s="293"/>
      <c r="Q21" s="293"/>
      <c r="R21" s="293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289"/>
      <c r="B22" s="289"/>
      <c r="C22" s="171"/>
      <c r="D22" s="331"/>
      <c r="E22" s="174"/>
      <c r="F22" s="171"/>
      <c r="G22" s="331"/>
      <c r="H22" s="331"/>
      <c r="I22" s="174"/>
      <c r="J22" s="289"/>
      <c r="K22" s="289"/>
      <c r="L22" s="293"/>
      <c r="M22" s="293"/>
      <c r="N22" s="293"/>
      <c r="O22" s="293"/>
      <c r="P22" s="293"/>
      <c r="Q22" s="293"/>
      <c r="R22" s="293"/>
      <c r="S22" s="156"/>
      <c r="T22" s="156"/>
      <c r="U22" s="156"/>
      <c r="V22" s="156"/>
      <c r="W22" s="156"/>
      <c r="X22" s="156"/>
      <c r="Y22" s="156"/>
    </row>
    <row r="23" ht="18" customHeight="1" spans="1:25" x14ac:dyDescent="0.25">
      <c r="A23" s="289"/>
      <c r="B23" s="289"/>
      <c r="C23" s="171"/>
      <c r="D23" s="331"/>
      <c r="E23" s="174"/>
      <c r="F23" s="171"/>
      <c r="G23" s="331"/>
      <c r="H23" s="331"/>
      <c r="I23" s="174"/>
      <c r="J23" s="289"/>
      <c r="K23" s="289"/>
      <c r="L23" s="293"/>
      <c r="M23" s="293"/>
      <c r="N23" s="293"/>
      <c r="O23" s="293"/>
      <c r="P23" s="293"/>
      <c r="Q23" s="293"/>
      <c r="R23" s="293"/>
      <c r="S23" s="156"/>
      <c r="T23" s="156"/>
      <c r="U23" s="156"/>
      <c r="V23" s="156"/>
      <c r="W23" s="156"/>
      <c r="X23" s="156"/>
      <c r="Y23" s="156"/>
    </row>
    <row r="24" ht="18" customHeight="1" spans="1:25" x14ac:dyDescent="0.25">
      <c r="A24" s="289"/>
      <c r="B24" s="289"/>
      <c r="C24" s="171"/>
      <c r="D24" s="331"/>
      <c r="E24" s="174"/>
      <c r="F24" s="171"/>
      <c r="G24" s="331"/>
      <c r="H24" s="331"/>
      <c r="I24" s="174"/>
      <c r="J24" s="289"/>
      <c r="K24" s="289"/>
      <c r="L24" s="293"/>
      <c r="M24" s="293"/>
      <c r="N24" s="293"/>
      <c r="O24" s="293"/>
      <c r="P24" s="293"/>
      <c r="Q24" s="293"/>
      <c r="R24" s="293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89"/>
      <c r="B25" s="289"/>
      <c r="C25" s="171"/>
      <c r="D25" s="331"/>
      <c r="E25" s="174"/>
      <c r="F25" s="171"/>
      <c r="G25" s="331"/>
      <c r="H25" s="331"/>
      <c r="I25" s="174"/>
      <c r="J25" s="289"/>
      <c r="K25" s="289"/>
      <c r="L25" s="293"/>
      <c r="M25" s="293"/>
      <c r="N25" s="293"/>
      <c r="O25" s="293"/>
      <c r="P25" s="293"/>
      <c r="Q25" s="293"/>
      <c r="R25" s="293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89"/>
      <c r="B26" s="289"/>
      <c r="C26" s="171"/>
      <c r="D26" s="331"/>
      <c r="E26" s="174"/>
      <c r="F26" s="171"/>
      <c r="G26" s="331"/>
      <c r="H26" s="331"/>
      <c r="I26" s="174"/>
      <c r="J26" s="289"/>
      <c r="K26" s="289"/>
      <c r="L26" s="293"/>
      <c r="M26" s="293"/>
      <c r="N26" s="293"/>
      <c r="O26" s="293"/>
      <c r="P26" s="293"/>
      <c r="Q26" s="293"/>
      <c r="R26" s="293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89"/>
      <c r="B27" s="289"/>
      <c r="C27" s="171"/>
      <c r="D27" s="331"/>
      <c r="E27" s="174"/>
      <c r="F27" s="171"/>
      <c r="G27" s="331"/>
      <c r="H27" s="331"/>
      <c r="I27" s="174"/>
      <c r="J27" s="289"/>
      <c r="K27" s="289"/>
      <c r="L27" s="293"/>
      <c r="M27" s="293"/>
      <c r="N27" s="293"/>
      <c r="O27" s="293"/>
      <c r="P27" s="293"/>
      <c r="Q27" s="293"/>
      <c r="R27" s="293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89"/>
      <c r="B28" s="289"/>
      <c r="C28" s="171"/>
      <c r="D28" s="331"/>
      <c r="E28" s="174"/>
      <c r="F28" s="171"/>
      <c r="G28" s="331"/>
      <c r="H28" s="331"/>
      <c r="I28" s="174"/>
      <c r="J28" s="289"/>
      <c r="K28" s="289"/>
      <c r="L28" s="293"/>
      <c r="M28" s="293"/>
      <c r="N28" s="293"/>
      <c r="O28" s="293"/>
      <c r="P28" s="293"/>
      <c r="Q28" s="293"/>
      <c r="R28" s="293"/>
      <c r="S28" s="156"/>
      <c r="T28" s="156"/>
      <c r="U28" s="156"/>
      <c r="V28" s="156"/>
      <c r="W28" s="156"/>
      <c r="X28" s="156"/>
      <c r="Y28" s="156"/>
    </row>
    <row r="29" spans="1:25" x14ac:dyDescent="0.25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spans="1:25" x14ac:dyDescent="0.25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spans="1:25" x14ac:dyDescent="0.25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5" customHeight="1" spans="1:25" x14ac:dyDescent="0.25">
      <c r="A32" s="202"/>
      <c r="B32" s="202"/>
      <c r="C32" s="202"/>
      <c r="D32" s="202"/>
      <c r="E32" s="156"/>
      <c r="F32" s="156"/>
      <c r="G32" s="156"/>
      <c r="H32" s="156"/>
      <c r="I32" s="202"/>
      <c r="J32" s="202"/>
      <c r="K32" s="202"/>
      <c r="L32" s="156"/>
      <c r="M32" s="156"/>
      <c r="N32" s="156"/>
      <c r="O32" s="202"/>
      <c r="P32" s="202"/>
      <c r="Q32" s="202"/>
      <c r="R32" s="202"/>
      <c r="S32" s="156"/>
      <c r="T32" s="156"/>
      <c r="U32" s="156"/>
      <c r="V32" s="156"/>
      <c r="W32" s="156"/>
      <c r="X32" s="156"/>
      <c r="Y32" s="156"/>
    </row>
    <row r="33" spans="1:25" x14ac:dyDescent="0.25">
      <c r="A33" s="203" t="s">
        <v>23</v>
      </c>
      <c r="B33" s="203"/>
      <c r="C33" s="203"/>
      <c r="D33" s="203"/>
      <c r="E33" s="156"/>
      <c r="F33" s="156"/>
      <c r="G33" s="156"/>
      <c r="H33" s="156"/>
      <c r="I33" s="203" t="s">
        <v>63</v>
      </c>
      <c r="J33" s="203"/>
      <c r="K33" s="203"/>
      <c r="L33" s="156"/>
      <c r="M33" s="156"/>
      <c r="N33" s="156"/>
      <c r="O33" s="203" t="s">
        <v>24</v>
      </c>
      <c r="P33" s="203"/>
      <c r="Q33" s="203"/>
      <c r="R33" s="203"/>
      <c r="S33" s="156"/>
      <c r="T33" s="156"/>
      <c r="U33" s="156"/>
      <c r="V33" s="156"/>
      <c r="W33" s="156"/>
      <c r="X33" s="156"/>
      <c r="Y33" s="156"/>
    </row>
    <row r="34" spans="1:25" x14ac:dyDescent="0.25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spans="1:25" x14ac:dyDescent="0.25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spans="1:25" x14ac:dyDescent="0.25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</sheetData>
  <mergeCells count="67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105"/>
  <sheetViews>
    <sheetView workbookViewId="0" zoomScale="90" zoomScaleNormal="90">
      <selection activeCell="B2" sqref="B2"/>
    </sheetView>
  </sheetViews>
  <sheetFormatPr defaultRowHeight="16.5" outlineLevelRow="0" outlineLevelCol="0" x14ac:dyDescent="0" customHeight="1"/>
  <cols>
    <col min="1" max="1" width="9.5" style="1" customWidth="1"/>
    <col min="2" max="2" width="7" style="1" customWidth="1"/>
    <col min="3" max="3" width="7.625" style="1" customWidth="1"/>
    <col min="4" max="4" width="5.25" style="2" customWidth="1"/>
    <col min="5" max="15" width="5.25" style="1" customWidth="1"/>
    <col min="16" max="223" width="9" style="1" customWidth="1"/>
    <col min="224" max="225" width="7" style="1" customWidth="1"/>
    <col min="226" max="226" width="9.125" style="1" customWidth="1"/>
    <col min="227" max="235" width="7.125" style="1" customWidth="1"/>
    <col min="236" max="479" width="9" style="1" customWidth="1"/>
    <col min="480" max="481" width="7" style="1" customWidth="1"/>
    <col min="482" max="482" width="9.125" style="1" customWidth="1"/>
    <col min="483" max="491" width="7.125" style="1" customWidth="1"/>
    <col min="492" max="735" width="9" style="1" customWidth="1"/>
    <col min="736" max="737" width="7" style="1" customWidth="1"/>
    <col min="738" max="738" width="9.125" style="1" customWidth="1"/>
    <col min="739" max="747" width="7.125" style="1" customWidth="1"/>
    <col min="748" max="991" width="9" style="1" customWidth="1"/>
    <col min="992" max="993" width="7" style="1" customWidth="1"/>
    <col min="994" max="994" width="9.125" style="1" customWidth="1"/>
    <col min="995" max="1003" width="7.125" style="1" customWidth="1"/>
    <col min="1004" max="1247" width="9" style="1" customWidth="1"/>
    <col min="1248" max="1249" width="7" style="1" customWidth="1"/>
    <col min="1250" max="1250" width="9.125" style="1" customWidth="1"/>
    <col min="1251" max="1259" width="7.125" style="1" customWidth="1"/>
    <col min="1260" max="1503" width="9" style="1" customWidth="1"/>
    <col min="1504" max="1505" width="7" style="1" customWidth="1"/>
    <col min="1506" max="1506" width="9.125" style="1" customWidth="1"/>
    <col min="1507" max="1515" width="7.125" style="1" customWidth="1"/>
    <col min="1516" max="1759" width="9" style="1" customWidth="1"/>
    <col min="1760" max="1761" width="7" style="1" customWidth="1"/>
    <col min="1762" max="1762" width="9.125" style="1" customWidth="1"/>
    <col min="1763" max="1771" width="7.125" style="1" customWidth="1"/>
    <col min="1772" max="2015" width="9" style="1" customWidth="1"/>
    <col min="2016" max="2017" width="7" style="1" customWidth="1"/>
    <col min="2018" max="2018" width="9.125" style="1" customWidth="1"/>
    <col min="2019" max="2027" width="7.125" style="1" customWidth="1"/>
    <col min="2028" max="2271" width="9" style="1" customWidth="1"/>
    <col min="2272" max="2273" width="7" style="1" customWidth="1"/>
    <col min="2274" max="2274" width="9.125" style="1" customWidth="1"/>
    <col min="2275" max="2283" width="7.125" style="1" customWidth="1"/>
    <col min="2284" max="2527" width="9" style="1" customWidth="1"/>
    <col min="2528" max="2529" width="7" style="1" customWidth="1"/>
    <col min="2530" max="2530" width="9.125" style="1" customWidth="1"/>
    <col min="2531" max="2539" width="7.125" style="1" customWidth="1"/>
    <col min="2540" max="2783" width="9" style="1" customWidth="1"/>
    <col min="2784" max="2785" width="7" style="1" customWidth="1"/>
    <col min="2786" max="2786" width="9.125" style="1" customWidth="1"/>
    <col min="2787" max="2795" width="7.125" style="1" customWidth="1"/>
    <col min="2796" max="3039" width="9" style="1" customWidth="1"/>
    <col min="3040" max="3041" width="7" style="1" customWidth="1"/>
    <col min="3042" max="3042" width="9.125" style="1" customWidth="1"/>
    <col min="3043" max="3051" width="7.125" style="1" customWidth="1"/>
    <col min="3052" max="3295" width="9" style="1" customWidth="1"/>
    <col min="3296" max="3297" width="7" style="1" customWidth="1"/>
    <col min="3298" max="3298" width="9.125" style="1" customWidth="1"/>
    <col min="3299" max="3307" width="7.125" style="1" customWidth="1"/>
    <col min="3308" max="3551" width="9" style="1" customWidth="1"/>
    <col min="3552" max="3553" width="7" style="1" customWidth="1"/>
    <col min="3554" max="3554" width="9.125" style="1" customWidth="1"/>
    <col min="3555" max="3563" width="7.125" style="1" customWidth="1"/>
    <col min="3564" max="3807" width="9" style="1" customWidth="1"/>
    <col min="3808" max="3809" width="7" style="1" customWidth="1"/>
    <col min="3810" max="3810" width="9.125" style="1" customWidth="1"/>
    <col min="3811" max="3819" width="7.125" style="1" customWidth="1"/>
    <col min="3820" max="4063" width="9" style="1" customWidth="1"/>
    <col min="4064" max="4065" width="7" style="1" customWidth="1"/>
    <col min="4066" max="4066" width="9.125" style="1" customWidth="1"/>
    <col min="4067" max="4075" width="7.125" style="1" customWidth="1"/>
    <col min="4076" max="4319" width="9" style="1" customWidth="1"/>
    <col min="4320" max="4321" width="7" style="1" customWidth="1"/>
    <col min="4322" max="4322" width="9.125" style="1" customWidth="1"/>
    <col min="4323" max="4331" width="7.125" style="1" customWidth="1"/>
    <col min="4332" max="4575" width="9" style="1" customWidth="1"/>
    <col min="4576" max="4577" width="7" style="1" customWidth="1"/>
    <col min="4578" max="4578" width="9.125" style="1" customWidth="1"/>
    <col min="4579" max="4587" width="7.125" style="1" customWidth="1"/>
    <col min="4588" max="4831" width="9" style="1" customWidth="1"/>
    <col min="4832" max="4833" width="7" style="1" customWidth="1"/>
    <col min="4834" max="4834" width="9.125" style="1" customWidth="1"/>
    <col min="4835" max="4843" width="7.125" style="1" customWidth="1"/>
    <col min="4844" max="5087" width="9" style="1" customWidth="1"/>
    <col min="5088" max="5089" width="7" style="1" customWidth="1"/>
    <col min="5090" max="5090" width="9.125" style="1" customWidth="1"/>
    <col min="5091" max="5099" width="7.125" style="1" customWidth="1"/>
    <col min="5100" max="5343" width="9" style="1" customWidth="1"/>
    <col min="5344" max="5345" width="7" style="1" customWidth="1"/>
    <col min="5346" max="5346" width="9.125" style="1" customWidth="1"/>
    <col min="5347" max="5355" width="7.125" style="1" customWidth="1"/>
    <col min="5356" max="5599" width="9" style="1" customWidth="1"/>
    <col min="5600" max="5601" width="7" style="1" customWidth="1"/>
    <col min="5602" max="5602" width="9.125" style="1" customWidth="1"/>
    <col min="5603" max="5611" width="7.125" style="1" customWidth="1"/>
    <col min="5612" max="5855" width="9" style="1" customWidth="1"/>
    <col min="5856" max="5857" width="7" style="1" customWidth="1"/>
    <col min="5858" max="5858" width="9.125" style="1" customWidth="1"/>
    <col min="5859" max="5867" width="7.125" style="1" customWidth="1"/>
    <col min="5868" max="6111" width="9" style="1" customWidth="1"/>
    <col min="6112" max="6113" width="7" style="1" customWidth="1"/>
    <col min="6114" max="6114" width="9.125" style="1" customWidth="1"/>
    <col min="6115" max="6123" width="7.125" style="1" customWidth="1"/>
    <col min="6124" max="6367" width="9" style="1" customWidth="1"/>
    <col min="6368" max="6369" width="7" style="1" customWidth="1"/>
    <col min="6370" max="6370" width="9.125" style="1" customWidth="1"/>
    <col min="6371" max="6379" width="7.125" style="1" customWidth="1"/>
    <col min="6380" max="6623" width="9" style="1" customWidth="1"/>
    <col min="6624" max="6625" width="7" style="1" customWidth="1"/>
    <col min="6626" max="6626" width="9.125" style="1" customWidth="1"/>
    <col min="6627" max="6635" width="7.125" style="1" customWidth="1"/>
    <col min="6636" max="6879" width="9" style="1" customWidth="1"/>
    <col min="6880" max="6881" width="7" style="1" customWidth="1"/>
    <col min="6882" max="6882" width="9.125" style="1" customWidth="1"/>
    <col min="6883" max="6891" width="7.125" style="1" customWidth="1"/>
    <col min="6892" max="7135" width="9" style="1" customWidth="1"/>
    <col min="7136" max="7137" width="7" style="1" customWidth="1"/>
    <col min="7138" max="7138" width="9.125" style="1" customWidth="1"/>
    <col min="7139" max="7147" width="7.125" style="1" customWidth="1"/>
    <col min="7148" max="7391" width="9" style="1" customWidth="1"/>
    <col min="7392" max="7393" width="7" style="1" customWidth="1"/>
    <col min="7394" max="7394" width="9.125" style="1" customWidth="1"/>
    <col min="7395" max="7403" width="7.125" style="1" customWidth="1"/>
    <col min="7404" max="7647" width="9" style="1" customWidth="1"/>
    <col min="7648" max="7649" width="7" style="1" customWidth="1"/>
    <col min="7650" max="7650" width="9.125" style="1" customWidth="1"/>
    <col min="7651" max="7659" width="7.125" style="1" customWidth="1"/>
    <col min="7660" max="7903" width="9" style="1" customWidth="1"/>
    <col min="7904" max="7905" width="7" style="1" customWidth="1"/>
    <col min="7906" max="7906" width="9.125" style="1" customWidth="1"/>
    <col min="7907" max="7915" width="7.125" style="1" customWidth="1"/>
    <col min="7916" max="8159" width="9" style="1" customWidth="1"/>
    <col min="8160" max="8161" width="7" style="1" customWidth="1"/>
    <col min="8162" max="8162" width="9.125" style="1" customWidth="1"/>
    <col min="8163" max="8171" width="7.125" style="1" customWidth="1"/>
    <col min="8172" max="8415" width="9" style="1" customWidth="1"/>
    <col min="8416" max="8417" width="7" style="1" customWidth="1"/>
    <col min="8418" max="8418" width="9.125" style="1" customWidth="1"/>
    <col min="8419" max="8427" width="7.125" style="1" customWidth="1"/>
    <col min="8428" max="8671" width="9" style="1" customWidth="1"/>
    <col min="8672" max="8673" width="7" style="1" customWidth="1"/>
    <col min="8674" max="8674" width="9.125" style="1" customWidth="1"/>
    <col min="8675" max="8683" width="7.125" style="1" customWidth="1"/>
    <col min="8684" max="8927" width="9" style="1" customWidth="1"/>
    <col min="8928" max="8929" width="7" style="1" customWidth="1"/>
    <col min="8930" max="8930" width="9.125" style="1" customWidth="1"/>
    <col min="8931" max="8939" width="7.125" style="1" customWidth="1"/>
    <col min="8940" max="9183" width="9" style="1" customWidth="1"/>
    <col min="9184" max="9185" width="7" style="1" customWidth="1"/>
    <col min="9186" max="9186" width="9.125" style="1" customWidth="1"/>
    <col min="9187" max="9195" width="7.125" style="1" customWidth="1"/>
    <col min="9196" max="9439" width="9" style="1" customWidth="1"/>
    <col min="9440" max="9441" width="7" style="1" customWidth="1"/>
    <col min="9442" max="9442" width="9.125" style="1" customWidth="1"/>
    <col min="9443" max="9451" width="7.125" style="1" customWidth="1"/>
    <col min="9452" max="9695" width="9" style="1" customWidth="1"/>
    <col min="9696" max="9697" width="7" style="1" customWidth="1"/>
    <col min="9698" max="9698" width="9.125" style="1" customWidth="1"/>
    <col min="9699" max="9707" width="7.125" style="1" customWidth="1"/>
    <col min="9708" max="9951" width="9" style="1" customWidth="1"/>
    <col min="9952" max="9953" width="7" style="1" customWidth="1"/>
    <col min="9954" max="9954" width="9.125" style="1" customWidth="1"/>
    <col min="9955" max="9963" width="7.125" style="1" customWidth="1"/>
    <col min="9964" max="10207" width="9" style="1" customWidth="1"/>
    <col min="10208" max="10209" width="7" style="1" customWidth="1"/>
    <col min="10210" max="10210" width="9.125" style="1" customWidth="1"/>
    <col min="10211" max="10219" width="7.125" style="1" customWidth="1"/>
    <col min="10220" max="10463" width="9" style="1" customWidth="1"/>
    <col min="10464" max="10465" width="7" style="1" customWidth="1"/>
    <col min="10466" max="10466" width="9.125" style="1" customWidth="1"/>
    <col min="10467" max="10475" width="7.125" style="1" customWidth="1"/>
    <col min="10476" max="10719" width="9" style="1" customWidth="1"/>
    <col min="10720" max="10721" width="7" style="1" customWidth="1"/>
    <col min="10722" max="10722" width="9.125" style="1" customWidth="1"/>
    <col min="10723" max="10731" width="7.125" style="1" customWidth="1"/>
    <col min="10732" max="10975" width="9" style="1" customWidth="1"/>
    <col min="10976" max="10977" width="7" style="1" customWidth="1"/>
    <col min="10978" max="10978" width="9.125" style="1" customWidth="1"/>
    <col min="10979" max="10987" width="7.125" style="1" customWidth="1"/>
    <col min="10988" max="11231" width="9" style="1" customWidth="1"/>
    <col min="11232" max="11233" width="7" style="1" customWidth="1"/>
    <col min="11234" max="11234" width="9.125" style="1" customWidth="1"/>
    <col min="11235" max="11243" width="7.125" style="1" customWidth="1"/>
    <col min="11244" max="11487" width="9" style="1" customWidth="1"/>
    <col min="11488" max="11489" width="7" style="1" customWidth="1"/>
    <col min="11490" max="11490" width="9.125" style="1" customWidth="1"/>
    <col min="11491" max="11499" width="7.125" style="1" customWidth="1"/>
    <col min="11500" max="11743" width="9" style="1" customWidth="1"/>
    <col min="11744" max="11745" width="7" style="1" customWidth="1"/>
    <col min="11746" max="11746" width="9.125" style="1" customWidth="1"/>
    <col min="11747" max="11755" width="7.125" style="1" customWidth="1"/>
    <col min="11756" max="11999" width="9" style="1" customWidth="1"/>
    <col min="12000" max="12001" width="7" style="1" customWidth="1"/>
    <col min="12002" max="12002" width="9.125" style="1" customWidth="1"/>
    <col min="12003" max="12011" width="7.125" style="1" customWidth="1"/>
    <col min="12012" max="12255" width="9" style="1" customWidth="1"/>
    <col min="12256" max="12257" width="7" style="1" customWidth="1"/>
    <col min="12258" max="12258" width="9.125" style="1" customWidth="1"/>
    <col min="12259" max="12267" width="7.125" style="1" customWidth="1"/>
    <col min="12268" max="12511" width="9" style="1" customWidth="1"/>
    <col min="12512" max="12513" width="7" style="1" customWidth="1"/>
    <col min="12514" max="12514" width="9.125" style="1" customWidth="1"/>
    <col min="12515" max="12523" width="7.125" style="1" customWidth="1"/>
    <col min="12524" max="12767" width="9" style="1" customWidth="1"/>
    <col min="12768" max="12769" width="7" style="1" customWidth="1"/>
    <col min="12770" max="12770" width="9.125" style="1" customWidth="1"/>
    <col min="12771" max="12779" width="7.125" style="1" customWidth="1"/>
    <col min="12780" max="13023" width="9" style="1" customWidth="1"/>
    <col min="13024" max="13025" width="7" style="1" customWidth="1"/>
    <col min="13026" max="13026" width="9.125" style="1" customWidth="1"/>
    <col min="13027" max="13035" width="7.125" style="1" customWidth="1"/>
    <col min="13036" max="13279" width="9" style="1" customWidth="1"/>
    <col min="13280" max="13281" width="7" style="1" customWidth="1"/>
    <col min="13282" max="13282" width="9.125" style="1" customWidth="1"/>
    <col min="13283" max="13291" width="7.125" style="1" customWidth="1"/>
    <col min="13292" max="13535" width="9" style="1" customWidth="1"/>
    <col min="13536" max="13537" width="7" style="1" customWidth="1"/>
    <col min="13538" max="13538" width="9.125" style="1" customWidth="1"/>
    <col min="13539" max="13547" width="7.125" style="1" customWidth="1"/>
    <col min="13548" max="13791" width="9" style="1" customWidth="1"/>
    <col min="13792" max="13793" width="7" style="1" customWidth="1"/>
    <col min="13794" max="13794" width="9.125" style="1" customWidth="1"/>
    <col min="13795" max="13803" width="7.125" style="1" customWidth="1"/>
    <col min="13804" max="14047" width="9" style="1" customWidth="1"/>
    <col min="14048" max="14049" width="7" style="1" customWidth="1"/>
    <col min="14050" max="14050" width="9.125" style="1" customWidth="1"/>
    <col min="14051" max="14059" width="7.125" style="1" customWidth="1"/>
    <col min="14060" max="14303" width="9" style="1" customWidth="1"/>
    <col min="14304" max="14305" width="7" style="1" customWidth="1"/>
    <col min="14306" max="14306" width="9.125" style="1" customWidth="1"/>
    <col min="14307" max="14315" width="7.125" style="1" customWidth="1"/>
    <col min="14316" max="14559" width="9" style="1" customWidth="1"/>
    <col min="14560" max="14561" width="7" style="1" customWidth="1"/>
    <col min="14562" max="14562" width="9.125" style="1" customWidth="1"/>
    <col min="14563" max="14571" width="7.125" style="1" customWidth="1"/>
    <col min="14572" max="14815" width="9" style="1" customWidth="1"/>
    <col min="14816" max="14817" width="7" style="1" customWidth="1"/>
    <col min="14818" max="14818" width="9.125" style="1" customWidth="1"/>
    <col min="14819" max="14827" width="7.125" style="1" customWidth="1"/>
    <col min="14828" max="15071" width="9" style="1" customWidth="1"/>
    <col min="15072" max="15073" width="7" style="1" customWidth="1"/>
    <col min="15074" max="15074" width="9.125" style="1" customWidth="1"/>
    <col min="15075" max="15083" width="7.125" style="1" customWidth="1"/>
    <col min="15084" max="15327" width="9" style="1" customWidth="1"/>
    <col min="15328" max="15329" width="7" style="1" customWidth="1"/>
    <col min="15330" max="15330" width="9.125" style="1" customWidth="1"/>
    <col min="15331" max="15339" width="7.125" style="1" customWidth="1"/>
    <col min="15340" max="15583" width="9" style="1" customWidth="1"/>
    <col min="15584" max="15585" width="7" style="1" customWidth="1"/>
    <col min="15586" max="15586" width="9.125" style="1" customWidth="1"/>
    <col min="15587" max="15595" width="7.125" style="1" customWidth="1"/>
    <col min="15596" max="15839" width="9" style="1" customWidth="1"/>
    <col min="15840" max="15841" width="7" style="1" customWidth="1"/>
    <col min="15842" max="15842" width="9.125" style="1" customWidth="1"/>
    <col min="15843" max="15851" width="7.125" style="1" customWidth="1"/>
    <col min="15852" max="16095" width="9" style="1" customWidth="1"/>
    <col min="16096" max="16097" width="7" style="1" customWidth="1"/>
    <col min="16098" max="16098" width="9.125" style="1" customWidth="1"/>
    <col min="16099" max="16107" width="7.125" style="1" customWidth="1"/>
    <col min="16108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s="5" customFormat="1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 spans="1:25" s="5" customFormat="1" x14ac:dyDescent="0.25">
      <c r="A4" s="9" t="s">
        <v>2</v>
      </c>
      <c r="B4" s="10" t="s">
        <v>3</v>
      </c>
      <c r="C4" s="5"/>
      <c r="D4" s="11"/>
      <c r="E4" s="12"/>
      <c r="F4" s="12" t="s">
        <v>4</v>
      </c>
      <c r="G4" s="13"/>
      <c r="H4" s="13"/>
      <c r="I4" s="13"/>
      <c r="J4" s="5" t="s">
        <v>5</v>
      </c>
      <c r="K4" s="5"/>
      <c r="L4" s="14"/>
      <c r="M4" s="13"/>
      <c r="N4" s="13"/>
      <c r="O4" s="13"/>
      <c r="P4" s="5"/>
      <c r="Q4" s="5"/>
      <c r="R4" s="5"/>
      <c r="S4" s="5"/>
      <c r="T4" s="5"/>
      <c r="U4" s="5"/>
      <c r="V4" s="5"/>
      <c r="W4" s="5"/>
      <c r="X4" s="5"/>
      <c r="Y4" s="5"/>
    </row>
    <row r="5" ht="9.75" customHeight="1" spans="1:25" s="5" customFormat="1" x14ac:dyDescent="0.25">
      <c r="A5" s="5"/>
      <c r="B5" s="5"/>
      <c r="C5" s="5"/>
      <c r="D5" s="1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 spans="1:25" s="5" customFormat="1" x14ac:dyDescent="0.25">
      <c r="A6" s="9" t="s">
        <v>6</v>
      </c>
      <c r="B6" s="16"/>
      <c r="C6" s="5"/>
      <c r="D6" s="11"/>
      <c r="E6" s="17"/>
      <c r="F6" s="17" t="s">
        <v>7</v>
      </c>
      <c r="G6" s="13"/>
      <c r="H6" s="13"/>
      <c r="I6" s="13"/>
      <c r="J6" s="5" t="s">
        <v>8</v>
      </c>
      <c r="K6" s="18"/>
      <c r="L6" s="19" t="s">
        <v>9</v>
      </c>
      <c r="M6" s="19"/>
      <c r="N6" s="19"/>
      <c r="O6" s="19"/>
      <c r="P6" s="5"/>
      <c r="Q6" s="5"/>
      <c r="R6" s="5"/>
      <c r="S6" s="5"/>
      <c r="T6" s="5"/>
      <c r="U6" s="5"/>
      <c r="V6" s="5"/>
      <c r="W6" s="5"/>
      <c r="X6" s="5"/>
      <c r="Y6" s="5"/>
    </row>
    <row r="7" ht="11.25" customHeight="1" spans="1:25" s="5" customFormat="1" x14ac:dyDescent="0.25">
      <c r="A7" s="20"/>
      <c r="B7" s="20"/>
      <c r="C7" s="20"/>
      <c r="D7" s="21"/>
      <c r="E7" s="20"/>
      <c r="F7" s="20"/>
      <c r="G7" s="2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" customHeight="1" spans="1:25" s="16" customFormat="1" x14ac:dyDescent="0.25">
      <c r="A8" s="22" t="s">
        <v>10</v>
      </c>
      <c r="B8" s="23" t="s">
        <v>11</v>
      </c>
      <c r="C8" s="24" t="s">
        <v>12</v>
      </c>
      <c r="D8" s="25" t="str">
        <f>+"DISCH ("&amp;D82+E82+F82+G82+D83+E83+F83+G83&amp;")"</f>
        <v>DISCH (349)</v>
      </c>
      <c r="E8" s="26"/>
      <c r="F8" s="26"/>
      <c r="G8" s="26"/>
      <c r="H8" s="25" t="str">
        <f>+"LOAD ("&amp;H82+I82+J82+K82+H83+I83+J83+K83&amp;")"</f>
        <v>LOAD (284)</v>
      </c>
      <c r="I8" s="26"/>
      <c r="J8" s="26"/>
      <c r="K8" s="27"/>
      <c r="L8" s="28" t="str">
        <f>+"SHIFT ("&amp;L82+M82+N82+O82+L83+M83+N83+O83&amp;")"</f>
        <v>SHIFT (0)</v>
      </c>
      <c r="M8" s="29"/>
      <c r="N8" s="30"/>
      <c r="O8" s="31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5" customHeight="1" spans="1:25" s="5" customFormat="1" x14ac:dyDescent="0.25">
      <c r="A9" s="32"/>
      <c r="B9" s="33"/>
      <c r="C9" s="34" t="s">
        <v>13</v>
      </c>
      <c r="D9" s="35" t="s">
        <v>14</v>
      </c>
      <c r="E9" s="36" t="s">
        <v>15</v>
      </c>
      <c r="F9" s="36" t="s">
        <v>16</v>
      </c>
      <c r="G9" s="37" t="s">
        <v>17</v>
      </c>
      <c r="H9" s="38" t="s">
        <v>14</v>
      </c>
      <c r="I9" s="36" t="s">
        <v>15</v>
      </c>
      <c r="J9" s="36" t="s">
        <v>16</v>
      </c>
      <c r="K9" s="39" t="s">
        <v>17</v>
      </c>
      <c r="L9" s="40" t="s">
        <v>14</v>
      </c>
      <c r="M9" s="36" t="s">
        <v>15</v>
      </c>
      <c r="N9" s="36" t="s">
        <v>16</v>
      </c>
      <c r="O9" s="39" t="s">
        <v>17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ht="12.75" customHeight="1" hidden="1" spans="1:25" s="41" customFormat="1" x14ac:dyDescent="0.25">
      <c r="A10" s="42"/>
      <c r="B10" s="43"/>
      <c r="C10" s="44" t="s">
        <v>18</v>
      </c>
      <c r="D10" s="45"/>
      <c r="E10" s="46"/>
      <c r="F10" s="46"/>
      <c r="G10" s="47"/>
      <c r="H10" s="45"/>
      <c r="I10" s="46"/>
      <c r="J10" s="46"/>
      <c r="K10" s="48"/>
      <c r="L10" s="49"/>
      <c r="M10" s="46"/>
      <c r="N10" s="46"/>
      <c r="O10" s="48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ht="12.75" customHeight="1" hidden="1" spans="1:25" s="41" customFormat="1" x14ac:dyDescent="0.25">
      <c r="A11" s="50"/>
      <c r="B11" s="51"/>
      <c r="C11" s="52" t="s">
        <v>19</v>
      </c>
      <c r="D11" s="53"/>
      <c r="E11" s="54"/>
      <c r="F11" s="54"/>
      <c r="G11" s="55"/>
      <c r="H11" s="53"/>
      <c r="I11" s="54"/>
      <c r="J11" s="54"/>
      <c r="K11" s="56"/>
      <c r="L11" s="57"/>
      <c r="M11" s="54"/>
      <c r="N11" s="54"/>
      <c r="O11" s="56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ht="12.75" customHeight="1" spans="1:25" s="41" customFormat="1" x14ac:dyDescent="0.25">
      <c r="A12" s="50"/>
      <c r="B12" s="58"/>
      <c r="C12" s="52" t="s">
        <v>18</v>
      </c>
      <c r="D12" s="53"/>
      <c r="E12" s="54"/>
      <c r="F12" s="54"/>
      <c r="G12" s="55"/>
      <c r="H12" s="53"/>
      <c r="I12" s="54"/>
      <c r="J12" s="54"/>
      <c r="K12" s="56"/>
      <c r="L12" s="57"/>
      <c r="M12" s="54"/>
      <c r="N12" s="54"/>
      <c r="O12" s="56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12.75" customHeight="1" spans="1:25" s="41" customFormat="1" x14ac:dyDescent="0.25">
      <c r="A13" s="50"/>
      <c r="B13" s="51"/>
      <c r="C13" s="52" t="s">
        <v>19</v>
      </c>
      <c r="D13" s="53"/>
      <c r="E13" s="54"/>
      <c r="F13" s="54"/>
      <c r="G13" s="55"/>
      <c r="H13" s="53"/>
      <c r="I13" s="54"/>
      <c r="J13" s="54"/>
      <c r="K13" s="56"/>
      <c r="L13" s="57"/>
      <c r="M13" s="54"/>
      <c r="N13" s="54"/>
      <c r="O13" s="56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12.75" customHeight="1" hidden="1" spans="1:25" s="41" customFormat="1" x14ac:dyDescent="0.25">
      <c r="A14" s="50"/>
      <c r="B14" s="58"/>
      <c r="C14" s="59" t="s">
        <v>18</v>
      </c>
      <c r="D14" s="53"/>
      <c r="E14" s="54"/>
      <c r="F14" s="54"/>
      <c r="G14" s="55"/>
      <c r="H14" s="53"/>
      <c r="I14" s="54"/>
      <c r="J14" s="54"/>
      <c r="K14" s="56"/>
      <c r="L14" s="57"/>
      <c r="M14" s="54"/>
      <c r="N14" s="54"/>
      <c r="O14" s="56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12.75" customHeight="1" hidden="1" spans="1:25" s="41" customFormat="1" x14ac:dyDescent="0.25">
      <c r="A15" s="50"/>
      <c r="B15" s="51"/>
      <c r="C15" s="59" t="s">
        <v>19</v>
      </c>
      <c r="D15" s="53"/>
      <c r="E15" s="54"/>
      <c r="F15" s="54"/>
      <c r="G15" s="55"/>
      <c r="H15" s="53"/>
      <c r="I15" s="54"/>
      <c r="J15" s="54"/>
      <c r="K15" s="56"/>
      <c r="L15" s="57"/>
      <c r="M15" s="54"/>
      <c r="N15" s="54"/>
      <c r="O15" s="56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12.75" customHeight="1" spans="1:25" s="41" customFormat="1" x14ac:dyDescent="0.25">
      <c r="A16" s="50"/>
      <c r="B16" s="58"/>
      <c r="C16" s="59" t="s">
        <v>18</v>
      </c>
      <c r="D16" s="53"/>
      <c r="E16" s="54"/>
      <c r="F16" s="54"/>
      <c r="G16" s="60"/>
      <c r="H16" s="57"/>
      <c r="I16" s="54"/>
      <c r="J16" s="54"/>
      <c r="K16" s="61"/>
      <c r="L16" s="53"/>
      <c r="M16" s="54"/>
      <c r="N16" s="54"/>
      <c r="O16" s="60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12.75" customHeight="1" spans="1:25" s="41" customFormat="1" x14ac:dyDescent="0.25">
      <c r="A17" s="50"/>
      <c r="B17" s="51"/>
      <c r="C17" s="59" t="s">
        <v>19</v>
      </c>
      <c r="D17" s="53"/>
      <c r="E17" s="54"/>
      <c r="F17" s="54"/>
      <c r="G17" s="60"/>
      <c r="H17" s="57"/>
      <c r="I17" s="54"/>
      <c r="J17" s="54"/>
      <c r="K17" s="61"/>
      <c r="L17" s="53"/>
      <c r="M17" s="54"/>
      <c r="N17" s="54"/>
      <c r="O17" s="60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12.75" customHeight="1" spans="1:25" s="41" customFormat="1" x14ac:dyDescent="0.25">
      <c r="A18" s="50"/>
      <c r="B18" s="62"/>
      <c r="C18" s="52" t="s">
        <v>18</v>
      </c>
      <c r="D18" s="57"/>
      <c r="E18" s="54"/>
      <c r="F18" s="54"/>
      <c r="G18" s="60"/>
      <c r="H18" s="57"/>
      <c r="I18" s="54"/>
      <c r="J18" s="54"/>
      <c r="K18" s="60"/>
      <c r="L18" s="57"/>
      <c r="M18" s="54"/>
      <c r="N18" s="54"/>
      <c r="O18" s="60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12.75" customHeight="1" spans="1:25" s="41" customFormat="1" x14ac:dyDescent="0.25">
      <c r="A19" s="50"/>
      <c r="B19" s="62"/>
      <c r="C19" s="52" t="s">
        <v>19</v>
      </c>
      <c r="D19" s="57"/>
      <c r="E19" s="54"/>
      <c r="F19" s="54"/>
      <c r="G19" s="60"/>
      <c r="H19" s="57"/>
      <c r="I19" s="54"/>
      <c r="J19" s="54"/>
      <c r="K19" s="60"/>
      <c r="L19" s="57"/>
      <c r="M19" s="54"/>
      <c r="N19" s="54"/>
      <c r="O19" s="60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ht="12.75" customHeight="1" spans="1:25" s="41" customFormat="1" x14ac:dyDescent="0.25">
      <c r="A20" s="50"/>
      <c r="B20" s="58"/>
      <c r="C20" s="63" t="s">
        <v>18</v>
      </c>
      <c r="D20" s="64"/>
      <c r="E20" s="65"/>
      <c r="F20" s="65"/>
      <c r="G20" s="66"/>
      <c r="H20" s="67"/>
      <c r="I20" s="65"/>
      <c r="J20" s="65"/>
      <c r="K20" s="68"/>
      <c r="L20" s="64"/>
      <c r="M20" s="65"/>
      <c r="N20" s="65"/>
      <c r="O20" s="66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ht="12.75" customHeight="1" spans="1:25" s="41" customFormat="1" x14ac:dyDescent="0.25">
      <c r="A21" s="69"/>
      <c r="B21" s="70"/>
      <c r="C21" s="71" t="s">
        <v>19</v>
      </c>
      <c r="D21" s="72"/>
      <c r="E21" s="73"/>
      <c r="F21" s="73"/>
      <c r="G21" s="74"/>
      <c r="H21" s="75"/>
      <c r="I21" s="73"/>
      <c r="J21" s="73"/>
      <c r="K21" s="76"/>
      <c r="L21" s="72"/>
      <c r="M21" s="73"/>
      <c r="N21" s="73"/>
      <c r="O21" s="74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ht="12.75" customHeight="1" hidden="1" spans="1:25" s="41" customFormat="1" x14ac:dyDescent="0.25">
      <c r="A22" s="50"/>
      <c r="B22" s="58"/>
      <c r="C22" s="77" t="s">
        <v>18</v>
      </c>
      <c r="D22" s="64"/>
      <c r="E22" s="65"/>
      <c r="F22" s="65"/>
      <c r="G22" s="78"/>
      <c r="H22" s="64"/>
      <c r="I22" s="65"/>
      <c r="J22" s="65"/>
      <c r="K22" s="79"/>
      <c r="L22" s="67"/>
      <c r="M22" s="65"/>
      <c r="N22" s="65"/>
      <c r="O22" s="79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2.75" customHeight="1" hidden="1" spans="1:25" s="41" customFormat="1" x14ac:dyDescent="0.25">
      <c r="A23" s="50"/>
      <c r="B23" s="51"/>
      <c r="C23" s="52" t="s">
        <v>19</v>
      </c>
      <c r="D23" s="53"/>
      <c r="E23" s="54"/>
      <c r="F23" s="54"/>
      <c r="G23" s="55"/>
      <c r="H23" s="53"/>
      <c r="I23" s="54"/>
      <c r="J23" s="54"/>
      <c r="K23" s="56"/>
      <c r="L23" s="57"/>
      <c r="M23" s="54"/>
      <c r="N23" s="54"/>
      <c r="O23" s="56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12.75" customHeight="1" spans="1:25" s="41" customFormat="1" x14ac:dyDescent="0.25">
      <c r="A24" s="50"/>
      <c r="B24" s="58"/>
      <c r="C24" s="52" t="s">
        <v>18</v>
      </c>
      <c r="D24" s="53"/>
      <c r="E24" s="54"/>
      <c r="F24" s="54"/>
      <c r="G24" s="55"/>
      <c r="H24" s="53"/>
      <c r="I24" s="54"/>
      <c r="J24" s="54"/>
      <c r="K24" s="56"/>
      <c r="L24" s="57"/>
      <c r="M24" s="54"/>
      <c r="N24" s="54"/>
      <c r="O24" s="56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12.75" customHeight="1" spans="1:25" s="41" customFormat="1" x14ac:dyDescent="0.25">
      <c r="A25" s="50"/>
      <c r="B25" s="51"/>
      <c r="C25" s="52" t="s">
        <v>19</v>
      </c>
      <c r="D25" s="53"/>
      <c r="E25" s="54"/>
      <c r="F25" s="54"/>
      <c r="G25" s="55"/>
      <c r="H25" s="53"/>
      <c r="I25" s="54"/>
      <c r="J25" s="54"/>
      <c r="K25" s="56"/>
      <c r="L25" s="57"/>
      <c r="M25" s="54"/>
      <c r="N25" s="54"/>
      <c r="O25" s="56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12.75" customHeight="1" hidden="1" spans="1:25" s="41" customFormat="1" x14ac:dyDescent="0.25">
      <c r="A26" s="50"/>
      <c r="B26" s="58"/>
      <c r="C26" s="59" t="s">
        <v>18</v>
      </c>
      <c r="D26" s="53"/>
      <c r="E26" s="54"/>
      <c r="F26" s="54"/>
      <c r="G26" s="55"/>
      <c r="H26" s="53"/>
      <c r="I26" s="54"/>
      <c r="J26" s="54"/>
      <c r="K26" s="56"/>
      <c r="L26" s="57"/>
      <c r="M26" s="54"/>
      <c r="N26" s="54"/>
      <c r="O26" s="56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12.75" customHeight="1" hidden="1" spans="1:25" s="41" customFormat="1" x14ac:dyDescent="0.25">
      <c r="A27" s="50"/>
      <c r="B27" s="51"/>
      <c r="C27" s="59" t="s">
        <v>19</v>
      </c>
      <c r="D27" s="53"/>
      <c r="E27" s="54"/>
      <c r="F27" s="54"/>
      <c r="G27" s="55"/>
      <c r="H27" s="53"/>
      <c r="I27" s="54"/>
      <c r="J27" s="54"/>
      <c r="K27" s="56"/>
      <c r="L27" s="57"/>
      <c r="M27" s="54"/>
      <c r="N27" s="54"/>
      <c r="O27" s="56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2.75" customHeight="1" spans="1:25" s="41" customFormat="1" x14ac:dyDescent="0.25">
      <c r="A28" s="50"/>
      <c r="B28" s="58"/>
      <c r="C28" s="59" t="s">
        <v>18</v>
      </c>
      <c r="D28" s="53"/>
      <c r="E28" s="54"/>
      <c r="F28" s="54"/>
      <c r="G28" s="60"/>
      <c r="H28" s="57"/>
      <c r="I28" s="54"/>
      <c r="J28" s="54"/>
      <c r="K28" s="61"/>
      <c r="L28" s="53"/>
      <c r="M28" s="54"/>
      <c r="N28" s="54"/>
      <c r="O28" s="60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12.75" customHeight="1" spans="1:25" s="41" customFormat="1" x14ac:dyDescent="0.25">
      <c r="A29" s="50"/>
      <c r="B29" s="51"/>
      <c r="C29" s="59" t="s">
        <v>19</v>
      </c>
      <c r="D29" s="53"/>
      <c r="E29" s="54"/>
      <c r="F29" s="54"/>
      <c r="G29" s="60"/>
      <c r="H29" s="57"/>
      <c r="I29" s="54"/>
      <c r="J29" s="54"/>
      <c r="K29" s="61"/>
      <c r="L29" s="53"/>
      <c r="M29" s="54"/>
      <c r="N29" s="54"/>
      <c r="O29" s="60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12.75" customHeight="1" spans="1:25" s="41" customFormat="1" x14ac:dyDescent="0.25">
      <c r="A30" s="50"/>
      <c r="B30" s="62"/>
      <c r="C30" s="52" t="s">
        <v>18</v>
      </c>
      <c r="D30" s="57"/>
      <c r="E30" s="54"/>
      <c r="F30" s="54"/>
      <c r="G30" s="60"/>
      <c r="H30" s="57"/>
      <c r="I30" s="54"/>
      <c r="J30" s="54"/>
      <c r="K30" s="60"/>
      <c r="L30" s="57"/>
      <c r="M30" s="54"/>
      <c r="N30" s="54"/>
      <c r="O30" s="6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12.75" customHeight="1" spans="1:25" s="41" customFormat="1" x14ac:dyDescent="0.25">
      <c r="A31" s="50"/>
      <c r="B31" s="62"/>
      <c r="C31" s="52" t="s">
        <v>19</v>
      </c>
      <c r="D31" s="57"/>
      <c r="E31" s="54"/>
      <c r="F31" s="54"/>
      <c r="G31" s="60"/>
      <c r="H31" s="57"/>
      <c r="I31" s="54"/>
      <c r="J31" s="54"/>
      <c r="K31" s="60"/>
      <c r="L31" s="57"/>
      <c r="M31" s="54"/>
      <c r="N31" s="54"/>
      <c r="O31" s="6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2.75" customHeight="1" spans="1:25" s="41" customFormat="1" x14ac:dyDescent="0.25">
      <c r="A32" s="50"/>
      <c r="B32" s="80"/>
      <c r="C32" s="63" t="s">
        <v>18</v>
      </c>
      <c r="D32" s="64"/>
      <c r="E32" s="65"/>
      <c r="F32" s="65"/>
      <c r="G32" s="66"/>
      <c r="H32" s="67"/>
      <c r="I32" s="65"/>
      <c r="J32" s="65"/>
      <c r="K32" s="68"/>
      <c r="L32" s="64"/>
      <c r="M32" s="65"/>
      <c r="N32" s="65"/>
      <c r="O32" s="66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2.75" customHeight="1" spans="1:25" s="41" customFormat="1" x14ac:dyDescent="0.25">
      <c r="A33" s="69"/>
      <c r="B33" s="70"/>
      <c r="C33" s="71" t="s">
        <v>19</v>
      </c>
      <c r="D33" s="72"/>
      <c r="E33" s="73"/>
      <c r="F33" s="73"/>
      <c r="G33" s="74"/>
      <c r="H33" s="75"/>
      <c r="I33" s="73"/>
      <c r="J33" s="73"/>
      <c r="K33" s="76"/>
      <c r="L33" s="72"/>
      <c r="M33" s="73"/>
      <c r="N33" s="73"/>
      <c r="O33" s="74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12.75" customHeight="1" spans="1:25" s="41" customFormat="1" x14ac:dyDescent="0.25">
      <c r="A34" s="81"/>
      <c r="B34" s="80"/>
      <c r="C34" s="77" t="s">
        <v>18</v>
      </c>
      <c r="D34" s="64"/>
      <c r="E34" s="65"/>
      <c r="F34" s="65"/>
      <c r="G34" s="78"/>
      <c r="H34" s="64"/>
      <c r="I34" s="65"/>
      <c r="J34" s="65"/>
      <c r="K34" s="79"/>
      <c r="L34" s="67"/>
      <c r="M34" s="65"/>
      <c r="N34" s="65"/>
      <c r="O34" s="79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12.75" customHeight="1" spans="1:25" s="41" customFormat="1" x14ac:dyDescent="0.25">
      <c r="A35" s="50"/>
      <c r="B35" s="51"/>
      <c r="C35" s="52" t="s">
        <v>19</v>
      </c>
      <c r="D35" s="53"/>
      <c r="E35" s="54"/>
      <c r="F35" s="54"/>
      <c r="G35" s="55"/>
      <c r="H35" s="53"/>
      <c r="I35" s="54"/>
      <c r="J35" s="54"/>
      <c r="K35" s="56"/>
      <c r="L35" s="57"/>
      <c r="M35" s="54"/>
      <c r="N35" s="54"/>
      <c r="O35" s="56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ht="12.75" customHeight="1" hidden="1" spans="1:25" s="41" customFormat="1" x14ac:dyDescent="0.25">
      <c r="A36" s="50"/>
      <c r="B36" s="58"/>
      <c r="C36" s="77" t="s">
        <v>18</v>
      </c>
      <c r="D36" s="64"/>
      <c r="E36" s="65"/>
      <c r="F36" s="65"/>
      <c r="G36" s="78"/>
      <c r="H36" s="64"/>
      <c r="I36" s="65"/>
      <c r="J36" s="65"/>
      <c r="K36" s="79"/>
      <c r="L36" s="67"/>
      <c r="M36" s="65"/>
      <c r="N36" s="65"/>
      <c r="O36" s="79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ht="12.75" customHeight="1" hidden="1" spans="1:25" s="41" customFormat="1" x14ac:dyDescent="0.25">
      <c r="A37" s="50"/>
      <c r="B37" s="51"/>
      <c r="C37" s="52" t="s">
        <v>19</v>
      </c>
      <c r="D37" s="53"/>
      <c r="E37" s="54"/>
      <c r="F37" s="54"/>
      <c r="G37" s="55"/>
      <c r="H37" s="53"/>
      <c r="I37" s="54"/>
      <c r="J37" s="54"/>
      <c r="K37" s="56"/>
      <c r="L37" s="57"/>
      <c r="M37" s="54"/>
      <c r="N37" s="54"/>
      <c r="O37" s="56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ht="12.75" customHeight="1" hidden="1" spans="1:25" s="41" customFormat="1" x14ac:dyDescent="0.25">
      <c r="A38" s="50"/>
      <c r="B38" s="58"/>
      <c r="C38" s="52" t="s">
        <v>18</v>
      </c>
      <c r="D38" s="53"/>
      <c r="E38" s="54"/>
      <c r="F38" s="54"/>
      <c r="G38" s="55"/>
      <c r="H38" s="53"/>
      <c r="I38" s="54"/>
      <c r="J38" s="54"/>
      <c r="K38" s="56"/>
      <c r="L38" s="57"/>
      <c r="M38" s="54"/>
      <c r="N38" s="54"/>
      <c r="O38" s="56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ht="12.75" customHeight="1" hidden="1" spans="1:25" s="41" customFormat="1" x14ac:dyDescent="0.25">
      <c r="A39" s="50"/>
      <c r="B39" s="51"/>
      <c r="C39" s="52" t="s">
        <v>19</v>
      </c>
      <c r="D39" s="53"/>
      <c r="E39" s="54"/>
      <c r="F39" s="54"/>
      <c r="G39" s="55"/>
      <c r="H39" s="53"/>
      <c r="I39" s="54"/>
      <c r="J39" s="54"/>
      <c r="K39" s="56"/>
      <c r="L39" s="57"/>
      <c r="M39" s="54"/>
      <c r="N39" s="54"/>
      <c r="O39" s="56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ht="12.75" customHeight="1" spans="1:25" s="41" customFormat="1" x14ac:dyDescent="0.25">
      <c r="A40" s="50"/>
      <c r="B40" s="58"/>
      <c r="C40" s="59" t="s">
        <v>18</v>
      </c>
      <c r="D40" s="53"/>
      <c r="E40" s="54"/>
      <c r="F40" s="54"/>
      <c r="G40" s="55"/>
      <c r="H40" s="53"/>
      <c r="I40" s="54"/>
      <c r="J40" s="54"/>
      <c r="K40" s="56"/>
      <c r="L40" s="57"/>
      <c r="M40" s="54"/>
      <c r="N40" s="54"/>
      <c r="O40" s="56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ht="12.75" customHeight="1" spans="1:25" s="41" customFormat="1" x14ac:dyDescent="0.25">
      <c r="A41" s="50"/>
      <c r="B41" s="51"/>
      <c r="C41" s="59" t="s">
        <v>19</v>
      </c>
      <c r="D41" s="53"/>
      <c r="E41" s="54"/>
      <c r="F41" s="54"/>
      <c r="G41" s="55"/>
      <c r="H41" s="53"/>
      <c r="I41" s="54"/>
      <c r="J41" s="54"/>
      <c r="K41" s="56"/>
      <c r="L41" s="57"/>
      <c r="M41" s="54"/>
      <c r="N41" s="54"/>
      <c r="O41" s="56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ht="12.75" customHeight="1" spans="1:25" s="41" customFormat="1" x14ac:dyDescent="0.25">
      <c r="A42" s="50"/>
      <c r="B42" s="62"/>
      <c r="C42" s="59" t="s">
        <v>18</v>
      </c>
      <c r="D42" s="53"/>
      <c r="E42" s="54"/>
      <c r="F42" s="54"/>
      <c r="G42" s="60"/>
      <c r="H42" s="57"/>
      <c r="I42" s="54"/>
      <c r="J42" s="54"/>
      <c r="K42" s="61"/>
      <c r="L42" s="53"/>
      <c r="M42" s="54"/>
      <c r="N42" s="54"/>
      <c r="O42" s="60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ht="12.75" customHeight="1" spans="1:25" s="41" customFormat="1" x14ac:dyDescent="0.25">
      <c r="A43" s="50"/>
      <c r="B43" s="62"/>
      <c r="C43" s="59" t="s">
        <v>19</v>
      </c>
      <c r="D43" s="53"/>
      <c r="E43" s="54"/>
      <c r="F43" s="54"/>
      <c r="G43" s="60"/>
      <c r="H43" s="57"/>
      <c r="I43" s="54"/>
      <c r="J43" s="54"/>
      <c r="K43" s="61"/>
      <c r="L43" s="53"/>
      <c r="M43" s="54"/>
      <c r="N43" s="54"/>
      <c r="O43" s="60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ht="12.75" customHeight="1" spans="1:25" s="41" customFormat="1" x14ac:dyDescent="0.25">
      <c r="A44" s="50"/>
      <c r="B44" s="80"/>
      <c r="C44" s="82" t="s">
        <v>18</v>
      </c>
      <c r="D44" s="64"/>
      <c r="E44" s="65"/>
      <c r="F44" s="65"/>
      <c r="G44" s="66"/>
      <c r="H44" s="67"/>
      <c r="I44" s="65"/>
      <c r="J44" s="65"/>
      <c r="K44" s="68"/>
      <c r="L44" s="64"/>
      <c r="M44" s="65"/>
      <c r="N44" s="65"/>
      <c r="O44" s="66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ht="12.75" customHeight="1" spans="1:25" s="41" customFormat="1" x14ac:dyDescent="0.25">
      <c r="A45" s="69"/>
      <c r="B45" s="70"/>
      <c r="C45" s="71" t="s">
        <v>19</v>
      </c>
      <c r="D45" s="72"/>
      <c r="E45" s="73"/>
      <c r="F45" s="73"/>
      <c r="G45" s="74"/>
      <c r="H45" s="75"/>
      <c r="I45" s="73"/>
      <c r="J45" s="73"/>
      <c r="K45" s="76"/>
      <c r="L45" s="72"/>
      <c r="M45" s="73"/>
      <c r="N45" s="73"/>
      <c r="O45" s="74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ht="12.75" customHeight="1" hidden="1" spans="1:25" s="41" customFormat="1" x14ac:dyDescent="0.25">
      <c r="A46" s="81"/>
      <c r="B46" s="80"/>
      <c r="C46" s="77" t="s">
        <v>18</v>
      </c>
      <c r="D46" s="64"/>
      <c r="E46" s="65"/>
      <c r="F46" s="65"/>
      <c r="G46" s="78"/>
      <c r="H46" s="64"/>
      <c r="I46" s="65"/>
      <c r="J46" s="65"/>
      <c r="K46" s="79"/>
      <c r="L46" s="67"/>
      <c r="M46" s="65"/>
      <c r="N46" s="65"/>
      <c r="O46" s="79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ht="12.75" customHeight="1" hidden="1" spans="1:25" s="41" customFormat="1" x14ac:dyDescent="0.25">
      <c r="A47" s="50"/>
      <c r="B47" s="51"/>
      <c r="C47" s="52" t="s">
        <v>19</v>
      </c>
      <c r="D47" s="53"/>
      <c r="E47" s="54"/>
      <c r="F47" s="54"/>
      <c r="G47" s="55"/>
      <c r="H47" s="53"/>
      <c r="I47" s="54"/>
      <c r="J47" s="54"/>
      <c r="K47" s="56"/>
      <c r="L47" s="57"/>
      <c r="M47" s="54"/>
      <c r="N47" s="54"/>
      <c r="O47" s="56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ht="12.75" customHeight="1" hidden="1" spans="1:25" s="41" customFormat="1" x14ac:dyDescent="0.25">
      <c r="A48" s="50"/>
      <c r="B48" s="58"/>
      <c r="C48" s="77" t="s">
        <v>18</v>
      </c>
      <c r="D48" s="64"/>
      <c r="E48" s="65"/>
      <c r="F48" s="65"/>
      <c r="G48" s="78"/>
      <c r="H48" s="64"/>
      <c r="I48" s="65"/>
      <c r="J48" s="65"/>
      <c r="K48" s="79"/>
      <c r="L48" s="67"/>
      <c r="M48" s="65"/>
      <c r="N48" s="65"/>
      <c r="O48" s="79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ht="12.75" customHeight="1" hidden="1" spans="1:25" s="41" customFormat="1" x14ac:dyDescent="0.25">
      <c r="A49" s="50"/>
      <c r="B49" s="51"/>
      <c r="C49" s="52" t="s">
        <v>19</v>
      </c>
      <c r="D49" s="53"/>
      <c r="E49" s="54"/>
      <c r="F49" s="54"/>
      <c r="G49" s="55"/>
      <c r="H49" s="53"/>
      <c r="I49" s="54"/>
      <c r="J49" s="54"/>
      <c r="K49" s="56"/>
      <c r="L49" s="57"/>
      <c r="M49" s="54"/>
      <c r="N49" s="54"/>
      <c r="O49" s="56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ht="12.75" customHeight="1" spans="1:25" s="41" customFormat="1" x14ac:dyDescent="0.25">
      <c r="A50" s="50"/>
      <c r="B50" s="58"/>
      <c r="C50" s="52" t="s">
        <v>18</v>
      </c>
      <c r="D50" s="53"/>
      <c r="E50" s="54"/>
      <c r="F50" s="54"/>
      <c r="G50" s="55"/>
      <c r="H50" s="53"/>
      <c r="I50" s="54"/>
      <c r="J50" s="54"/>
      <c r="K50" s="56"/>
      <c r="L50" s="57"/>
      <c r="M50" s="54"/>
      <c r="N50" s="54"/>
      <c r="O50" s="56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ht="12.75" customHeight="1" spans="1:25" s="41" customFormat="1" x14ac:dyDescent="0.25">
      <c r="A51" s="50"/>
      <c r="B51" s="51"/>
      <c r="C51" s="52" t="s">
        <v>19</v>
      </c>
      <c r="D51" s="53"/>
      <c r="E51" s="54"/>
      <c r="F51" s="54"/>
      <c r="G51" s="55"/>
      <c r="H51" s="53"/>
      <c r="I51" s="54"/>
      <c r="J51" s="54"/>
      <c r="K51" s="56"/>
      <c r="L51" s="57"/>
      <c r="M51" s="54"/>
      <c r="N51" s="54"/>
      <c r="O51" s="56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ht="12.75" customHeight="1" spans="1:25" s="41" customFormat="1" x14ac:dyDescent="0.25">
      <c r="A52" s="50"/>
      <c r="B52" s="58"/>
      <c r="C52" s="59" t="s">
        <v>18</v>
      </c>
      <c r="D52" s="53"/>
      <c r="E52" s="54"/>
      <c r="F52" s="54"/>
      <c r="G52" s="55"/>
      <c r="H52" s="53"/>
      <c r="I52" s="54"/>
      <c r="J52" s="54"/>
      <c r="K52" s="56"/>
      <c r="L52" s="57"/>
      <c r="M52" s="54"/>
      <c r="N52" s="54"/>
      <c r="O52" s="56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ht="12.75" customHeight="1" spans="1:25" s="41" customFormat="1" x14ac:dyDescent="0.25">
      <c r="A53" s="50"/>
      <c r="B53" s="51"/>
      <c r="C53" s="59" t="s">
        <v>19</v>
      </c>
      <c r="D53" s="53"/>
      <c r="E53" s="54"/>
      <c r="F53" s="54"/>
      <c r="G53" s="55"/>
      <c r="H53" s="53"/>
      <c r="I53" s="54"/>
      <c r="J53" s="54"/>
      <c r="K53" s="56"/>
      <c r="L53" s="57"/>
      <c r="M53" s="54"/>
      <c r="N53" s="54"/>
      <c r="O53" s="56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ht="12.75" customHeight="1" hidden="1" spans="1:25" s="41" customFormat="1" x14ac:dyDescent="0.25">
      <c r="A54" s="50"/>
      <c r="B54" s="62"/>
      <c r="C54" s="59" t="s">
        <v>18</v>
      </c>
      <c r="D54" s="53"/>
      <c r="E54" s="54"/>
      <c r="F54" s="54"/>
      <c r="G54" s="60"/>
      <c r="H54" s="57"/>
      <c r="I54" s="54"/>
      <c r="J54" s="54"/>
      <c r="K54" s="61"/>
      <c r="L54" s="53"/>
      <c r="M54" s="54"/>
      <c r="N54" s="54"/>
      <c r="O54" s="60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ht="12.75" customHeight="1" hidden="1" spans="1:25" s="41" customFormat="1" x14ac:dyDescent="0.25">
      <c r="A55" s="50"/>
      <c r="B55" s="62"/>
      <c r="C55" s="59" t="s">
        <v>19</v>
      </c>
      <c r="D55" s="53"/>
      <c r="E55" s="54"/>
      <c r="F55" s="54"/>
      <c r="G55" s="60"/>
      <c r="H55" s="57"/>
      <c r="I55" s="54"/>
      <c r="J55" s="54"/>
      <c r="K55" s="61"/>
      <c r="L55" s="53"/>
      <c r="M55" s="54"/>
      <c r="N55" s="54"/>
      <c r="O55" s="60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ht="12.75" customHeight="1" spans="1:25" s="41" customFormat="1" x14ac:dyDescent="0.25">
      <c r="A56" s="50"/>
      <c r="B56" s="80"/>
      <c r="C56" s="82" t="s">
        <v>18</v>
      </c>
      <c r="D56" s="64"/>
      <c r="E56" s="65"/>
      <c r="F56" s="65"/>
      <c r="G56" s="66"/>
      <c r="H56" s="67"/>
      <c r="I56" s="65"/>
      <c r="J56" s="65"/>
      <c r="K56" s="68"/>
      <c r="L56" s="64"/>
      <c r="M56" s="65"/>
      <c r="N56" s="65"/>
      <c r="O56" s="66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ht="12.75" customHeight="1" spans="1:25" s="41" customFormat="1" x14ac:dyDescent="0.25">
      <c r="A57" s="69"/>
      <c r="B57" s="70"/>
      <c r="C57" s="71" t="s">
        <v>19</v>
      </c>
      <c r="D57" s="72"/>
      <c r="E57" s="73"/>
      <c r="F57" s="73"/>
      <c r="G57" s="74"/>
      <c r="H57" s="75"/>
      <c r="I57" s="73"/>
      <c r="J57" s="73"/>
      <c r="K57" s="76"/>
      <c r="L57" s="72"/>
      <c r="M57" s="73"/>
      <c r="N57" s="73"/>
      <c r="O57" s="74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ht="12.6" customHeight="1" hidden="1" spans="1:25" s="41" customFormat="1" x14ac:dyDescent="0.25">
      <c r="A58" s="81"/>
      <c r="B58" s="83"/>
      <c r="C58" s="84" t="s">
        <v>18</v>
      </c>
      <c r="D58" s="85"/>
      <c r="E58" s="86"/>
      <c r="F58" s="86"/>
      <c r="G58" s="87"/>
      <c r="H58" s="85"/>
      <c r="I58" s="86"/>
      <c r="J58" s="86"/>
      <c r="K58" s="88"/>
      <c r="L58" s="89"/>
      <c r="M58" s="86"/>
      <c r="N58" s="86"/>
      <c r="O58" s="88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ht="12.75" customHeight="1" hidden="1" spans="1:25" s="41" customFormat="1" x14ac:dyDescent="0.25">
      <c r="A59" s="50"/>
      <c r="B59" s="51"/>
      <c r="C59" s="52" t="s">
        <v>19</v>
      </c>
      <c r="D59" s="53"/>
      <c r="E59" s="54"/>
      <c r="F59" s="54"/>
      <c r="G59" s="55"/>
      <c r="H59" s="53"/>
      <c r="I59" s="54"/>
      <c r="J59" s="54"/>
      <c r="K59" s="56"/>
      <c r="L59" s="57"/>
      <c r="M59" s="54"/>
      <c r="N59" s="54"/>
      <c r="O59" s="56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ht="12.75" customHeight="1" hidden="1" spans="1:25" s="41" customFormat="1" x14ac:dyDescent="0.25">
      <c r="A60" s="50"/>
      <c r="B60" s="58"/>
      <c r="C60" s="77" t="s">
        <v>18</v>
      </c>
      <c r="D60" s="64"/>
      <c r="E60" s="65"/>
      <c r="F60" s="65"/>
      <c r="G60" s="78"/>
      <c r="H60" s="64"/>
      <c r="I60" s="65"/>
      <c r="J60" s="65"/>
      <c r="K60" s="79"/>
      <c r="L60" s="67"/>
      <c r="M60" s="65"/>
      <c r="N60" s="65"/>
      <c r="O60" s="79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ht="12.75" customHeight="1" hidden="1" spans="1:25" s="41" customFormat="1" x14ac:dyDescent="0.25">
      <c r="A61" s="50"/>
      <c r="B61" s="51"/>
      <c r="C61" s="52" t="s">
        <v>19</v>
      </c>
      <c r="D61" s="53"/>
      <c r="E61" s="54"/>
      <c r="F61" s="54"/>
      <c r="G61" s="55"/>
      <c r="H61" s="53"/>
      <c r="I61" s="54"/>
      <c r="J61" s="54"/>
      <c r="K61" s="56"/>
      <c r="L61" s="57"/>
      <c r="M61" s="54"/>
      <c r="N61" s="54"/>
      <c r="O61" s="56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ht="12.75" customHeight="1" hidden="1" spans="1:25" s="41" customFormat="1" x14ac:dyDescent="0.25">
      <c r="A62" s="50"/>
      <c r="B62" s="58"/>
      <c r="C62" s="52" t="s">
        <v>18</v>
      </c>
      <c r="D62" s="53"/>
      <c r="E62" s="54"/>
      <c r="F62" s="54"/>
      <c r="G62" s="55"/>
      <c r="H62" s="53"/>
      <c r="I62" s="54"/>
      <c r="J62" s="54"/>
      <c r="K62" s="56"/>
      <c r="L62" s="57"/>
      <c r="M62" s="54"/>
      <c r="N62" s="54"/>
      <c r="O62" s="56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ht="12.75" customHeight="1" hidden="1" spans="1:25" s="41" customFormat="1" x14ac:dyDescent="0.25">
      <c r="A63" s="50"/>
      <c r="B63" s="80"/>
      <c r="C63" s="90" t="s">
        <v>19</v>
      </c>
      <c r="D63" s="91"/>
      <c r="E63" s="92"/>
      <c r="F63" s="92"/>
      <c r="G63" s="93"/>
      <c r="H63" s="91"/>
      <c r="I63" s="92"/>
      <c r="J63" s="92"/>
      <c r="K63" s="94"/>
      <c r="L63" s="95"/>
      <c r="M63" s="92"/>
      <c r="N63" s="92"/>
      <c r="O63" s="94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12.75" customHeight="1" spans="1:25" s="41" customFormat="1" x14ac:dyDescent="0.25">
      <c r="A64" s="50"/>
      <c r="B64" s="58"/>
      <c r="C64" s="59" t="s">
        <v>18</v>
      </c>
      <c r="D64" s="53"/>
      <c r="E64" s="54"/>
      <c r="F64" s="54"/>
      <c r="G64" s="55"/>
      <c r="H64" s="53"/>
      <c r="I64" s="54"/>
      <c r="J64" s="54"/>
      <c r="K64" s="56"/>
      <c r="L64" s="57"/>
      <c r="M64" s="54"/>
      <c r="N64" s="54"/>
      <c r="O64" s="56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12.75" customHeight="1" spans="1:25" s="41" customFormat="1" x14ac:dyDescent="0.25">
      <c r="A65" s="50"/>
      <c r="B65" s="51"/>
      <c r="C65" s="59" t="s">
        <v>19</v>
      </c>
      <c r="D65" s="53"/>
      <c r="E65" s="54"/>
      <c r="F65" s="54"/>
      <c r="G65" s="55"/>
      <c r="H65" s="53"/>
      <c r="I65" s="54"/>
      <c r="J65" s="54"/>
      <c r="K65" s="56"/>
      <c r="L65" s="57"/>
      <c r="M65" s="54"/>
      <c r="N65" s="54"/>
      <c r="O65" s="5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12.75" customHeight="1" hidden="1" spans="1:25" s="41" customFormat="1" x14ac:dyDescent="0.25">
      <c r="A66" s="50"/>
      <c r="B66" s="62"/>
      <c r="C66" s="59" t="s">
        <v>18</v>
      </c>
      <c r="D66" s="53"/>
      <c r="E66" s="54"/>
      <c r="F66" s="54"/>
      <c r="G66" s="60"/>
      <c r="H66" s="57"/>
      <c r="I66" s="54"/>
      <c r="J66" s="54"/>
      <c r="K66" s="61"/>
      <c r="L66" s="53"/>
      <c r="M66" s="54"/>
      <c r="N66" s="54"/>
      <c r="O66" s="60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12.75" customHeight="1" hidden="1" spans="1:25" s="41" customFormat="1" x14ac:dyDescent="0.25">
      <c r="A67" s="50"/>
      <c r="B67" s="58"/>
      <c r="C67" s="96" t="s">
        <v>19</v>
      </c>
      <c r="D67" s="91"/>
      <c r="E67" s="92"/>
      <c r="F67" s="92"/>
      <c r="G67" s="97"/>
      <c r="H67" s="95"/>
      <c r="I67" s="92"/>
      <c r="J67" s="92"/>
      <c r="K67" s="98"/>
      <c r="L67" s="91"/>
      <c r="M67" s="92"/>
      <c r="N67" s="92"/>
      <c r="O67" s="97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12.75" customHeight="1" spans="1:25" s="41" customFormat="1" x14ac:dyDescent="0.25">
      <c r="A68" s="50"/>
      <c r="B68" s="58"/>
      <c r="C68" s="59" t="s">
        <v>18</v>
      </c>
      <c r="D68" s="53"/>
      <c r="E68" s="99"/>
      <c r="F68" s="99"/>
      <c r="G68" s="100"/>
      <c r="H68" s="57"/>
      <c r="I68" s="99"/>
      <c r="J68" s="99"/>
      <c r="K68" s="101"/>
      <c r="L68" s="53"/>
      <c r="M68" s="99"/>
      <c r="N68" s="99"/>
      <c r="O68" s="100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12.75" customHeight="1" spans="1:25" s="41" customFormat="1" x14ac:dyDescent="0.25">
      <c r="A69" s="69"/>
      <c r="B69" s="70"/>
      <c r="C69" s="71" t="s">
        <v>19</v>
      </c>
      <c r="D69" s="72"/>
      <c r="E69" s="73"/>
      <c r="F69" s="73"/>
      <c r="G69" s="74"/>
      <c r="H69" s="75"/>
      <c r="I69" s="73"/>
      <c r="J69" s="73"/>
      <c r="K69" s="76"/>
      <c r="L69" s="72"/>
      <c r="M69" s="73"/>
      <c r="N69" s="73"/>
      <c r="O69" s="74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12.75" customHeight="1" hidden="1" spans="1:25" s="41" customFormat="1" x14ac:dyDescent="0.25">
      <c r="A70" s="81"/>
      <c r="B70" s="80"/>
      <c r="C70" s="77" t="s">
        <v>18</v>
      </c>
      <c r="D70" s="64"/>
      <c r="E70" s="65"/>
      <c r="F70" s="65"/>
      <c r="G70" s="78"/>
      <c r="H70" s="64"/>
      <c r="I70" s="65"/>
      <c r="J70" s="65"/>
      <c r="K70" s="79"/>
      <c r="L70" s="67"/>
      <c r="M70" s="65"/>
      <c r="N70" s="65"/>
      <c r="O70" s="79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ht="12.75" customHeight="1" hidden="1" spans="1:25" s="41" customFormat="1" x14ac:dyDescent="0.25">
      <c r="A71" s="50"/>
      <c r="B71" s="51"/>
      <c r="C71" s="52" t="s">
        <v>19</v>
      </c>
      <c r="D71" s="53"/>
      <c r="E71" s="54"/>
      <c r="F71" s="54"/>
      <c r="G71" s="55"/>
      <c r="H71" s="53"/>
      <c r="I71" s="54"/>
      <c r="J71" s="54"/>
      <c r="K71" s="56"/>
      <c r="L71" s="57"/>
      <c r="M71" s="54"/>
      <c r="N71" s="54"/>
      <c r="O71" s="56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ht="12.75" customHeight="1" hidden="1" spans="1:25" s="41" customFormat="1" x14ac:dyDescent="0.25">
      <c r="A72" s="50"/>
      <c r="B72" s="58"/>
      <c r="C72" s="77" t="s">
        <v>18</v>
      </c>
      <c r="D72" s="64"/>
      <c r="E72" s="65"/>
      <c r="F72" s="65"/>
      <c r="G72" s="78"/>
      <c r="H72" s="64"/>
      <c r="I72" s="65"/>
      <c r="J72" s="65"/>
      <c r="K72" s="79"/>
      <c r="L72" s="67"/>
      <c r="M72" s="65"/>
      <c r="N72" s="65"/>
      <c r="O72" s="79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ht="12.75" customHeight="1" hidden="1" spans="1:25" s="41" customFormat="1" x14ac:dyDescent="0.25">
      <c r="A73" s="50"/>
      <c r="B73" s="51"/>
      <c r="C73" s="52" t="s">
        <v>19</v>
      </c>
      <c r="D73" s="53"/>
      <c r="E73" s="54"/>
      <c r="F73" s="54"/>
      <c r="G73" s="55"/>
      <c r="H73" s="53"/>
      <c r="I73" s="54"/>
      <c r="J73" s="54"/>
      <c r="K73" s="56"/>
      <c r="L73" s="57"/>
      <c r="M73" s="54"/>
      <c r="N73" s="54"/>
      <c r="O73" s="56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ht="12.75" customHeight="1" hidden="1" spans="1:25" s="41" customFormat="1" x14ac:dyDescent="0.25">
      <c r="A74" s="50"/>
      <c r="B74" s="58"/>
      <c r="C74" s="52" t="s">
        <v>18</v>
      </c>
      <c r="D74" s="53"/>
      <c r="E74" s="54"/>
      <c r="F74" s="54"/>
      <c r="G74" s="55"/>
      <c r="H74" s="53"/>
      <c r="I74" s="54"/>
      <c r="J74" s="54"/>
      <c r="K74" s="56"/>
      <c r="L74" s="57"/>
      <c r="M74" s="54"/>
      <c r="N74" s="54"/>
      <c r="O74" s="56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ht="12.75" customHeight="1" hidden="1" spans="1:25" s="41" customFormat="1" x14ac:dyDescent="0.25">
      <c r="A75" s="50"/>
      <c r="B75" s="51"/>
      <c r="C75" s="52" t="s">
        <v>19</v>
      </c>
      <c r="D75" s="53"/>
      <c r="E75" s="54"/>
      <c r="F75" s="54"/>
      <c r="G75" s="55"/>
      <c r="H75" s="53"/>
      <c r="I75" s="54"/>
      <c r="J75" s="54"/>
      <c r="K75" s="56"/>
      <c r="L75" s="57"/>
      <c r="M75" s="54"/>
      <c r="N75" s="54"/>
      <c r="O75" s="56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ht="12.75" customHeight="1" hidden="1" spans="1:25" s="41" customFormat="1" x14ac:dyDescent="0.25">
      <c r="A76" s="50"/>
      <c r="B76" s="58"/>
      <c r="C76" s="59" t="s">
        <v>18</v>
      </c>
      <c r="D76" s="53"/>
      <c r="E76" s="54"/>
      <c r="F76" s="54"/>
      <c r="G76" s="55"/>
      <c r="H76" s="53"/>
      <c r="I76" s="54"/>
      <c r="J76" s="54"/>
      <c r="K76" s="56"/>
      <c r="L76" s="57"/>
      <c r="M76" s="54"/>
      <c r="N76" s="54"/>
      <c r="O76" s="56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12.75" customHeight="1" hidden="1" spans="1:25" s="41" customFormat="1" x14ac:dyDescent="0.25">
      <c r="A77" s="50"/>
      <c r="B77" s="51"/>
      <c r="C77" s="59" t="s">
        <v>19</v>
      </c>
      <c r="D77" s="53"/>
      <c r="E77" s="54"/>
      <c r="F77" s="54"/>
      <c r="G77" s="55"/>
      <c r="H77" s="53"/>
      <c r="I77" s="54"/>
      <c r="J77" s="54"/>
      <c r="K77" s="56"/>
      <c r="L77" s="57"/>
      <c r="M77" s="54"/>
      <c r="N77" s="54"/>
      <c r="O77" s="56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ht="12.75" customHeight="1" hidden="1" spans="1:25" s="41" customFormat="1" x14ac:dyDescent="0.25">
      <c r="A78" s="50"/>
      <c r="B78" s="62"/>
      <c r="C78" s="59" t="s">
        <v>18</v>
      </c>
      <c r="D78" s="53"/>
      <c r="E78" s="54"/>
      <c r="F78" s="54"/>
      <c r="G78" s="60"/>
      <c r="H78" s="57"/>
      <c r="I78" s="54"/>
      <c r="J78" s="54"/>
      <c r="K78" s="61"/>
      <c r="L78" s="53"/>
      <c r="M78" s="54"/>
      <c r="N78" s="54"/>
      <c r="O78" s="60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ht="12.75" customHeight="1" hidden="1" spans="1:25" s="41" customFormat="1" x14ac:dyDescent="0.25">
      <c r="A79" s="50"/>
      <c r="B79" s="62"/>
      <c r="C79" s="59" t="s">
        <v>19</v>
      </c>
      <c r="D79" s="53"/>
      <c r="E79" s="54"/>
      <c r="F79" s="54"/>
      <c r="G79" s="60"/>
      <c r="H79" s="57"/>
      <c r="I79" s="54"/>
      <c r="J79" s="54"/>
      <c r="K79" s="61"/>
      <c r="L79" s="53"/>
      <c r="M79" s="54"/>
      <c r="N79" s="54"/>
      <c r="O79" s="60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ht="12.75" customHeight="1" hidden="1" spans="1:25" s="41" customFormat="1" x14ac:dyDescent="0.25">
      <c r="A80" s="50"/>
      <c r="B80" s="80"/>
      <c r="C80" s="82" t="s">
        <v>18</v>
      </c>
      <c r="D80" s="64"/>
      <c r="E80" s="65"/>
      <c r="F80" s="65"/>
      <c r="G80" s="66"/>
      <c r="H80" s="67"/>
      <c r="I80" s="65"/>
      <c r="J80" s="65"/>
      <c r="K80" s="68"/>
      <c r="L80" s="64"/>
      <c r="M80" s="65"/>
      <c r="N80" s="65"/>
      <c r="O80" s="66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ht="12.75" customHeight="1" hidden="1" spans="1:25" s="41" customFormat="1" x14ac:dyDescent="0.25">
      <c r="A81" s="69"/>
      <c r="B81" s="70"/>
      <c r="C81" s="71" t="s">
        <v>19</v>
      </c>
      <c r="D81" s="91"/>
      <c r="E81" s="92"/>
      <c r="F81" s="92"/>
      <c r="G81" s="97"/>
      <c r="H81" s="95"/>
      <c r="I81" s="92"/>
      <c r="J81" s="92"/>
      <c r="K81" s="98"/>
      <c r="L81" s="91"/>
      <c r="M81" s="92"/>
      <c r="N81" s="92"/>
      <c r="O81" s="97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ht="12.75" customHeight="1" spans="1:25" s="41" customFormat="1" x14ac:dyDescent="0.25">
      <c r="A82" s="102" t="s">
        <v>20</v>
      </c>
      <c r="B82" s="103"/>
      <c r="C82" s="104"/>
      <c r="D82" s="105">
        <f t="shared" ref="D82:O82" si="0">SUM(D10,D12,D14,D16,D18,D20,D22,D24,D26,D28,D30,D32,D34,D36,D38,D40,D42,D44,D46,D48,D50,D52,D54,D56,D58,D60,D62,D64,D66,D68,D70,D72,D74,D76,D78,D80)</f>
        <v>79</v>
      </c>
      <c r="E82" s="106">
        <f t="shared" si="0"/>
        <v>0</v>
      </c>
      <c r="F82" s="106">
        <f t="shared" si="0"/>
        <v>261</v>
      </c>
      <c r="G82" s="107">
        <f t="shared" si="0"/>
        <v>0</v>
      </c>
      <c r="H82" s="105">
        <f t="shared" si="0"/>
        <v>133</v>
      </c>
      <c r="I82" s="106">
        <f t="shared" si="0"/>
        <v>0</v>
      </c>
      <c r="J82" s="106">
        <f t="shared" si="0"/>
        <v>69</v>
      </c>
      <c r="K82" s="108">
        <f t="shared" si="0"/>
        <v>0</v>
      </c>
      <c r="L82" s="109">
        <f t="shared" si="0"/>
        <v>0</v>
      </c>
      <c r="M82" s="106">
        <f t="shared" si="0"/>
        <v>0</v>
      </c>
      <c r="N82" s="106">
        <f t="shared" si="0"/>
        <v>0</v>
      </c>
      <c r="O82" s="108">
        <f t="shared" si="0"/>
        <v>0</v>
      </c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ht="12.75" customHeight="1" spans="1:25" s="41" customFormat="1" x14ac:dyDescent="0.25">
      <c r="A83" s="110"/>
      <c r="B83" s="111"/>
      <c r="C83" s="112"/>
      <c r="D83" s="113">
        <f t="shared" ref="D83:O83" si="1">SUM(D11,D13,D15,D17,D19,D21,D23,D25,D27,D29,D31,D33,D35,D37,D39,D41,D43,D45,D47,D49,D51,D53,D55,D57,D59,D61,D63,D65,D67,D69,D71,D73,D75,D77,D79,D81)</f>
        <v>9</v>
      </c>
      <c r="E83" s="114">
        <f t="shared" si="1"/>
        <v>0</v>
      </c>
      <c r="F83" s="114">
        <f t="shared" si="1"/>
        <v>0</v>
      </c>
      <c r="G83" s="115">
        <f t="shared" si="1"/>
        <v>0</v>
      </c>
      <c r="H83" s="113">
        <f t="shared" si="1"/>
        <v>11</v>
      </c>
      <c r="I83" s="114">
        <f t="shared" si="1"/>
        <v>0</v>
      </c>
      <c r="J83" s="114">
        <f t="shared" si="1"/>
        <v>71</v>
      </c>
      <c r="K83" s="116">
        <f t="shared" si="1"/>
        <v>0</v>
      </c>
      <c r="L83" s="117">
        <f t="shared" si="1"/>
        <v>0</v>
      </c>
      <c r="M83" s="114">
        <f t="shared" si="1"/>
        <v>0</v>
      </c>
      <c r="N83" s="114">
        <f t="shared" si="1"/>
        <v>0</v>
      </c>
      <c r="O83" s="116">
        <f t="shared" si="1"/>
        <v>0</v>
      </c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ht="9.75" customHeight="1" spans="1:25" s="5" customFormat="1" x14ac:dyDescent="0.25">
      <c r="A84" s="118"/>
      <c r="B84" s="118"/>
      <c r="C84" s="119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 spans="1:25" s="5" customFormat="1" x14ac:dyDescent="0.25">
      <c r="A85" s="121" t="s">
        <v>21</v>
      </c>
      <c r="B85" s="122"/>
      <c r="C85" s="122"/>
      <c r="D85" s="122"/>
      <c r="E85" s="122"/>
      <c r="F85" s="122"/>
      <c r="G85" s="123"/>
      <c r="H85" s="124" t="s">
        <v>22</v>
      </c>
      <c r="I85" s="125"/>
      <c r="J85" s="125"/>
      <c r="K85" s="125"/>
      <c r="L85" s="125"/>
      <c r="M85" s="125"/>
      <c r="N85" s="125"/>
      <c r="O85" s="126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4.65" customHeight="1" spans="1:25" s="5" customFormat="1" x14ac:dyDescent="0.25">
      <c r="A86" s="127"/>
      <c r="B86" s="128"/>
      <c r="C86" s="128"/>
      <c r="D86" s="128"/>
      <c r="E86" s="128"/>
      <c r="F86" s="128"/>
      <c r="G86" s="129"/>
      <c r="H86" s="127"/>
      <c r="I86" s="128"/>
      <c r="J86" s="128"/>
      <c r="K86" s="128"/>
      <c r="L86" s="128"/>
      <c r="M86" s="128"/>
      <c r="N86" s="128"/>
      <c r="O86" s="129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4.65" customHeight="1" spans="1:25" s="5" customFormat="1" x14ac:dyDescent="0.25">
      <c r="A87" s="130"/>
      <c r="B87" s="131"/>
      <c r="C87" s="131"/>
      <c r="D87" s="131"/>
      <c r="E87" s="131"/>
      <c r="F87" s="131"/>
      <c r="G87" s="132"/>
      <c r="H87" s="133"/>
      <c r="I87" s="134"/>
      <c r="J87" s="134"/>
      <c r="K87" s="134"/>
      <c r="L87" s="134"/>
      <c r="M87" s="134"/>
      <c r="N87" s="134"/>
      <c r="O87" s="13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4.65" customHeight="1" hidden="1" spans="1:25" s="5" customFormat="1" x14ac:dyDescent="0.25">
      <c r="A88" s="136"/>
      <c r="B88" s="137"/>
      <c r="C88" s="137"/>
      <c r="D88" s="137"/>
      <c r="E88" s="137"/>
      <c r="F88" s="137"/>
      <c r="G88" s="138"/>
      <c r="H88" s="133"/>
      <c r="I88" s="134"/>
      <c r="J88" s="134"/>
      <c r="K88" s="134"/>
      <c r="L88" s="134"/>
      <c r="M88" s="134"/>
      <c r="N88" s="134"/>
      <c r="O88" s="13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4.65" customHeight="1" hidden="1" spans="1:25" s="5" customFormat="1" x14ac:dyDescent="0.25">
      <c r="A89" s="139"/>
      <c r="B89" s="140"/>
      <c r="C89" s="140"/>
      <c r="D89" s="140"/>
      <c r="E89" s="140"/>
      <c r="F89" s="140"/>
      <c r="G89" s="141"/>
      <c r="H89" s="139"/>
      <c r="I89" s="140"/>
      <c r="J89" s="140"/>
      <c r="K89" s="140"/>
      <c r="L89" s="140"/>
      <c r="M89" s="140"/>
      <c r="N89" s="140"/>
      <c r="O89" s="141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65" customHeight="1" hidden="1" spans="1:25" s="5" customFormat="1" x14ac:dyDescent="0.25">
      <c r="A90" s="130"/>
      <c r="B90" s="131"/>
      <c r="C90" s="131"/>
      <c r="D90" s="131"/>
      <c r="E90" s="131"/>
      <c r="F90" s="131"/>
      <c r="G90" s="132"/>
      <c r="H90" s="133"/>
      <c r="I90" s="134"/>
      <c r="J90" s="134"/>
      <c r="K90" s="134"/>
      <c r="L90" s="134"/>
      <c r="M90" s="134"/>
      <c r="N90" s="134"/>
      <c r="O90" s="13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4.65" customHeight="1" hidden="1" spans="1:25" s="5" customFormat="1" x14ac:dyDescent="0.25">
      <c r="A91" s="136"/>
      <c r="B91" s="137"/>
      <c r="C91" s="137"/>
      <c r="D91" s="137"/>
      <c r="E91" s="137"/>
      <c r="F91" s="137"/>
      <c r="G91" s="138"/>
      <c r="H91" s="133"/>
      <c r="I91" s="134"/>
      <c r="J91" s="134"/>
      <c r="K91" s="134"/>
      <c r="L91" s="134"/>
      <c r="M91" s="134"/>
      <c r="N91" s="134"/>
      <c r="O91" s="13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4.65" customHeight="1" hidden="1" spans="1:25" s="5" customFormat="1" x14ac:dyDescent="0.25">
      <c r="A92" s="136"/>
      <c r="B92" s="137"/>
      <c r="C92" s="137"/>
      <c r="D92" s="137"/>
      <c r="E92" s="137"/>
      <c r="F92" s="137"/>
      <c r="G92" s="138"/>
      <c r="H92" s="133"/>
      <c r="I92" s="134"/>
      <c r="J92" s="134"/>
      <c r="K92" s="134"/>
      <c r="L92" s="134"/>
      <c r="M92" s="134"/>
      <c r="N92" s="134"/>
      <c r="O92" s="13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4.65" customHeight="1" spans="1:25" s="5" customFormat="1" x14ac:dyDescent="0.25">
      <c r="A93" s="142"/>
      <c r="B93" s="143"/>
      <c r="C93" s="143"/>
      <c r="D93" s="143"/>
      <c r="E93" s="143"/>
      <c r="F93" s="143"/>
      <c r="G93" s="144"/>
      <c r="H93" s="133"/>
      <c r="I93" s="134"/>
      <c r="J93" s="134"/>
      <c r="K93" s="134"/>
      <c r="L93" s="134"/>
      <c r="M93" s="134"/>
      <c r="N93" s="134"/>
      <c r="O93" s="13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4.65" customHeight="1" spans="1:25" s="5" customFormat="1" x14ac:dyDescent="0.25">
      <c r="A94" s="145"/>
      <c r="B94" s="146"/>
      <c r="C94" s="146"/>
      <c r="D94" s="146"/>
      <c r="E94" s="146"/>
      <c r="F94" s="146"/>
      <c r="G94" s="147"/>
      <c r="H94" s="148"/>
      <c r="I94" s="149"/>
      <c r="J94" s="149"/>
      <c r="K94" s="149"/>
      <c r="L94" s="149"/>
      <c r="M94" s="149"/>
      <c r="N94" s="149"/>
      <c r="O94" s="150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9" customHeight="1" spans="1:25" s="5" customFormat="1" x14ac:dyDescent="0.25">
      <c r="A95" s="5"/>
      <c r="B95" s="5"/>
      <c r="C95" s="5"/>
      <c r="D95" s="1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9" customHeight="1" hidden="1" spans="1:25" s="5" customFormat="1" x14ac:dyDescent="0.25">
      <c r="A96" s="5"/>
      <c r="B96" s="5"/>
      <c r="C96" s="5"/>
      <c r="D96" s="1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9" customHeight="1" spans="1:25" s="5" customFormat="1" x14ac:dyDescent="0.25">
      <c r="A97" s="5"/>
      <c r="B97" s="5"/>
      <c r="C97" s="5"/>
      <c r="D97" s="1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9" customHeight="1" spans="1:25" s="5" customFormat="1" x14ac:dyDescent="0.25">
      <c r="A98" s="5"/>
      <c r="B98" s="5"/>
      <c r="C98" s="5"/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9" customHeight="1" spans="1:25" s="5" customFormat="1" x14ac:dyDescent="0.25">
      <c r="A99" s="151"/>
      <c r="B99" s="151"/>
      <c r="C99" s="151"/>
      <c r="D99" s="152"/>
      <c r="E99" s="5"/>
      <c r="F99" s="5"/>
      <c r="G99" s="5"/>
      <c r="H99" s="5"/>
      <c r="I99" s="5"/>
      <c r="J99" s="151"/>
      <c r="K99" s="151"/>
      <c r="L99" s="151"/>
      <c r="M99" s="151"/>
      <c r="N99" s="151"/>
      <c r="O99" s="151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" customHeight="1" spans="1:25" s="5" customFormat="1" x14ac:dyDescent="0.25">
      <c r="A100" s="153" t="s">
        <v>23</v>
      </c>
      <c r="B100" s="153"/>
      <c r="C100" s="153"/>
      <c r="D100" s="153"/>
      <c r="E100" s="154"/>
      <c r="F100" s="154"/>
      <c r="G100" s="154"/>
      <c r="H100" s="154"/>
      <c r="I100" s="5"/>
      <c r="J100" s="153" t="s">
        <v>24</v>
      </c>
      <c r="K100" s="153"/>
      <c r="L100" s="153"/>
      <c r="M100" s="153"/>
      <c r="N100" s="153"/>
      <c r="O100" s="153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</sheetData>
  <mergeCells count="34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2:G92"/>
    <mergeCell ref="H92:O92"/>
    <mergeCell ref="A93:G93"/>
    <mergeCell ref="H93:O93"/>
    <mergeCell ref="A94:G94"/>
    <mergeCell ref="H94:O94"/>
    <mergeCell ref="A100:D100"/>
    <mergeCell ref="J100:O100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J92"/>
  <sheetViews>
    <sheetView workbookViewId="0" zoomScale="100" zoomScaleNormal="100">
      <selection activeCell="A4" sqref="A4"/>
    </sheetView>
  </sheetViews>
  <sheetFormatPr defaultRowHeight="13.5" outlineLevelRow="0" outlineLevelCol="0" x14ac:dyDescent="0" customHeight="1"/>
  <cols>
    <col min="1" max="2" width="2.5" style="502" customWidth="1"/>
    <col min="3" max="3" width="2.375" style="502" customWidth="1"/>
    <col min="4" max="32" width="2.5" style="502" customWidth="1"/>
    <col min="33" max="33" width="1.625" style="502" customWidth="1"/>
    <col min="34" max="34" width="2.625" style="502" customWidth="1"/>
    <col min="35" max="35" width="5.125" style="502" customWidth="1"/>
    <col min="36" max="255" width="9" style="502" customWidth="1"/>
    <col min="256" max="257" width="2.5" style="502" customWidth="1"/>
    <col min="258" max="258" width="2.375" style="502" customWidth="1"/>
    <col min="259" max="287" width="2.5" style="502" customWidth="1"/>
    <col min="288" max="288" width="1.625" style="502" customWidth="1"/>
    <col min="289" max="290" width="2.625" style="502" customWidth="1"/>
    <col min="291" max="291" width="3.875" style="502" customWidth="1"/>
    <col min="292" max="511" width="9" style="502" customWidth="1"/>
    <col min="512" max="513" width="2.5" style="502" customWidth="1"/>
    <col min="514" max="514" width="2.375" style="502" customWidth="1"/>
    <col min="515" max="543" width="2.5" style="502" customWidth="1"/>
    <col min="544" max="544" width="1.625" style="502" customWidth="1"/>
    <col min="545" max="546" width="2.625" style="502" customWidth="1"/>
    <col min="547" max="547" width="3.875" style="502" customWidth="1"/>
    <col min="548" max="767" width="9" style="502" customWidth="1"/>
    <col min="768" max="769" width="2.5" style="502" customWidth="1"/>
    <col min="770" max="770" width="2.375" style="502" customWidth="1"/>
    <col min="771" max="799" width="2.5" style="502" customWidth="1"/>
    <col min="800" max="800" width="1.625" style="502" customWidth="1"/>
    <col min="801" max="802" width="2.625" style="502" customWidth="1"/>
    <col min="803" max="803" width="3.875" style="502" customWidth="1"/>
    <col min="804" max="1023" width="9" style="502" customWidth="1"/>
    <col min="1024" max="1025" width="2.5" style="502" customWidth="1"/>
    <col min="1026" max="1026" width="2.375" style="502" customWidth="1"/>
    <col min="1027" max="1055" width="2.5" style="502" customWidth="1"/>
    <col min="1056" max="1056" width="1.625" style="502" customWidth="1"/>
    <col min="1057" max="1058" width="2.625" style="502" customWidth="1"/>
    <col min="1059" max="1059" width="3.875" style="502" customWidth="1"/>
    <col min="1060" max="1279" width="9" style="502" customWidth="1"/>
    <col min="1280" max="1281" width="2.5" style="502" customWidth="1"/>
    <col min="1282" max="1282" width="2.375" style="502" customWidth="1"/>
    <col min="1283" max="1311" width="2.5" style="502" customWidth="1"/>
    <col min="1312" max="1312" width="1.625" style="502" customWidth="1"/>
    <col min="1313" max="1314" width="2.625" style="502" customWidth="1"/>
    <col min="1315" max="1315" width="3.875" style="502" customWidth="1"/>
    <col min="1316" max="1535" width="9" style="502" customWidth="1"/>
    <col min="1536" max="1537" width="2.5" style="502" customWidth="1"/>
    <col min="1538" max="1538" width="2.375" style="502" customWidth="1"/>
    <col min="1539" max="1567" width="2.5" style="502" customWidth="1"/>
    <col min="1568" max="1568" width="1.625" style="502" customWidth="1"/>
    <col min="1569" max="1570" width="2.625" style="502" customWidth="1"/>
    <col min="1571" max="1571" width="3.875" style="502" customWidth="1"/>
    <col min="1572" max="1791" width="9" style="502" customWidth="1"/>
    <col min="1792" max="1793" width="2.5" style="502" customWidth="1"/>
    <col min="1794" max="1794" width="2.375" style="502" customWidth="1"/>
    <col min="1795" max="1823" width="2.5" style="502" customWidth="1"/>
    <col min="1824" max="1824" width="1.625" style="502" customWidth="1"/>
    <col min="1825" max="1826" width="2.625" style="502" customWidth="1"/>
    <col min="1827" max="1827" width="3.875" style="502" customWidth="1"/>
    <col min="1828" max="2047" width="9" style="502" customWidth="1"/>
    <col min="2048" max="2049" width="2.5" style="502" customWidth="1"/>
    <col min="2050" max="2050" width="2.375" style="502" customWidth="1"/>
    <col min="2051" max="2079" width="2.5" style="502" customWidth="1"/>
    <col min="2080" max="2080" width="1.625" style="502" customWidth="1"/>
    <col min="2081" max="2082" width="2.625" style="502" customWidth="1"/>
    <col min="2083" max="2083" width="3.875" style="502" customWidth="1"/>
    <col min="2084" max="2303" width="9" style="502" customWidth="1"/>
    <col min="2304" max="2305" width="2.5" style="502" customWidth="1"/>
    <col min="2306" max="2306" width="2.375" style="502" customWidth="1"/>
    <col min="2307" max="2335" width="2.5" style="502" customWidth="1"/>
    <col min="2336" max="2336" width="1.625" style="502" customWidth="1"/>
    <col min="2337" max="2338" width="2.625" style="502" customWidth="1"/>
    <col min="2339" max="2339" width="3.875" style="502" customWidth="1"/>
    <col min="2340" max="2559" width="9" style="502" customWidth="1"/>
    <col min="2560" max="2561" width="2.5" style="502" customWidth="1"/>
    <col min="2562" max="2562" width="2.375" style="502" customWidth="1"/>
    <col min="2563" max="2591" width="2.5" style="502" customWidth="1"/>
    <col min="2592" max="2592" width="1.625" style="502" customWidth="1"/>
    <col min="2593" max="2594" width="2.625" style="502" customWidth="1"/>
    <col min="2595" max="2595" width="3.875" style="502" customWidth="1"/>
    <col min="2596" max="2815" width="9" style="502" customWidth="1"/>
    <col min="2816" max="2817" width="2.5" style="502" customWidth="1"/>
    <col min="2818" max="2818" width="2.375" style="502" customWidth="1"/>
    <col min="2819" max="2847" width="2.5" style="502" customWidth="1"/>
    <col min="2848" max="2848" width="1.625" style="502" customWidth="1"/>
    <col min="2849" max="2850" width="2.625" style="502" customWidth="1"/>
    <col min="2851" max="2851" width="3.875" style="502" customWidth="1"/>
    <col min="2852" max="3071" width="9" style="502" customWidth="1"/>
    <col min="3072" max="3073" width="2.5" style="502" customWidth="1"/>
    <col min="3074" max="3074" width="2.375" style="502" customWidth="1"/>
    <col min="3075" max="3103" width="2.5" style="502" customWidth="1"/>
    <col min="3104" max="3104" width="1.625" style="502" customWidth="1"/>
    <col min="3105" max="3106" width="2.625" style="502" customWidth="1"/>
    <col min="3107" max="3107" width="3.875" style="502" customWidth="1"/>
    <col min="3108" max="3327" width="9" style="502" customWidth="1"/>
    <col min="3328" max="3329" width="2.5" style="502" customWidth="1"/>
    <col min="3330" max="3330" width="2.375" style="502" customWidth="1"/>
    <col min="3331" max="3359" width="2.5" style="502" customWidth="1"/>
    <col min="3360" max="3360" width="1.625" style="502" customWidth="1"/>
    <col min="3361" max="3362" width="2.625" style="502" customWidth="1"/>
    <col min="3363" max="3363" width="3.875" style="502" customWidth="1"/>
    <col min="3364" max="3583" width="9" style="502" customWidth="1"/>
    <col min="3584" max="3585" width="2.5" style="502" customWidth="1"/>
    <col min="3586" max="3586" width="2.375" style="502" customWidth="1"/>
    <col min="3587" max="3615" width="2.5" style="502" customWidth="1"/>
    <col min="3616" max="3616" width="1.625" style="502" customWidth="1"/>
    <col min="3617" max="3618" width="2.625" style="502" customWidth="1"/>
    <col min="3619" max="3619" width="3.875" style="502" customWidth="1"/>
    <col min="3620" max="3839" width="9" style="502" customWidth="1"/>
    <col min="3840" max="3841" width="2.5" style="502" customWidth="1"/>
    <col min="3842" max="3842" width="2.375" style="502" customWidth="1"/>
    <col min="3843" max="3871" width="2.5" style="502" customWidth="1"/>
    <col min="3872" max="3872" width="1.625" style="502" customWidth="1"/>
    <col min="3873" max="3874" width="2.625" style="502" customWidth="1"/>
    <col min="3875" max="3875" width="3.875" style="502" customWidth="1"/>
    <col min="3876" max="4095" width="9" style="502" customWidth="1"/>
    <col min="4096" max="4097" width="2.5" style="502" customWidth="1"/>
    <col min="4098" max="4098" width="2.375" style="502" customWidth="1"/>
    <col min="4099" max="4127" width="2.5" style="502" customWidth="1"/>
    <col min="4128" max="4128" width="1.625" style="502" customWidth="1"/>
    <col min="4129" max="4130" width="2.625" style="502" customWidth="1"/>
    <col min="4131" max="4131" width="3.875" style="502" customWidth="1"/>
    <col min="4132" max="4351" width="9" style="502" customWidth="1"/>
    <col min="4352" max="4353" width="2.5" style="502" customWidth="1"/>
    <col min="4354" max="4354" width="2.375" style="502" customWidth="1"/>
    <col min="4355" max="4383" width="2.5" style="502" customWidth="1"/>
    <col min="4384" max="4384" width="1.625" style="502" customWidth="1"/>
    <col min="4385" max="4386" width="2.625" style="502" customWidth="1"/>
    <col min="4387" max="4387" width="3.875" style="502" customWidth="1"/>
    <col min="4388" max="4607" width="9" style="502" customWidth="1"/>
    <col min="4608" max="4609" width="2.5" style="502" customWidth="1"/>
    <col min="4610" max="4610" width="2.375" style="502" customWidth="1"/>
    <col min="4611" max="4639" width="2.5" style="502" customWidth="1"/>
    <col min="4640" max="4640" width="1.625" style="502" customWidth="1"/>
    <col min="4641" max="4642" width="2.625" style="502" customWidth="1"/>
    <col min="4643" max="4643" width="3.875" style="502" customWidth="1"/>
    <col min="4644" max="4863" width="9" style="502" customWidth="1"/>
    <col min="4864" max="4865" width="2.5" style="502" customWidth="1"/>
    <col min="4866" max="4866" width="2.375" style="502" customWidth="1"/>
    <col min="4867" max="4895" width="2.5" style="502" customWidth="1"/>
    <col min="4896" max="4896" width="1.625" style="502" customWidth="1"/>
    <col min="4897" max="4898" width="2.625" style="502" customWidth="1"/>
    <col min="4899" max="4899" width="3.875" style="502" customWidth="1"/>
    <col min="4900" max="5119" width="9" style="502" customWidth="1"/>
    <col min="5120" max="5121" width="2.5" style="502" customWidth="1"/>
    <col min="5122" max="5122" width="2.375" style="502" customWidth="1"/>
    <col min="5123" max="5151" width="2.5" style="502" customWidth="1"/>
    <col min="5152" max="5152" width="1.625" style="502" customWidth="1"/>
    <col min="5153" max="5154" width="2.625" style="502" customWidth="1"/>
    <col min="5155" max="5155" width="3.875" style="502" customWidth="1"/>
    <col min="5156" max="5375" width="9" style="502" customWidth="1"/>
    <col min="5376" max="5377" width="2.5" style="502" customWidth="1"/>
    <col min="5378" max="5378" width="2.375" style="502" customWidth="1"/>
    <col min="5379" max="5407" width="2.5" style="502" customWidth="1"/>
    <col min="5408" max="5408" width="1.625" style="502" customWidth="1"/>
    <col min="5409" max="5410" width="2.625" style="502" customWidth="1"/>
    <col min="5411" max="5411" width="3.875" style="502" customWidth="1"/>
    <col min="5412" max="5631" width="9" style="502" customWidth="1"/>
    <col min="5632" max="5633" width="2.5" style="502" customWidth="1"/>
    <col min="5634" max="5634" width="2.375" style="502" customWidth="1"/>
    <col min="5635" max="5663" width="2.5" style="502" customWidth="1"/>
    <col min="5664" max="5664" width="1.625" style="502" customWidth="1"/>
    <col min="5665" max="5666" width="2.625" style="502" customWidth="1"/>
    <col min="5667" max="5667" width="3.875" style="502" customWidth="1"/>
    <col min="5668" max="5887" width="9" style="502" customWidth="1"/>
    <col min="5888" max="5889" width="2.5" style="502" customWidth="1"/>
    <col min="5890" max="5890" width="2.375" style="502" customWidth="1"/>
    <col min="5891" max="5919" width="2.5" style="502" customWidth="1"/>
    <col min="5920" max="5920" width="1.625" style="502" customWidth="1"/>
    <col min="5921" max="5922" width="2.625" style="502" customWidth="1"/>
    <col min="5923" max="5923" width="3.875" style="502" customWidth="1"/>
    <col min="5924" max="6143" width="9" style="502" customWidth="1"/>
    <col min="6144" max="6145" width="2.5" style="502" customWidth="1"/>
    <col min="6146" max="6146" width="2.375" style="502" customWidth="1"/>
    <col min="6147" max="6175" width="2.5" style="502" customWidth="1"/>
    <col min="6176" max="6176" width="1.625" style="502" customWidth="1"/>
    <col min="6177" max="6178" width="2.625" style="502" customWidth="1"/>
    <col min="6179" max="6179" width="3.875" style="502" customWidth="1"/>
    <col min="6180" max="6399" width="9" style="502" customWidth="1"/>
    <col min="6400" max="6401" width="2.5" style="502" customWidth="1"/>
    <col min="6402" max="6402" width="2.375" style="502" customWidth="1"/>
    <col min="6403" max="6431" width="2.5" style="502" customWidth="1"/>
    <col min="6432" max="6432" width="1.625" style="502" customWidth="1"/>
    <col min="6433" max="6434" width="2.625" style="502" customWidth="1"/>
    <col min="6435" max="6435" width="3.875" style="502" customWidth="1"/>
    <col min="6436" max="6655" width="9" style="502" customWidth="1"/>
    <col min="6656" max="6657" width="2.5" style="502" customWidth="1"/>
    <col min="6658" max="6658" width="2.375" style="502" customWidth="1"/>
    <col min="6659" max="6687" width="2.5" style="502" customWidth="1"/>
    <col min="6688" max="6688" width="1.625" style="502" customWidth="1"/>
    <col min="6689" max="6690" width="2.625" style="502" customWidth="1"/>
    <col min="6691" max="6691" width="3.875" style="502" customWidth="1"/>
    <col min="6692" max="6911" width="9" style="502" customWidth="1"/>
    <col min="6912" max="6913" width="2.5" style="502" customWidth="1"/>
    <col min="6914" max="6914" width="2.375" style="502" customWidth="1"/>
    <col min="6915" max="6943" width="2.5" style="502" customWidth="1"/>
    <col min="6944" max="6944" width="1.625" style="502" customWidth="1"/>
    <col min="6945" max="6946" width="2.625" style="502" customWidth="1"/>
    <col min="6947" max="6947" width="3.875" style="502" customWidth="1"/>
    <col min="6948" max="7167" width="9" style="502" customWidth="1"/>
    <col min="7168" max="7169" width="2.5" style="502" customWidth="1"/>
    <col min="7170" max="7170" width="2.375" style="502" customWidth="1"/>
    <col min="7171" max="7199" width="2.5" style="502" customWidth="1"/>
    <col min="7200" max="7200" width="1.625" style="502" customWidth="1"/>
    <col min="7201" max="7202" width="2.625" style="502" customWidth="1"/>
    <col min="7203" max="7203" width="3.875" style="502" customWidth="1"/>
    <col min="7204" max="7423" width="9" style="502" customWidth="1"/>
    <col min="7424" max="7425" width="2.5" style="502" customWidth="1"/>
    <col min="7426" max="7426" width="2.375" style="502" customWidth="1"/>
    <col min="7427" max="7455" width="2.5" style="502" customWidth="1"/>
    <col min="7456" max="7456" width="1.625" style="502" customWidth="1"/>
    <col min="7457" max="7458" width="2.625" style="502" customWidth="1"/>
    <col min="7459" max="7459" width="3.875" style="502" customWidth="1"/>
    <col min="7460" max="7679" width="9" style="502" customWidth="1"/>
    <col min="7680" max="7681" width="2.5" style="502" customWidth="1"/>
    <col min="7682" max="7682" width="2.375" style="502" customWidth="1"/>
    <col min="7683" max="7711" width="2.5" style="502" customWidth="1"/>
    <col min="7712" max="7712" width="1.625" style="502" customWidth="1"/>
    <col min="7713" max="7714" width="2.625" style="502" customWidth="1"/>
    <col min="7715" max="7715" width="3.875" style="502" customWidth="1"/>
    <col min="7716" max="7935" width="9" style="502" customWidth="1"/>
    <col min="7936" max="7937" width="2.5" style="502" customWidth="1"/>
    <col min="7938" max="7938" width="2.375" style="502" customWidth="1"/>
    <col min="7939" max="7967" width="2.5" style="502" customWidth="1"/>
    <col min="7968" max="7968" width="1.625" style="502" customWidth="1"/>
    <col min="7969" max="7970" width="2.625" style="502" customWidth="1"/>
    <col min="7971" max="7971" width="3.875" style="502" customWidth="1"/>
    <col min="7972" max="8191" width="9" style="502" customWidth="1"/>
    <col min="8192" max="8193" width="2.5" style="502" customWidth="1"/>
    <col min="8194" max="8194" width="2.375" style="502" customWidth="1"/>
    <col min="8195" max="8223" width="2.5" style="502" customWidth="1"/>
    <col min="8224" max="8224" width="1.625" style="502" customWidth="1"/>
    <col min="8225" max="8226" width="2.625" style="502" customWidth="1"/>
    <col min="8227" max="8227" width="3.875" style="502" customWidth="1"/>
    <col min="8228" max="8447" width="9" style="502" customWidth="1"/>
    <col min="8448" max="8449" width="2.5" style="502" customWidth="1"/>
    <col min="8450" max="8450" width="2.375" style="502" customWidth="1"/>
    <col min="8451" max="8479" width="2.5" style="502" customWidth="1"/>
    <col min="8480" max="8480" width="1.625" style="502" customWidth="1"/>
    <col min="8481" max="8482" width="2.625" style="502" customWidth="1"/>
    <col min="8483" max="8483" width="3.875" style="502" customWidth="1"/>
    <col min="8484" max="8703" width="9" style="502" customWidth="1"/>
    <col min="8704" max="8705" width="2.5" style="502" customWidth="1"/>
    <col min="8706" max="8706" width="2.375" style="502" customWidth="1"/>
    <col min="8707" max="8735" width="2.5" style="502" customWidth="1"/>
    <col min="8736" max="8736" width="1.625" style="502" customWidth="1"/>
    <col min="8737" max="8738" width="2.625" style="502" customWidth="1"/>
    <col min="8739" max="8739" width="3.875" style="502" customWidth="1"/>
    <col min="8740" max="8959" width="9" style="502" customWidth="1"/>
    <col min="8960" max="8961" width="2.5" style="502" customWidth="1"/>
    <col min="8962" max="8962" width="2.375" style="502" customWidth="1"/>
    <col min="8963" max="8991" width="2.5" style="502" customWidth="1"/>
    <col min="8992" max="8992" width="1.625" style="502" customWidth="1"/>
    <col min="8993" max="8994" width="2.625" style="502" customWidth="1"/>
    <col min="8995" max="8995" width="3.875" style="502" customWidth="1"/>
    <col min="8996" max="9215" width="9" style="502" customWidth="1"/>
    <col min="9216" max="9217" width="2.5" style="502" customWidth="1"/>
    <col min="9218" max="9218" width="2.375" style="502" customWidth="1"/>
    <col min="9219" max="9247" width="2.5" style="502" customWidth="1"/>
    <col min="9248" max="9248" width="1.625" style="502" customWidth="1"/>
    <col min="9249" max="9250" width="2.625" style="502" customWidth="1"/>
    <col min="9251" max="9251" width="3.875" style="502" customWidth="1"/>
    <col min="9252" max="9471" width="9" style="502" customWidth="1"/>
    <col min="9472" max="9473" width="2.5" style="502" customWidth="1"/>
    <col min="9474" max="9474" width="2.375" style="502" customWidth="1"/>
    <col min="9475" max="9503" width="2.5" style="502" customWidth="1"/>
    <col min="9504" max="9504" width="1.625" style="502" customWidth="1"/>
    <col min="9505" max="9506" width="2.625" style="502" customWidth="1"/>
    <col min="9507" max="9507" width="3.875" style="502" customWidth="1"/>
    <col min="9508" max="9727" width="9" style="502" customWidth="1"/>
    <col min="9728" max="9729" width="2.5" style="502" customWidth="1"/>
    <col min="9730" max="9730" width="2.375" style="502" customWidth="1"/>
    <col min="9731" max="9759" width="2.5" style="502" customWidth="1"/>
    <col min="9760" max="9760" width="1.625" style="502" customWidth="1"/>
    <col min="9761" max="9762" width="2.625" style="502" customWidth="1"/>
    <col min="9763" max="9763" width="3.875" style="502" customWidth="1"/>
    <col min="9764" max="9983" width="9" style="502" customWidth="1"/>
    <col min="9984" max="9985" width="2.5" style="502" customWidth="1"/>
    <col min="9986" max="9986" width="2.375" style="502" customWidth="1"/>
    <col min="9987" max="10015" width="2.5" style="502" customWidth="1"/>
    <col min="10016" max="10016" width="1.625" style="502" customWidth="1"/>
    <col min="10017" max="10018" width="2.625" style="502" customWidth="1"/>
    <col min="10019" max="10019" width="3.875" style="502" customWidth="1"/>
    <col min="10020" max="10239" width="9" style="502" customWidth="1"/>
    <col min="10240" max="10241" width="2.5" style="502" customWidth="1"/>
    <col min="10242" max="10242" width="2.375" style="502" customWidth="1"/>
    <col min="10243" max="10271" width="2.5" style="502" customWidth="1"/>
    <col min="10272" max="10272" width="1.625" style="502" customWidth="1"/>
    <col min="10273" max="10274" width="2.625" style="502" customWidth="1"/>
    <col min="10275" max="10275" width="3.875" style="502" customWidth="1"/>
    <col min="10276" max="10495" width="9" style="502" customWidth="1"/>
    <col min="10496" max="10497" width="2.5" style="502" customWidth="1"/>
    <col min="10498" max="10498" width="2.375" style="502" customWidth="1"/>
    <col min="10499" max="10527" width="2.5" style="502" customWidth="1"/>
    <col min="10528" max="10528" width="1.625" style="502" customWidth="1"/>
    <col min="10529" max="10530" width="2.625" style="502" customWidth="1"/>
    <col min="10531" max="10531" width="3.875" style="502" customWidth="1"/>
    <col min="10532" max="10751" width="9" style="502" customWidth="1"/>
    <col min="10752" max="10753" width="2.5" style="502" customWidth="1"/>
    <col min="10754" max="10754" width="2.375" style="502" customWidth="1"/>
    <col min="10755" max="10783" width="2.5" style="502" customWidth="1"/>
    <col min="10784" max="10784" width="1.625" style="502" customWidth="1"/>
    <col min="10785" max="10786" width="2.625" style="502" customWidth="1"/>
    <col min="10787" max="10787" width="3.875" style="502" customWidth="1"/>
    <col min="10788" max="11007" width="9" style="502" customWidth="1"/>
    <col min="11008" max="11009" width="2.5" style="502" customWidth="1"/>
    <col min="11010" max="11010" width="2.375" style="502" customWidth="1"/>
    <col min="11011" max="11039" width="2.5" style="502" customWidth="1"/>
    <col min="11040" max="11040" width="1.625" style="502" customWidth="1"/>
    <col min="11041" max="11042" width="2.625" style="502" customWidth="1"/>
    <col min="11043" max="11043" width="3.875" style="502" customWidth="1"/>
    <col min="11044" max="11263" width="9" style="502" customWidth="1"/>
    <col min="11264" max="11265" width="2.5" style="502" customWidth="1"/>
    <col min="11266" max="11266" width="2.375" style="502" customWidth="1"/>
    <col min="11267" max="11295" width="2.5" style="502" customWidth="1"/>
    <col min="11296" max="11296" width="1.625" style="502" customWidth="1"/>
    <col min="11297" max="11298" width="2.625" style="502" customWidth="1"/>
    <col min="11299" max="11299" width="3.875" style="502" customWidth="1"/>
    <col min="11300" max="11519" width="9" style="502" customWidth="1"/>
    <col min="11520" max="11521" width="2.5" style="502" customWidth="1"/>
    <col min="11522" max="11522" width="2.375" style="502" customWidth="1"/>
    <col min="11523" max="11551" width="2.5" style="502" customWidth="1"/>
    <col min="11552" max="11552" width="1.625" style="502" customWidth="1"/>
    <col min="11553" max="11554" width="2.625" style="502" customWidth="1"/>
    <col min="11555" max="11555" width="3.875" style="502" customWidth="1"/>
    <col min="11556" max="11775" width="9" style="502" customWidth="1"/>
    <col min="11776" max="11777" width="2.5" style="502" customWidth="1"/>
    <col min="11778" max="11778" width="2.375" style="502" customWidth="1"/>
    <col min="11779" max="11807" width="2.5" style="502" customWidth="1"/>
    <col min="11808" max="11808" width="1.625" style="502" customWidth="1"/>
    <col min="11809" max="11810" width="2.625" style="502" customWidth="1"/>
    <col min="11811" max="11811" width="3.875" style="502" customWidth="1"/>
    <col min="11812" max="12031" width="9" style="502" customWidth="1"/>
    <col min="12032" max="12033" width="2.5" style="502" customWidth="1"/>
    <col min="12034" max="12034" width="2.375" style="502" customWidth="1"/>
    <col min="12035" max="12063" width="2.5" style="502" customWidth="1"/>
    <col min="12064" max="12064" width="1.625" style="502" customWidth="1"/>
    <col min="12065" max="12066" width="2.625" style="502" customWidth="1"/>
    <col min="12067" max="12067" width="3.875" style="502" customWidth="1"/>
    <col min="12068" max="12287" width="9" style="502" customWidth="1"/>
    <col min="12288" max="12289" width="2.5" style="502" customWidth="1"/>
    <col min="12290" max="12290" width="2.375" style="502" customWidth="1"/>
    <col min="12291" max="12319" width="2.5" style="502" customWidth="1"/>
    <col min="12320" max="12320" width="1.625" style="502" customWidth="1"/>
    <col min="12321" max="12322" width="2.625" style="502" customWidth="1"/>
    <col min="12323" max="12323" width="3.875" style="502" customWidth="1"/>
    <col min="12324" max="12543" width="9" style="502" customWidth="1"/>
    <col min="12544" max="12545" width="2.5" style="502" customWidth="1"/>
    <col min="12546" max="12546" width="2.375" style="502" customWidth="1"/>
    <col min="12547" max="12575" width="2.5" style="502" customWidth="1"/>
    <col min="12576" max="12576" width="1.625" style="502" customWidth="1"/>
    <col min="12577" max="12578" width="2.625" style="502" customWidth="1"/>
    <col min="12579" max="12579" width="3.875" style="502" customWidth="1"/>
    <col min="12580" max="12799" width="9" style="502" customWidth="1"/>
    <col min="12800" max="12801" width="2.5" style="502" customWidth="1"/>
    <col min="12802" max="12802" width="2.375" style="502" customWidth="1"/>
    <col min="12803" max="12831" width="2.5" style="502" customWidth="1"/>
    <col min="12832" max="12832" width="1.625" style="502" customWidth="1"/>
    <col min="12833" max="12834" width="2.625" style="502" customWidth="1"/>
    <col min="12835" max="12835" width="3.875" style="502" customWidth="1"/>
    <col min="12836" max="13055" width="9" style="502" customWidth="1"/>
    <col min="13056" max="13057" width="2.5" style="502" customWidth="1"/>
    <col min="13058" max="13058" width="2.375" style="502" customWidth="1"/>
    <col min="13059" max="13087" width="2.5" style="502" customWidth="1"/>
    <col min="13088" max="13088" width="1.625" style="502" customWidth="1"/>
    <col min="13089" max="13090" width="2.625" style="502" customWidth="1"/>
    <col min="13091" max="13091" width="3.875" style="502" customWidth="1"/>
    <col min="13092" max="13311" width="9" style="502" customWidth="1"/>
    <col min="13312" max="13313" width="2.5" style="502" customWidth="1"/>
    <col min="13314" max="13314" width="2.375" style="502" customWidth="1"/>
    <col min="13315" max="13343" width="2.5" style="502" customWidth="1"/>
    <col min="13344" max="13344" width="1.625" style="502" customWidth="1"/>
    <col min="13345" max="13346" width="2.625" style="502" customWidth="1"/>
    <col min="13347" max="13347" width="3.875" style="502" customWidth="1"/>
    <col min="13348" max="13567" width="9" style="502" customWidth="1"/>
    <col min="13568" max="13569" width="2.5" style="502" customWidth="1"/>
    <col min="13570" max="13570" width="2.375" style="502" customWidth="1"/>
    <col min="13571" max="13599" width="2.5" style="502" customWidth="1"/>
    <col min="13600" max="13600" width="1.625" style="502" customWidth="1"/>
    <col min="13601" max="13602" width="2.625" style="502" customWidth="1"/>
    <col min="13603" max="13603" width="3.875" style="502" customWidth="1"/>
    <col min="13604" max="13823" width="9" style="502" customWidth="1"/>
    <col min="13824" max="13825" width="2.5" style="502" customWidth="1"/>
    <col min="13826" max="13826" width="2.375" style="502" customWidth="1"/>
    <col min="13827" max="13855" width="2.5" style="502" customWidth="1"/>
    <col min="13856" max="13856" width="1.625" style="502" customWidth="1"/>
    <col min="13857" max="13858" width="2.625" style="502" customWidth="1"/>
    <col min="13859" max="13859" width="3.875" style="502" customWidth="1"/>
    <col min="13860" max="14079" width="9" style="502" customWidth="1"/>
    <col min="14080" max="14081" width="2.5" style="502" customWidth="1"/>
    <col min="14082" max="14082" width="2.375" style="502" customWidth="1"/>
    <col min="14083" max="14111" width="2.5" style="502" customWidth="1"/>
    <col min="14112" max="14112" width="1.625" style="502" customWidth="1"/>
    <col min="14113" max="14114" width="2.625" style="502" customWidth="1"/>
    <col min="14115" max="14115" width="3.875" style="502" customWidth="1"/>
    <col min="14116" max="14335" width="9" style="502" customWidth="1"/>
    <col min="14336" max="14337" width="2.5" style="502" customWidth="1"/>
    <col min="14338" max="14338" width="2.375" style="502" customWidth="1"/>
    <col min="14339" max="14367" width="2.5" style="502" customWidth="1"/>
    <col min="14368" max="14368" width="1.625" style="502" customWidth="1"/>
    <col min="14369" max="14370" width="2.625" style="502" customWidth="1"/>
    <col min="14371" max="14371" width="3.875" style="502" customWidth="1"/>
    <col min="14372" max="14591" width="9" style="502" customWidth="1"/>
    <col min="14592" max="14593" width="2.5" style="502" customWidth="1"/>
    <col min="14594" max="14594" width="2.375" style="502" customWidth="1"/>
    <col min="14595" max="14623" width="2.5" style="502" customWidth="1"/>
    <col min="14624" max="14624" width="1.625" style="502" customWidth="1"/>
    <col min="14625" max="14626" width="2.625" style="502" customWidth="1"/>
    <col min="14627" max="14627" width="3.875" style="502" customWidth="1"/>
    <col min="14628" max="14847" width="9" style="502" customWidth="1"/>
    <col min="14848" max="14849" width="2.5" style="502" customWidth="1"/>
    <col min="14850" max="14850" width="2.375" style="502" customWidth="1"/>
    <col min="14851" max="14879" width="2.5" style="502" customWidth="1"/>
    <col min="14880" max="14880" width="1.625" style="502" customWidth="1"/>
    <col min="14881" max="14882" width="2.625" style="502" customWidth="1"/>
    <col min="14883" max="14883" width="3.875" style="502" customWidth="1"/>
    <col min="14884" max="15103" width="9" style="502" customWidth="1"/>
    <col min="15104" max="15105" width="2.5" style="502" customWidth="1"/>
    <col min="15106" max="15106" width="2.375" style="502" customWidth="1"/>
    <col min="15107" max="15135" width="2.5" style="502" customWidth="1"/>
    <col min="15136" max="15136" width="1.625" style="502" customWidth="1"/>
    <col min="15137" max="15138" width="2.625" style="502" customWidth="1"/>
    <col min="15139" max="15139" width="3.875" style="502" customWidth="1"/>
    <col min="15140" max="15359" width="9" style="502" customWidth="1"/>
    <col min="15360" max="15361" width="2.5" style="502" customWidth="1"/>
    <col min="15362" max="15362" width="2.375" style="502" customWidth="1"/>
    <col min="15363" max="15391" width="2.5" style="502" customWidth="1"/>
    <col min="15392" max="15392" width="1.625" style="502" customWidth="1"/>
    <col min="15393" max="15394" width="2.625" style="502" customWidth="1"/>
    <col min="15395" max="15395" width="3.875" style="502" customWidth="1"/>
    <col min="15396" max="15615" width="9" style="502" customWidth="1"/>
    <col min="15616" max="15617" width="2.5" style="502" customWidth="1"/>
    <col min="15618" max="15618" width="2.375" style="502" customWidth="1"/>
    <col min="15619" max="15647" width="2.5" style="502" customWidth="1"/>
    <col min="15648" max="15648" width="1.625" style="502" customWidth="1"/>
    <col min="15649" max="15650" width="2.625" style="502" customWidth="1"/>
    <col min="15651" max="15651" width="3.875" style="502" customWidth="1"/>
    <col min="15652" max="15871" width="9" style="502" customWidth="1"/>
    <col min="15872" max="15873" width="2.5" style="502" customWidth="1"/>
    <col min="15874" max="15874" width="2.375" style="502" customWidth="1"/>
    <col min="15875" max="15903" width="2.5" style="502" customWidth="1"/>
    <col min="15904" max="15904" width="1.625" style="502" customWidth="1"/>
    <col min="15905" max="15906" width="2.625" style="502" customWidth="1"/>
    <col min="15907" max="15907" width="3.875" style="502" customWidth="1"/>
    <col min="15908" max="16127" width="9" style="502" customWidth="1"/>
    <col min="16128" max="16129" width="2.5" style="502" customWidth="1"/>
    <col min="16130" max="16130" width="2.375" style="502" customWidth="1"/>
    <col min="16131" max="16159" width="2.5" style="502" customWidth="1"/>
    <col min="16160" max="16160" width="1.625" style="502" customWidth="1"/>
    <col min="16161" max="16162" width="2.625" style="502" customWidth="1"/>
    <col min="16163" max="16163" width="3.875" style="502" customWidth="1"/>
    <col min="16164" max="16384" width="9" style="502" customWidth="1"/>
  </cols>
  <sheetData>
    <row r="1" ht="27" customHeight="1" spans="1:36" x14ac:dyDescent="0.25">
      <c r="A1" s="396" t="s">
        <v>139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502" t="s">
        <v>40</v>
      </c>
    </row>
    <row r="2" ht="12" customHeight="1" spans="1:35" s="10" customFormat="1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</row>
    <row r="3" ht="4.5" customHeight="1" spans="1:35" s="10" customFormat="1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</row>
    <row r="4" ht="22.5" customHeight="1" spans="1:35" s="10" customFormat="1" x14ac:dyDescent="0.25">
      <c r="A4" s="206" t="s">
        <v>140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</row>
    <row r="5" ht="6" customHeight="1" spans="1:35" s="10" customFormat="1" x14ac:dyDescent="0.25">
      <c r="A5" s="503"/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3"/>
      <c r="AC5" s="503"/>
      <c r="AD5" s="503"/>
      <c r="AE5" s="503"/>
      <c r="AF5" s="503"/>
      <c r="AG5" s="503"/>
      <c r="AH5" s="503"/>
      <c r="AI5" s="503"/>
    </row>
    <row r="6" ht="13.5" customHeight="1" spans="1:35" s="16" customFormat="1" x14ac:dyDescent="0.25">
      <c r="A6" s="41" t="s">
        <v>141</v>
      </c>
      <c r="B6" s="41"/>
      <c r="C6" s="41"/>
      <c r="D6" s="269" t="str">
        <f>'Final Work'!B4</f>
        <v>SAWASDEE DENEB</v>
      </c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 t="s">
        <v>108</v>
      </c>
      <c r="P6" s="41"/>
      <c r="Q6" s="41"/>
      <c r="R6" s="201" t="str">
        <f>'Final Work'!G4</f>
        <v>2607N &amp; 2608S</v>
      </c>
      <c r="S6" s="201"/>
      <c r="T6" s="201"/>
      <c r="U6" s="201"/>
      <c r="V6" s="201"/>
      <c r="W6" s="201"/>
      <c r="X6" s="41"/>
      <c r="Y6" s="201" t="s">
        <v>5</v>
      </c>
      <c r="Z6" s="201"/>
      <c r="AA6" s="201"/>
      <c r="AB6" s="504">
        <f>'Final Work'!L4</f>
        <v>46218</v>
      </c>
      <c r="AC6" s="327"/>
      <c r="AD6" s="327"/>
      <c r="AE6" s="327"/>
      <c r="AF6" s="327"/>
      <c r="AG6" s="327"/>
      <c r="AH6" s="327"/>
      <c r="AI6" s="327"/>
    </row>
    <row r="7" ht="6" customHeight="1" spans="1:35" s="16" customFormat="1" x14ac:dyDescent="0.25">
      <c r="A7" s="505"/>
      <c r="B7" s="505"/>
      <c r="C7" s="505"/>
      <c r="D7" s="505"/>
      <c r="E7" s="505"/>
      <c r="F7" s="505"/>
      <c r="G7" s="505"/>
      <c r="H7" s="505"/>
      <c r="I7" s="505"/>
      <c r="J7" s="505"/>
      <c r="K7" s="505"/>
      <c r="L7" s="505"/>
      <c r="M7" s="505"/>
      <c r="N7" s="505"/>
      <c r="O7" s="505"/>
      <c r="P7" s="505"/>
      <c r="Q7" s="505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</row>
    <row r="8" ht="13.5" customHeight="1" spans="1:35" s="16" customFormat="1" x14ac:dyDescent="0.25">
      <c r="A8" s="154" t="s">
        <v>142</v>
      </c>
      <c r="B8" s="154"/>
      <c r="C8" s="154"/>
      <c r="D8" s="506" t="s">
        <v>143</v>
      </c>
      <c r="E8" s="506"/>
      <c r="F8" s="506"/>
      <c r="G8" s="506"/>
      <c r="H8" s="506"/>
      <c r="I8" s="506"/>
      <c r="J8" s="154"/>
      <c r="K8" s="154"/>
      <c r="L8" s="41"/>
      <c r="M8" s="41"/>
      <c r="N8" s="41"/>
      <c r="O8" s="506" t="s">
        <v>7</v>
      </c>
      <c r="P8" s="154"/>
      <c r="Q8" s="154"/>
      <c r="R8" s="505">
        <f>'Final Work'!G6</f>
        <v>6</v>
      </c>
      <c r="S8" s="505"/>
      <c r="T8" s="505"/>
      <c r="U8" s="505"/>
      <c r="V8" s="505"/>
      <c r="W8" s="505"/>
      <c r="X8" s="154"/>
      <c r="Y8" s="201" t="s">
        <v>8</v>
      </c>
      <c r="Z8" s="201"/>
      <c r="AA8" s="201"/>
      <c r="AB8" s="505" t="s">
        <v>26</v>
      </c>
      <c r="AC8" s="505"/>
      <c r="AD8" s="505"/>
      <c r="AE8" s="505"/>
      <c r="AF8" s="505"/>
      <c r="AG8" s="505"/>
      <c r="AH8" s="505"/>
      <c r="AI8" s="505"/>
    </row>
    <row r="9" ht="4.5" customHeight="1" spans="1:35" s="10" customFormat="1" x14ac:dyDescent="0.25">
      <c r="A9" s="507"/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  <c r="Z9" s="507"/>
      <c r="AA9" s="507"/>
      <c r="AB9" s="507"/>
      <c r="AC9" s="507"/>
      <c r="AD9" s="507"/>
      <c r="AE9" s="507"/>
      <c r="AF9" s="507"/>
      <c r="AG9" s="507"/>
      <c r="AH9" s="507"/>
      <c r="AI9" s="507"/>
    </row>
    <row r="10" ht="17.1" customHeight="1" spans="1:35" s="41" customFormat="1" x14ac:dyDescent="0.25">
      <c r="A10" s="508" t="s">
        <v>144</v>
      </c>
      <c r="B10" s="509"/>
      <c r="C10" s="509"/>
      <c r="D10" s="509"/>
      <c r="E10" s="509"/>
      <c r="F10" s="509"/>
      <c r="G10" s="509"/>
      <c r="H10" s="510" t="s">
        <v>95</v>
      </c>
      <c r="I10" s="29"/>
      <c r="J10" s="29"/>
      <c r="K10" s="29"/>
      <c r="L10" s="29"/>
      <c r="M10" s="29"/>
      <c r="N10" s="29"/>
      <c r="O10" s="31"/>
      <c r="P10" s="510" t="s">
        <v>96</v>
      </c>
      <c r="Q10" s="29"/>
      <c r="R10" s="29"/>
      <c r="S10" s="29"/>
      <c r="T10" s="29"/>
      <c r="U10" s="29"/>
      <c r="V10" s="29"/>
      <c r="W10" s="31"/>
      <c r="X10" s="28" t="s">
        <v>98</v>
      </c>
      <c r="Y10" s="29"/>
      <c r="Z10" s="31"/>
      <c r="AA10" s="28" t="s">
        <v>57</v>
      </c>
      <c r="AB10" s="29"/>
      <c r="AC10" s="29"/>
      <c r="AD10" s="29"/>
      <c r="AE10" s="29"/>
      <c r="AF10" s="29"/>
      <c r="AG10" s="29"/>
      <c r="AH10" s="29"/>
      <c r="AI10" s="31"/>
    </row>
    <row r="11" ht="17.1" customHeight="1" spans="1:35" s="41" customFormat="1" x14ac:dyDescent="0.25">
      <c r="A11" s="511" t="s">
        <v>145</v>
      </c>
      <c r="B11" s="512"/>
      <c r="C11" s="512"/>
      <c r="D11" s="512"/>
      <c r="E11" s="512"/>
      <c r="F11" s="512"/>
      <c r="G11" s="512"/>
      <c r="H11" s="38" t="s">
        <v>14</v>
      </c>
      <c r="I11" s="36"/>
      <c r="J11" s="36" t="s">
        <v>15</v>
      </c>
      <c r="K11" s="36"/>
      <c r="L11" s="36" t="s">
        <v>146</v>
      </c>
      <c r="M11" s="36"/>
      <c r="N11" s="36" t="s">
        <v>17</v>
      </c>
      <c r="O11" s="513"/>
      <c r="P11" s="38" t="s">
        <v>14</v>
      </c>
      <c r="Q11" s="36"/>
      <c r="R11" s="36" t="s">
        <v>15</v>
      </c>
      <c r="S11" s="36"/>
      <c r="T11" s="36" t="s">
        <v>146</v>
      </c>
      <c r="U11" s="36"/>
      <c r="V11" s="36" t="s">
        <v>17</v>
      </c>
      <c r="W11" s="513"/>
      <c r="X11" s="40"/>
      <c r="Y11" s="36"/>
      <c r="Z11" s="513"/>
      <c r="AA11" s="40"/>
      <c r="AB11" s="36"/>
      <c r="AC11" s="36"/>
      <c r="AD11" s="36"/>
      <c r="AE11" s="36"/>
      <c r="AF11" s="36"/>
      <c r="AG11" s="36"/>
      <c r="AH11" s="36"/>
      <c r="AI11" s="513"/>
    </row>
    <row r="12" ht="17.1" customHeight="1" spans="1:35" s="41" customFormat="1" x14ac:dyDescent="0.25">
      <c r="A12" s="514" t="s">
        <v>147</v>
      </c>
      <c r="B12" s="515"/>
      <c r="C12" s="516"/>
      <c r="D12" s="281"/>
      <c r="E12" s="282"/>
      <c r="F12" s="282"/>
      <c r="G12" s="517"/>
      <c r="H12" s="518"/>
      <c r="I12" s="49"/>
      <c r="J12" s="519"/>
      <c r="K12" s="49"/>
      <c r="L12" s="519"/>
      <c r="M12" s="49"/>
      <c r="N12" s="519"/>
      <c r="O12" s="48"/>
      <c r="P12" s="518"/>
      <c r="Q12" s="49"/>
      <c r="R12" s="519"/>
      <c r="S12" s="49"/>
      <c r="T12" s="519"/>
      <c r="U12" s="49"/>
      <c r="V12" s="519"/>
      <c r="W12" s="48"/>
      <c r="X12" s="518">
        <f t="shared" ref="X12:X17" si="0">SUM(H12:W12)</f>
        <v>109</v>
      </c>
      <c r="Y12" s="520"/>
      <c r="Z12" s="521"/>
      <c r="AA12" s="522" t="s">
        <v>148</v>
      </c>
      <c r="AB12" s="523"/>
      <c r="AC12" s="523"/>
      <c r="AD12" s="523"/>
      <c r="AE12" s="523"/>
      <c r="AF12" s="523"/>
      <c r="AG12" s="523"/>
      <c r="AH12" s="523"/>
      <c r="AI12" s="524"/>
    </row>
    <row r="13" ht="17.1" customHeight="1" spans="1:35" s="41" customFormat="1" x14ac:dyDescent="0.25">
      <c r="A13" s="525"/>
      <c r="B13" s="526"/>
      <c r="C13" s="527"/>
      <c r="D13" s="253"/>
      <c r="E13" s="331"/>
      <c r="F13" s="331"/>
      <c r="G13" s="528"/>
      <c r="H13" s="529"/>
      <c r="I13" s="57"/>
      <c r="J13" s="530"/>
      <c r="K13" s="57"/>
      <c r="L13" s="530"/>
      <c r="M13" s="57"/>
      <c r="N13" s="530"/>
      <c r="O13" s="56"/>
      <c r="P13" s="529"/>
      <c r="Q13" s="57"/>
      <c r="R13" s="530"/>
      <c r="S13" s="57"/>
      <c r="T13" s="530"/>
      <c r="U13" s="57"/>
      <c r="V13" s="530"/>
      <c r="W13" s="56"/>
      <c r="X13" s="529">
        <f t="shared" si="0"/>
        <v>91</v>
      </c>
      <c r="Y13" s="531"/>
      <c r="Z13" s="532"/>
      <c r="AA13" s="533" t="s">
        <v>149</v>
      </c>
      <c r="AB13" s="534"/>
      <c r="AC13" s="534"/>
      <c r="AD13" s="534"/>
      <c r="AE13" s="534"/>
      <c r="AF13" s="534"/>
      <c r="AG13" s="534"/>
      <c r="AH13" s="534"/>
      <c r="AI13" s="535"/>
    </row>
    <row r="14" ht="17.1" customHeight="1" spans="1:35" s="41" customFormat="1" x14ac:dyDescent="0.25">
      <c r="A14" s="525"/>
      <c r="B14" s="526"/>
      <c r="C14" s="527"/>
      <c r="D14" s="253"/>
      <c r="E14" s="331"/>
      <c r="F14" s="331"/>
      <c r="G14" s="528"/>
      <c r="H14" s="529"/>
      <c r="I14" s="57"/>
      <c r="J14" s="530"/>
      <c r="K14" s="57"/>
      <c r="L14" s="530"/>
      <c r="M14" s="57"/>
      <c r="N14" s="530"/>
      <c r="O14" s="56"/>
      <c r="P14" s="529"/>
      <c r="Q14" s="57"/>
      <c r="R14" s="530"/>
      <c r="S14" s="57"/>
      <c r="T14" s="530"/>
      <c r="U14" s="57"/>
      <c r="V14" s="530"/>
      <c r="W14" s="56"/>
      <c r="X14" s="529">
        <f t="shared" si="0"/>
        <v>107</v>
      </c>
      <c r="Y14" s="531"/>
      <c r="Z14" s="532"/>
      <c r="AA14" s="533"/>
      <c r="AB14" s="534"/>
      <c r="AC14" s="534"/>
      <c r="AD14" s="534"/>
      <c r="AE14" s="534"/>
      <c r="AF14" s="534"/>
      <c r="AG14" s="534"/>
      <c r="AH14" s="534"/>
      <c r="AI14" s="535"/>
    </row>
    <row r="15" ht="17.1" customHeight="1" spans="1:35" s="41" customFormat="1" x14ac:dyDescent="0.25">
      <c r="A15" s="525"/>
      <c r="B15" s="526"/>
      <c r="C15" s="527"/>
      <c r="D15" s="253"/>
      <c r="E15" s="331"/>
      <c r="F15" s="331"/>
      <c r="G15" s="528"/>
      <c r="H15" s="529"/>
      <c r="I15" s="57"/>
      <c r="J15" s="530"/>
      <c r="K15" s="57"/>
      <c r="L15" s="530"/>
      <c r="M15" s="57"/>
      <c r="N15" s="530"/>
      <c r="O15" s="56"/>
      <c r="P15" s="529"/>
      <c r="Q15" s="57"/>
      <c r="R15" s="530"/>
      <c r="S15" s="57"/>
      <c r="T15" s="530"/>
      <c r="U15" s="57"/>
      <c r="V15" s="530"/>
      <c r="W15" s="56"/>
      <c r="X15" s="529">
        <f t="shared" si="0"/>
        <v>42</v>
      </c>
      <c r="Y15" s="531"/>
      <c r="Z15" s="532"/>
      <c r="AA15" s="533" t="s">
        <v>150</v>
      </c>
      <c r="AB15" s="534"/>
      <c r="AC15" s="534"/>
      <c r="AD15" s="534"/>
      <c r="AE15" s="534"/>
      <c r="AF15" s="534"/>
      <c r="AG15" s="534"/>
      <c r="AH15" s="534"/>
      <c r="AI15" s="535"/>
    </row>
    <row r="16" ht="17.1" customHeight="1" spans="1:35" s="41" customFormat="1" x14ac:dyDescent="0.25">
      <c r="A16" s="525"/>
      <c r="B16" s="526"/>
      <c r="C16" s="527"/>
      <c r="D16" s="253"/>
      <c r="E16" s="331"/>
      <c r="F16" s="331"/>
      <c r="G16" s="528"/>
      <c r="H16" s="529"/>
      <c r="I16" s="57"/>
      <c r="J16" s="530"/>
      <c r="K16" s="57"/>
      <c r="L16" s="530"/>
      <c r="M16" s="57"/>
      <c r="N16" s="530"/>
      <c r="O16" s="56"/>
      <c r="P16" s="529"/>
      <c r="Q16" s="57"/>
      <c r="R16" s="530"/>
      <c r="S16" s="57"/>
      <c r="T16" s="530"/>
      <c r="U16" s="57"/>
      <c r="V16" s="530"/>
      <c r="W16" s="56"/>
      <c r="X16" s="529">
        <f t="shared" si="0"/>
        <v>0</v>
      </c>
      <c r="Y16" s="531"/>
      <c r="Z16" s="532"/>
      <c r="AA16" s="536"/>
      <c r="AB16" s="537"/>
      <c r="AC16" s="537"/>
      <c r="AD16" s="537"/>
      <c r="AE16" s="537"/>
      <c r="AF16" s="537"/>
      <c r="AG16" s="537"/>
      <c r="AH16" s="537"/>
      <c r="AI16" s="538"/>
    </row>
    <row r="17" ht="17.1" customHeight="1" spans="1:35" s="41" customFormat="1" x14ac:dyDescent="0.25">
      <c r="A17" s="525"/>
      <c r="B17" s="526"/>
      <c r="C17" s="527"/>
      <c r="D17" s="539"/>
      <c r="E17" s="37"/>
      <c r="F17" s="37"/>
      <c r="G17" s="39"/>
      <c r="H17" s="540"/>
      <c r="I17" s="402"/>
      <c r="J17" s="541"/>
      <c r="K17" s="402"/>
      <c r="L17" s="541"/>
      <c r="M17" s="402"/>
      <c r="N17" s="541"/>
      <c r="O17" s="542"/>
      <c r="P17" s="540"/>
      <c r="Q17" s="402"/>
      <c r="R17" s="541"/>
      <c r="S17" s="402"/>
      <c r="T17" s="541"/>
      <c r="U17" s="402"/>
      <c r="V17" s="541"/>
      <c r="W17" s="542"/>
      <c r="X17" s="540">
        <f t="shared" si="0"/>
        <v>0</v>
      </c>
      <c r="Y17" s="543"/>
      <c r="Z17" s="544"/>
      <c r="AA17" s="545"/>
      <c r="AB17" s="546"/>
      <c r="AC17" s="546"/>
      <c r="AD17" s="546"/>
      <c r="AE17" s="546"/>
      <c r="AF17" s="546"/>
      <c r="AG17" s="546"/>
      <c r="AH17" s="546"/>
      <c r="AI17" s="547"/>
    </row>
    <row r="18" ht="20.1" customHeight="1" spans="1:35" s="41" customFormat="1" x14ac:dyDescent="0.25">
      <c r="A18" s="548"/>
      <c r="B18" s="549"/>
      <c r="C18" s="550"/>
      <c r="D18" s="551" t="s">
        <v>151</v>
      </c>
      <c r="E18" s="552"/>
      <c r="F18" s="552"/>
      <c r="G18" s="553"/>
      <c r="H18" s="554">
        <f>SUM(H12:I17)</f>
        <v>79</v>
      </c>
      <c r="I18" s="555"/>
      <c r="J18" s="556">
        <f>SUM(J12:K17)</f>
        <v>0</v>
      </c>
      <c r="K18" s="555"/>
      <c r="L18" s="556">
        <f>SUM(L12:M17)</f>
        <v>261</v>
      </c>
      <c r="M18" s="555"/>
      <c r="N18" s="556">
        <f>SUM(N12:O17)</f>
        <v>0</v>
      </c>
      <c r="O18" s="557"/>
      <c r="P18" s="554">
        <f>SUM(P12:Q17)</f>
        <v>9</v>
      </c>
      <c r="Q18" s="555"/>
      <c r="R18" s="556">
        <f>SUM(R12:S17)</f>
        <v>0</v>
      </c>
      <c r="S18" s="555"/>
      <c r="T18" s="556">
        <f>SUM(T12:U17)</f>
        <v>0</v>
      </c>
      <c r="U18" s="555"/>
      <c r="V18" s="556">
        <f>SUM(V12:W17)</f>
        <v>0</v>
      </c>
      <c r="W18" s="557"/>
      <c r="X18" s="558">
        <f t="shared" ref="X18" si="1">SUM(H18:W18)</f>
        <v>349</v>
      </c>
      <c r="Y18" s="559"/>
      <c r="Z18" s="560"/>
      <c r="AA18" s="561"/>
      <c r="AB18" s="562"/>
      <c r="AC18" s="562"/>
      <c r="AD18" s="562"/>
      <c r="AE18" s="562"/>
      <c r="AF18" s="562"/>
      <c r="AG18" s="562"/>
      <c r="AH18" s="562"/>
      <c r="AI18" s="563"/>
    </row>
    <row r="19" ht="17.1" customHeight="1" spans="1:35" s="41" customFormat="1" x14ac:dyDescent="0.25">
      <c r="A19" s="564" t="s">
        <v>152</v>
      </c>
      <c r="B19" s="565"/>
      <c r="C19" s="566"/>
      <c r="D19" s="30"/>
      <c r="E19" s="26"/>
      <c r="F19" s="26"/>
      <c r="G19" s="27"/>
      <c r="H19" s="567"/>
      <c r="I19" s="89"/>
      <c r="J19" s="107"/>
      <c r="K19" s="89"/>
      <c r="L19" s="107"/>
      <c r="M19" s="89"/>
      <c r="N19" s="107"/>
      <c r="O19" s="88"/>
      <c r="P19" s="567"/>
      <c r="Q19" s="89"/>
      <c r="R19" s="107"/>
      <c r="S19" s="89"/>
      <c r="T19" s="107"/>
      <c r="U19" s="89"/>
      <c r="V19" s="107"/>
      <c r="W19" s="88"/>
      <c r="X19" s="568">
        <f t="shared" ref="X19:X25" si="2">SUM(H19:W19)</f>
        <v>32</v>
      </c>
      <c r="Y19" s="569"/>
      <c r="Z19" s="570"/>
      <c r="AA19" s="571" t="s">
        <v>153</v>
      </c>
      <c r="AB19" s="572"/>
      <c r="AC19" s="572"/>
      <c r="AD19" s="572"/>
      <c r="AE19" s="572"/>
      <c r="AF19" s="572"/>
      <c r="AG19" s="572"/>
      <c r="AH19" s="572"/>
      <c r="AI19" s="573"/>
    </row>
    <row r="20" ht="17.1" customHeight="1" spans="1:35" s="41" customFormat="1" x14ac:dyDescent="0.25">
      <c r="A20" s="525"/>
      <c r="B20" s="526"/>
      <c r="C20" s="527"/>
      <c r="D20" s="253"/>
      <c r="E20" s="331"/>
      <c r="F20" s="331"/>
      <c r="G20" s="528"/>
      <c r="H20" s="529"/>
      <c r="I20" s="57"/>
      <c r="J20" s="530"/>
      <c r="K20" s="57"/>
      <c r="L20" s="530"/>
      <c r="M20" s="57"/>
      <c r="N20" s="530"/>
      <c r="O20" s="56"/>
      <c r="P20" s="529"/>
      <c r="Q20" s="57"/>
      <c r="R20" s="530"/>
      <c r="S20" s="57"/>
      <c r="T20" s="530"/>
      <c r="U20" s="57"/>
      <c r="V20" s="530"/>
      <c r="W20" s="56"/>
      <c r="X20" s="529">
        <f t="shared" si="2"/>
        <v>122</v>
      </c>
      <c r="Y20" s="531"/>
      <c r="Z20" s="532"/>
      <c r="AA20" s="574" t="s">
        <v>154</v>
      </c>
      <c r="AB20" s="575"/>
      <c r="AC20" s="575"/>
      <c r="AD20" s="575"/>
      <c r="AE20" s="575"/>
      <c r="AF20" s="575"/>
      <c r="AG20" s="575"/>
      <c r="AH20" s="575"/>
      <c r="AI20" s="576"/>
    </row>
    <row r="21" ht="17.1" customHeight="1" spans="1:35" s="41" customFormat="1" x14ac:dyDescent="0.25">
      <c r="A21" s="525"/>
      <c r="B21" s="526"/>
      <c r="C21" s="527"/>
      <c r="D21" s="253"/>
      <c r="E21" s="331"/>
      <c r="F21" s="331"/>
      <c r="G21" s="528"/>
      <c r="H21" s="529"/>
      <c r="I21" s="57"/>
      <c r="J21" s="530"/>
      <c r="K21" s="57"/>
      <c r="L21" s="530"/>
      <c r="M21" s="57"/>
      <c r="N21" s="530"/>
      <c r="O21" s="56"/>
      <c r="P21" s="529"/>
      <c r="Q21" s="57"/>
      <c r="R21" s="530"/>
      <c r="S21" s="57"/>
      <c r="T21" s="530"/>
      <c r="U21" s="57"/>
      <c r="V21" s="530"/>
      <c r="W21" s="56"/>
      <c r="X21" s="529">
        <f t="shared" si="2"/>
        <v>120</v>
      </c>
      <c r="Y21" s="531"/>
      <c r="Z21" s="532"/>
      <c r="AA21" s="574" t="s">
        <v>155</v>
      </c>
      <c r="AB21" s="575"/>
      <c r="AC21" s="575"/>
      <c r="AD21" s="575"/>
      <c r="AE21" s="575"/>
      <c r="AF21" s="575"/>
      <c r="AG21" s="575"/>
      <c r="AH21" s="575"/>
      <c r="AI21" s="576"/>
    </row>
    <row r="22" ht="17.1" customHeight="1" spans="1:35" s="41" customFormat="1" x14ac:dyDescent="0.25">
      <c r="A22" s="525"/>
      <c r="B22" s="526"/>
      <c r="C22" s="527"/>
      <c r="D22" s="253"/>
      <c r="E22" s="331"/>
      <c r="F22" s="331"/>
      <c r="G22" s="528"/>
      <c r="H22" s="529"/>
      <c r="I22" s="57"/>
      <c r="J22" s="530"/>
      <c r="K22" s="57"/>
      <c r="L22" s="530"/>
      <c r="M22" s="57"/>
      <c r="N22" s="530"/>
      <c r="O22" s="56"/>
      <c r="P22" s="529"/>
      <c r="Q22" s="57"/>
      <c r="R22" s="530"/>
      <c r="S22" s="57"/>
      <c r="T22" s="530"/>
      <c r="U22" s="57"/>
      <c r="V22" s="530"/>
      <c r="W22" s="56"/>
      <c r="X22" s="529">
        <f t="shared" si="2"/>
        <v>9</v>
      </c>
      <c r="Y22" s="531"/>
      <c r="Z22" s="532"/>
      <c r="AA22" s="574" t="s">
        <v>156</v>
      </c>
      <c r="AB22" s="575"/>
      <c r="AC22" s="575"/>
      <c r="AD22" s="575"/>
      <c r="AE22" s="575"/>
      <c r="AF22" s="575"/>
      <c r="AG22" s="575"/>
      <c r="AH22" s="575"/>
      <c r="AI22" s="576"/>
    </row>
    <row r="23" ht="17.1" customHeight="1" spans="1:35" s="41" customFormat="1" x14ac:dyDescent="0.25">
      <c r="A23" s="525"/>
      <c r="B23" s="526"/>
      <c r="C23" s="527"/>
      <c r="D23" s="253"/>
      <c r="E23" s="331"/>
      <c r="F23" s="331"/>
      <c r="G23" s="528"/>
      <c r="H23" s="529"/>
      <c r="I23" s="57"/>
      <c r="J23" s="530"/>
      <c r="K23" s="57"/>
      <c r="L23" s="530"/>
      <c r="M23" s="57"/>
      <c r="N23" s="530"/>
      <c r="O23" s="56"/>
      <c r="P23" s="529"/>
      <c r="Q23" s="57"/>
      <c r="R23" s="530"/>
      <c r="S23" s="57"/>
      <c r="T23" s="530"/>
      <c r="U23" s="57"/>
      <c r="V23" s="530"/>
      <c r="W23" s="56"/>
      <c r="X23" s="529">
        <f t="shared" si="2"/>
        <v>1</v>
      </c>
      <c r="Y23" s="531"/>
      <c r="Z23" s="532"/>
      <c r="AA23" s="574"/>
      <c r="AB23" s="575"/>
      <c r="AC23" s="575"/>
      <c r="AD23" s="575"/>
      <c r="AE23" s="575"/>
      <c r="AF23" s="575"/>
      <c r="AG23" s="575"/>
      <c r="AH23" s="575"/>
      <c r="AI23" s="576"/>
    </row>
    <row r="24" ht="17.1" customHeight="1" spans="1:35" s="41" customFormat="1" x14ac:dyDescent="0.25">
      <c r="A24" s="525"/>
      <c r="B24" s="526"/>
      <c r="C24" s="527"/>
      <c r="D24" s="253"/>
      <c r="E24" s="331"/>
      <c r="F24" s="331"/>
      <c r="G24" s="528"/>
      <c r="H24" s="529"/>
      <c r="I24" s="57"/>
      <c r="J24" s="530"/>
      <c r="K24" s="57"/>
      <c r="L24" s="530"/>
      <c r="M24" s="57"/>
      <c r="N24" s="530"/>
      <c r="O24" s="56"/>
      <c r="P24" s="529"/>
      <c r="Q24" s="57"/>
      <c r="R24" s="530"/>
      <c r="S24" s="57"/>
      <c r="T24" s="530"/>
      <c r="U24" s="57"/>
      <c r="V24" s="530"/>
      <c r="W24" s="56"/>
      <c r="X24" s="529">
        <f t="shared" si="2"/>
        <v>0</v>
      </c>
      <c r="Y24" s="531"/>
      <c r="Z24" s="532"/>
      <c r="AA24" s="574"/>
      <c r="AB24" s="575"/>
      <c r="AC24" s="575"/>
      <c r="AD24" s="575"/>
      <c r="AE24" s="575"/>
      <c r="AF24" s="575"/>
      <c r="AG24" s="575"/>
      <c r="AH24" s="575"/>
      <c r="AI24" s="576"/>
    </row>
    <row r="25" ht="17.1" customHeight="1" spans="1:35" s="41" customFormat="1" x14ac:dyDescent="0.25">
      <c r="A25" s="525"/>
      <c r="B25" s="526"/>
      <c r="C25" s="527"/>
      <c r="D25" s="577"/>
      <c r="E25" s="37"/>
      <c r="F25" s="37"/>
      <c r="G25" s="39"/>
      <c r="H25" s="540"/>
      <c r="I25" s="402"/>
      <c r="J25" s="541"/>
      <c r="K25" s="402"/>
      <c r="L25" s="541"/>
      <c r="M25" s="402"/>
      <c r="N25" s="541"/>
      <c r="O25" s="542"/>
      <c r="P25" s="540"/>
      <c r="Q25" s="402"/>
      <c r="R25" s="541"/>
      <c r="S25" s="402"/>
      <c r="T25" s="541"/>
      <c r="U25" s="402"/>
      <c r="V25" s="541"/>
      <c r="W25" s="542"/>
      <c r="X25" s="540">
        <f t="shared" si="2"/>
        <v>0</v>
      </c>
      <c r="Y25" s="543"/>
      <c r="Z25" s="544"/>
      <c r="AA25" s="578"/>
      <c r="AB25" s="579"/>
      <c r="AC25" s="579"/>
      <c r="AD25" s="579"/>
      <c r="AE25" s="579"/>
      <c r="AF25" s="579"/>
      <c r="AG25" s="579"/>
      <c r="AH25" s="579"/>
      <c r="AI25" s="580"/>
    </row>
    <row r="26" ht="20.1" customHeight="1" spans="1:35" s="41" customFormat="1" x14ac:dyDescent="0.25">
      <c r="A26" s="548"/>
      <c r="B26" s="549"/>
      <c r="C26" s="550"/>
      <c r="D26" s="551" t="s">
        <v>151</v>
      </c>
      <c r="E26" s="552"/>
      <c r="F26" s="552"/>
      <c r="G26" s="553"/>
      <c r="H26" s="554">
        <f>SUM(H19:I25)</f>
        <v>133</v>
      </c>
      <c r="I26" s="555"/>
      <c r="J26" s="556">
        <f>SUM(J19:K25)</f>
        <v>0</v>
      </c>
      <c r="K26" s="555"/>
      <c r="L26" s="556">
        <f>SUM(L19:M25)</f>
        <v>69</v>
      </c>
      <c r="M26" s="555"/>
      <c r="N26" s="556">
        <f>SUM(N19:O25)</f>
        <v>0</v>
      </c>
      <c r="O26" s="557"/>
      <c r="P26" s="554">
        <f>SUM(P19:Q25)</f>
        <v>11</v>
      </c>
      <c r="Q26" s="555"/>
      <c r="R26" s="556">
        <f>SUM(R19:S25)</f>
        <v>0</v>
      </c>
      <c r="S26" s="555"/>
      <c r="T26" s="556">
        <f>SUM(T19:U25)</f>
        <v>71</v>
      </c>
      <c r="U26" s="555"/>
      <c r="V26" s="556">
        <f>SUM(V19:W25)</f>
        <v>0</v>
      </c>
      <c r="W26" s="557"/>
      <c r="X26" s="554">
        <f>SUM(X19:Z25)</f>
        <v>284</v>
      </c>
      <c r="Y26" s="581"/>
      <c r="Z26" s="557"/>
      <c r="AA26" s="561"/>
      <c r="AB26" s="562"/>
      <c r="AC26" s="562"/>
      <c r="AD26" s="562"/>
      <c r="AE26" s="562"/>
      <c r="AF26" s="562"/>
      <c r="AG26" s="562"/>
      <c r="AH26" s="562"/>
      <c r="AI26" s="563"/>
    </row>
    <row r="27" ht="17.1" customHeight="1" spans="1:35" s="41" customFormat="1" x14ac:dyDescent="0.25">
      <c r="A27" s="582" t="s">
        <v>157</v>
      </c>
      <c r="B27" s="583"/>
      <c r="C27" s="584"/>
      <c r="D27" s="30" t="s">
        <v>158</v>
      </c>
      <c r="E27" s="26"/>
      <c r="F27" s="26"/>
      <c r="G27" s="27"/>
      <c r="H27" s="567"/>
      <c r="I27" s="109"/>
      <c r="J27" s="107"/>
      <c r="K27" s="109"/>
      <c r="L27" s="107"/>
      <c r="M27" s="109"/>
      <c r="N27" s="107"/>
      <c r="O27" s="585"/>
      <c r="P27" s="567"/>
      <c r="Q27" s="109"/>
      <c r="R27" s="107"/>
      <c r="S27" s="109"/>
      <c r="T27" s="107"/>
      <c r="U27" s="109"/>
      <c r="V27" s="107"/>
      <c r="W27" s="585"/>
      <c r="X27" s="567"/>
      <c r="Y27" s="586"/>
      <c r="Z27" s="585"/>
      <c r="AA27" s="587"/>
      <c r="AB27" s="588"/>
      <c r="AC27" s="588"/>
      <c r="AD27" s="588"/>
      <c r="AE27" s="588"/>
      <c r="AF27" s="588"/>
      <c r="AG27" s="588"/>
      <c r="AH27" s="588"/>
      <c r="AI27" s="589"/>
    </row>
    <row r="28" ht="17.1" customHeight="1" spans="1:35" s="41" customFormat="1" x14ac:dyDescent="0.25">
      <c r="A28" s="590"/>
      <c r="B28" s="591"/>
      <c r="C28" s="400"/>
      <c r="D28" s="539" t="s">
        <v>158</v>
      </c>
      <c r="E28" s="37"/>
      <c r="F28" s="37"/>
      <c r="G28" s="39"/>
      <c r="H28" s="540"/>
      <c r="I28" s="592"/>
      <c r="J28" s="541"/>
      <c r="K28" s="592"/>
      <c r="L28" s="541"/>
      <c r="M28" s="592"/>
      <c r="N28" s="541"/>
      <c r="O28" s="544"/>
      <c r="P28" s="540"/>
      <c r="Q28" s="592"/>
      <c r="R28" s="541"/>
      <c r="S28" s="592"/>
      <c r="T28" s="541"/>
      <c r="U28" s="592"/>
      <c r="V28" s="541"/>
      <c r="W28" s="544"/>
      <c r="X28" s="540"/>
      <c r="Y28" s="543"/>
      <c r="Z28" s="544"/>
      <c r="AA28" s="593"/>
      <c r="AB28" s="594"/>
      <c r="AC28" s="594"/>
      <c r="AD28" s="594"/>
      <c r="AE28" s="594"/>
      <c r="AF28" s="594"/>
      <c r="AG28" s="594"/>
      <c r="AH28" s="594"/>
      <c r="AI28" s="595"/>
    </row>
    <row r="29" ht="20.1" customHeight="1" spans="1:35" s="41" customFormat="1" x14ac:dyDescent="0.25">
      <c r="A29" s="596" t="s">
        <v>159</v>
      </c>
      <c r="B29" s="552"/>
      <c r="C29" s="552"/>
      <c r="D29" s="552"/>
      <c r="E29" s="552"/>
      <c r="F29" s="552"/>
      <c r="G29" s="553"/>
      <c r="H29" s="554">
        <f>SUM(H18+H26+H27+H28)</f>
        <v>212</v>
      </c>
      <c r="I29" s="555"/>
      <c r="J29" s="556">
        <f>SUM(J18+J26+J27+J28)</f>
        <v>0</v>
      </c>
      <c r="K29" s="555"/>
      <c r="L29" s="556">
        <f>SUM(L18+L26+L27+L28)</f>
        <v>330</v>
      </c>
      <c r="M29" s="555"/>
      <c r="N29" s="556">
        <f>SUM(N18+N26+N27+N28)</f>
        <v>0</v>
      </c>
      <c r="O29" s="557"/>
      <c r="P29" s="554">
        <f>SUM(P18+P26+P27+P28)</f>
        <v>20</v>
      </c>
      <c r="Q29" s="555"/>
      <c r="R29" s="556">
        <f>SUM(R18+R26+R27+R28)</f>
        <v>0</v>
      </c>
      <c r="S29" s="555"/>
      <c r="T29" s="556">
        <f>SUM(T18+T26+T27+T28)</f>
        <v>71</v>
      </c>
      <c r="U29" s="555"/>
      <c r="V29" s="556">
        <f>SUM(V18+V26+V27+V28)</f>
        <v>0</v>
      </c>
      <c r="W29" s="557"/>
      <c r="X29" s="554">
        <f>SUM(X18+X26+X27+X28)</f>
        <v>633</v>
      </c>
      <c r="Y29" s="581"/>
      <c r="Z29" s="557"/>
      <c r="AA29" s="561"/>
      <c r="AB29" s="562"/>
      <c r="AC29" s="562"/>
      <c r="AD29" s="562"/>
      <c r="AE29" s="562"/>
      <c r="AF29" s="562"/>
      <c r="AG29" s="562"/>
      <c r="AH29" s="562"/>
      <c r="AI29" s="563"/>
    </row>
    <row r="30" ht="8.25" customHeight="1" spans="1:25" s="10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10" customFormat="1" x14ac:dyDescent="0.25">
      <c r="A31" s="597" t="s">
        <v>160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3.75" customHeight="1" spans="1:25" s="10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21" customHeight="1" spans="1:35" s="10" customFormat="1" x14ac:dyDescent="0.25">
      <c r="A33" s="598" t="s">
        <v>161</v>
      </c>
      <c r="B33" s="599"/>
      <c r="C33" s="599"/>
      <c r="D33" s="600"/>
      <c r="E33" s="601" t="s">
        <v>162</v>
      </c>
      <c r="F33" s="602"/>
      <c r="G33" s="602"/>
      <c r="H33" s="602"/>
      <c r="I33" s="602"/>
      <c r="J33" s="602"/>
      <c r="K33" s="602" t="s">
        <v>163</v>
      </c>
      <c r="L33" s="602"/>
      <c r="M33" s="602"/>
      <c r="N33" s="602"/>
      <c r="O33" s="602"/>
      <c r="P33" s="603"/>
      <c r="Q33" s="601" t="s">
        <v>164</v>
      </c>
      <c r="R33" s="602"/>
      <c r="S33" s="602"/>
      <c r="T33" s="602"/>
      <c r="U33" s="602"/>
      <c r="V33" s="603"/>
      <c r="W33" s="601" t="s">
        <v>57</v>
      </c>
      <c r="X33" s="602"/>
      <c r="Y33" s="602"/>
      <c r="Z33" s="602"/>
      <c r="AA33" s="602"/>
      <c r="AB33" s="602"/>
      <c r="AC33" s="602"/>
      <c r="AD33" s="602"/>
      <c r="AE33" s="602"/>
      <c r="AF33" s="602"/>
      <c r="AG33" s="602"/>
      <c r="AH33" s="602"/>
      <c r="AI33" s="603"/>
    </row>
    <row r="34" ht="15.75" customHeight="1" spans="1:35" s="604" customFormat="1" x14ac:dyDescent="0.25">
      <c r="A34" s="605" t="s">
        <v>165</v>
      </c>
      <c r="B34" s="606"/>
      <c r="C34" s="606"/>
      <c r="D34" s="607"/>
      <c r="E34" s="608">
        <v>0.4618055555547471</v>
      </c>
      <c r="F34" s="609"/>
      <c r="G34" s="609"/>
      <c r="H34" s="609"/>
      <c r="I34" s="609"/>
      <c r="J34" s="610"/>
      <c r="K34" s="611"/>
      <c r="L34" s="609"/>
      <c r="M34" s="609"/>
      <c r="N34" s="609"/>
      <c r="O34" s="609"/>
      <c r="P34" s="612"/>
      <c r="Q34" s="613">
        <f>IF(AND(NOT(ISBLANK(K34)),NOT(ISBLANK(E34))), IF(K34&gt;E34,K34-E34,24-E34+K34), "")</f>
      </c>
      <c r="R34" s="614"/>
      <c r="S34" s="614"/>
      <c r="T34" s="614"/>
      <c r="U34" s="614"/>
      <c r="V34" s="615"/>
      <c r="W34" s="616" t="s">
        <v>166</v>
      </c>
      <c r="X34" s="617"/>
      <c r="Y34" s="617"/>
      <c r="Z34" s="617"/>
      <c r="AA34" s="617"/>
      <c r="AB34" s="617"/>
      <c r="AC34" s="617"/>
      <c r="AD34" s="617"/>
      <c r="AE34" s="617"/>
      <c r="AF34" s="617"/>
      <c r="AG34" s="617"/>
      <c r="AH34" s="617"/>
      <c r="AI34" s="618"/>
    </row>
    <row r="35" ht="15.75" customHeight="1" spans="1:35" s="604" customFormat="1" x14ac:dyDescent="0.25">
      <c r="A35" s="619" t="s">
        <v>41</v>
      </c>
      <c r="B35" s="55"/>
      <c r="C35" s="55"/>
      <c r="D35" s="56"/>
      <c r="E35" s="608">
        <f>E34</f>
        <v>0.4618055555547471</v>
      </c>
      <c r="F35" s="609"/>
      <c r="G35" s="609"/>
      <c r="H35" s="609"/>
      <c r="I35" s="609"/>
      <c r="J35" s="610"/>
      <c r="K35" s="611">
        <v>0.5</v>
      </c>
      <c r="L35" s="609"/>
      <c r="M35" s="609"/>
      <c r="N35" s="609"/>
      <c r="O35" s="609"/>
      <c r="P35" s="612"/>
      <c r="Q35" s="613">
        <f>IF(AND(NOT(ISBLANK(K35)),NOT(ISBLANK(E35))), IF(K35&gt;E35,K35-E35,24-E35+K35), "")</f>
        <v>0.038194444445252884</v>
      </c>
      <c r="R35" s="614"/>
      <c r="S35" s="614"/>
      <c r="T35" s="614"/>
      <c r="U35" s="614"/>
      <c r="V35" s="615"/>
      <c r="W35" s="620" t="s">
        <v>167</v>
      </c>
      <c r="X35" s="621"/>
      <c r="Y35" s="621"/>
      <c r="Z35" s="621"/>
      <c r="AA35" s="621"/>
      <c r="AB35" s="621"/>
      <c r="AC35" s="621"/>
      <c r="AD35" s="621"/>
      <c r="AE35" s="621"/>
      <c r="AF35" s="621"/>
      <c r="AG35" s="621"/>
      <c r="AH35" s="621"/>
      <c r="AI35" s="622"/>
    </row>
    <row r="36" ht="15.75" customHeight="1" spans="1:35" s="604" customFormat="1" x14ac:dyDescent="0.25">
      <c r="A36" s="619"/>
      <c r="B36" s="55"/>
      <c r="C36" s="55"/>
      <c r="D36" s="56"/>
      <c r="E36" s="608">
        <f>K35</f>
        <v>0.5</v>
      </c>
      <c r="F36" s="609"/>
      <c r="G36" s="609"/>
      <c r="H36" s="609"/>
      <c r="I36" s="609"/>
      <c r="J36" s="610"/>
      <c r="K36" s="611">
        <v>0.5416666666678793</v>
      </c>
      <c r="L36" s="609"/>
      <c r="M36" s="609"/>
      <c r="N36" s="609"/>
      <c r="O36" s="609"/>
      <c r="P36" s="612"/>
      <c r="Q36" s="613">
        <f t="shared" ref="Q36" si="3">IF(AND(NOT(ISBLANK(K36)),NOT(ISBLANK(E36))), IF(K36&gt;E36,K36-E36,24-E36+K36), "")</f>
        <v>0.041666666667879326</v>
      </c>
      <c r="R36" s="614"/>
      <c r="S36" s="614"/>
      <c r="T36" s="614"/>
      <c r="U36" s="614"/>
      <c r="V36" s="615"/>
      <c r="W36" s="620" t="s">
        <v>168</v>
      </c>
      <c r="X36" s="621"/>
      <c r="Y36" s="621"/>
      <c r="Z36" s="621"/>
      <c r="AA36" s="621"/>
      <c r="AB36" s="621"/>
      <c r="AC36" s="621"/>
      <c r="AD36" s="621"/>
      <c r="AE36" s="621"/>
      <c r="AF36" s="621"/>
      <c r="AG36" s="621"/>
      <c r="AH36" s="621"/>
      <c r="AI36" s="622"/>
    </row>
    <row r="37" ht="15.75" customHeight="1" spans="1:35" s="604" customFormat="1" x14ac:dyDescent="0.25">
      <c r="A37" s="619"/>
      <c r="B37" s="55"/>
      <c r="C37" s="55"/>
      <c r="D37" s="56"/>
      <c r="E37" s="608">
        <f>K36</f>
        <v>0.5416666666678793</v>
      </c>
      <c r="F37" s="609"/>
      <c r="G37" s="609"/>
      <c r="H37" s="609"/>
      <c r="I37" s="609"/>
      <c r="J37" s="610"/>
      <c r="K37" s="611">
        <v>0.5902777777773736</v>
      </c>
      <c r="L37" s="609"/>
      <c r="M37" s="609"/>
      <c r="N37" s="609"/>
      <c r="O37" s="609"/>
      <c r="P37" s="612"/>
      <c r="Q37" s="613">
        <f t="shared" ref="Q37:Q38" si="4">IF(AND(NOT(ISBLANK(K37)),NOT(ISBLANK(E37))), IF(K37&gt;E37,K37-E37,24-E37+K37), "")</f>
        <v>0.04861111110949423</v>
      </c>
      <c r="R37" s="614"/>
      <c r="S37" s="614"/>
      <c r="T37" s="614"/>
      <c r="U37" s="614"/>
      <c r="V37" s="615"/>
      <c r="W37" s="620" t="s">
        <v>167</v>
      </c>
      <c r="X37" s="621"/>
      <c r="Y37" s="621"/>
      <c r="Z37" s="621"/>
      <c r="AA37" s="621"/>
      <c r="AB37" s="621"/>
      <c r="AC37" s="621"/>
      <c r="AD37" s="621"/>
      <c r="AE37" s="621"/>
      <c r="AF37" s="621"/>
      <c r="AG37" s="621"/>
      <c r="AH37" s="621"/>
      <c r="AI37" s="622"/>
    </row>
    <row r="38" ht="15.75" customHeight="1" spans="1:35" s="604" customFormat="1" x14ac:dyDescent="0.25">
      <c r="A38" s="619"/>
      <c r="B38" s="55"/>
      <c r="C38" s="55"/>
      <c r="D38" s="56"/>
      <c r="E38" s="608"/>
      <c r="F38" s="609"/>
      <c r="G38" s="609"/>
      <c r="H38" s="609"/>
      <c r="I38" s="609"/>
      <c r="J38" s="610"/>
      <c r="K38" s="611">
        <f>K37</f>
        <v>0.5902777777773736</v>
      </c>
      <c r="L38" s="609"/>
      <c r="M38" s="609"/>
      <c r="N38" s="609"/>
      <c r="O38" s="609"/>
      <c r="P38" s="612"/>
      <c r="Q38" s="613">
        <f t="shared" si="4"/>
      </c>
      <c r="R38" s="614"/>
      <c r="S38" s="614"/>
      <c r="T38" s="614"/>
      <c r="U38" s="614"/>
      <c r="V38" s="615"/>
      <c r="W38" s="620" t="s">
        <v>169</v>
      </c>
      <c r="X38" s="621"/>
      <c r="Y38" s="621"/>
      <c r="Z38" s="621"/>
      <c r="AA38" s="621"/>
      <c r="AB38" s="621"/>
      <c r="AC38" s="621"/>
      <c r="AD38" s="621"/>
      <c r="AE38" s="621"/>
      <c r="AF38" s="621"/>
      <c r="AG38" s="621"/>
      <c r="AH38" s="621"/>
      <c r="AI38" s="622"/>
    </row>
    <row r="39" ht="15.75" customHeight="1" hidden="1" spans="1:35" s="604" customFormat="1" x14ac:dyDescent="0.25">
      <c r="A39" s="619"/>
      <c r="B39" s="55"/>
      <c r="C39" s="55"/>
      <c r="D39" s="56"/>
      <c r="E39" s="608"/>
      <c r="F39" s="609"/>
      <c r="G39" s="609"/>
      <c r="H39" s="609"/>
      <c r="I39" s="609"/>
      <c r="J39" s="610"/>
      <c r="K39" s="611"/>
      <c r="L39" s="609"/>
      <c r="M39" s="609"/>
      <c r="N39" s="609"/>
      <c r="O39" s="609"/>
      <c r="P39" s="612"/>
      <c r="Q39" s="613">
        <f t="shared" ref="Q39" si="5">IF(AND(NOT(ISBLANK(K39)),NOT(ISBLANK(E39))), IF(K39&gt;E39,K39-E39,24-E39+K39), "")</f>
      </c>
      <c r="R39" s="614"/>
      <c r="S39" s="614"/>
      <c r="T39" s="614"/>
      <c r="U39" s="614"/>
      <c r="V39" s="615"/>
      <c r="W39" s="620"/>
      <c r="X39" s="621"/>
      <c r="Y39" s="621"/>
      <c r="Z39" s="621"/>
      <c r="AA39" s="621"/>
      <c r="AB39" s="621"/>
      <c r="AC39" s="621"/>
      <c r="AD39" s="621"/>
      <c r="AE39" s="621"/>
      <c r="AF39" s="621"/>
      <c r="AG39" s="621"/>
      <c r="AH39" s="621"/>
      <c r="AI39" s="622"/>
    </row>
    <row r="40" ht="15.75" customHeight="1" hidden="1" spans="1:35" s="604" customFormat="1" x14ac:dyDescent="0.25">
      <c r="A40" s="619"/>
      <c r="B40" s="55"/>
      <c r="C40" s="55"/>
      <c r="D40" s="56"/>
      <c r="E40" s="608"/>
      <c r="F40" s="609"/>
      <c r="G40" s="609"/>
      <c r="H40" s="609"/>
      <c r="I40" s="609"/>
      <c r="J40" s="610"/>
      <c r="K40" s="609"/>
      <c r="L40" s="609"/>
      <c r="M40" s="609"/>
      <c r="N40" s="609"/>
      <c r="O40" s="609"/>
      <c r="P40" s="612"/>
      <c r="Q40" s="613">
        <f t="shared" ref="Q40:Q42" si="6">IF(AND(NOT(ISBLANK(K40)),NOT(ISBLANK(E40))), IF(K40&gt;E40,K40-E40,24-E40+K40), "")</f>
      </c>
      <c r="R40" s="614"/>
      <c r="S40" s="614"/>
      <c r="T40" s="614"/>
      <c r="U40" s="614"/>
      <c r="V40" s="615"/>
      <c r="W40" s="620"/>
      <c r="X40" s="621"/>
      <c r="Y40" s="621"/>
      <c r="Z40" s="621"/>
      <c r="AA40" s="621"/>
      <c r="AB40" s="621"/>
      <c r="AC40" s="621"/>
      <c r="AD40" s="621"/>
      <c r="AE40" s="621"/>
      <c r="AF40" s="621"/>
      <c r="AG40" s="621"/>
      <c r="AH40" s="621"/>
      <c r="AI40" s="622"/>
    </row>
    <row r="41" ht="15.75" customHeight="1" hidden="1" spans="1:35" s="604" customFormat="1" x14ac:dyDescent="0.25">
      <c r="A41" s="619"/>
      <c r="B41" s="55"/>
      <c r="C41" s="55"/>
      <c r="D41" s="56"/>
      <c r="E41" s="608"/>
      <c r="F41" s="609"/>
      <c r="G41" s="609"/>
      <c r="H41" s="609"/>
      <c r="I41" s="609"/>
      <c r="J41" s="610"/>
      <c r="K41" s="609"/>
      <c r="L41" s="609"/>
      <c r="M41" s="609"/>
      <c r="N41" s="609"/>
      <c r="O41" s="609"/>
      <c r="P41" s="612"/>
      <c r="Q41" s="613">
        <f t="shared" si="6"/>
      </c>
      <c r="R41" s="614"/>
      <c r="S41" s="614"/>
      <c r="T41" s="614"/>
      <c r="U41" s="614"/>
      <c r="V41" s="615"/>
      <c r="W41" s="620"/>
      <c r="X41" s="621"/>
      <c r="Y41" s="621"/>
      <c r="Z41" s="621"/>
      <c r="AA41" s="621"/>
      <c r="AB41" s="621"/>
      <c r="AC41" s="621"/>
      <c r="AD41" s="621"/>
      <c r="AE41" s="621"/>
      <c r="AF41" s="621"/>
      <c r="AG41" s="621"/>
      <c r="AH41" s="621"/>
      <c r="AI41" s="622"/>
    </row>
    <row r="42" ht="15.75" customHeight="1" hidden="1" spans="1:35" s="604" customFormat="1" x14ac:dyDescent="0.25">
      <c r="A42" s="619"/>
      <c r="B42" s="55"/>
      <c r="C42" s="55"/>
      <c r="D42" s="56"/>
      <c r="E42" s="608"/>
      <c r="F42" s="609"/>
      <c r="G42" s="609"/>
      <c r="H42" s="609"/>
      <c r="I42" s="609"/>
      <c r="J42" s="610"/>
      <c r="K42" s="611"/>
      <c r="L42" s="609"/>
      <c r="M42" s="609"/>
      <c r="N42" s="609"/>
      <c r="O42" s="609"/>
      <c r="P42" s="612"/>
      <c r="Q42" s="613">
        <f t="shared" si="6"/>
      </c>
      <c r="R42" s="614"/>
      <c r="S42" s="614"/>
      <c r="T42" s="614"/>
      <c r="U42" s="614"/>
      <c r="V42" s="615"/>
      <c r="W42" s="620"/>
      <c r="X42" s="621"/>
      <c r="Y42" s="621"/>
      <c r="Z42" s="621"/>
      <c r="AA42" s="621"/>
      <c r="AB42" s="621"/>
      <c r="AC42" s="621"/>
      <c r="AD42" s="621"/>
      <c r="AE42" s="621"/>
      <c r="AF42" s="621"/>
      <c r="AG42" s="621"/>
      <c r="AH42" s="621"/>
      <c r="AI42" s="622"/>
    </row>
    <row r="43" ht="15.75" customHeight="1" hidden="1" spans="1:35" s="604" customFormat="1" x14ac:dyDescent="0.25">
      <c r="A43" s="619"/>
      <c r="B43" s="55"/>
      <c r="C43" s="55"/>
      <c r="D43" s="56"/>
      <c r="E43" s="608"/>
      <c r="F43" s="609"/>
      <c r="G43" s="609"/>
      <c r="H43" s="609"/>
      <c r="I43" s="609"/>
      <c r="J43" s="610"/>
      <c r="K43" s="611"/>
      <c r="L43" s="609"/>
      <c r="M43" s="609"/>
      <c r="N43" s="609"/>
      <c r="O43" s="609"/>
      <c r="P43" s="612"/>
      <c r="Q43" s="613">
        <f t="shared" ref="Q43:Q44" si="7">IF(AND(NOT(ISBLANK(K43)),NOT(ISBLANK(E43))), IF(K43&gt;E43,K43-E43,24-E43+K43), "")</f>
      </c>
      <c r="R43" s="614"/>
      <c r="S43" s="614"/>
      <c r="T43" s="614"/>
      <c r="U43" s="614"/>
      <c r="V43" s="615"/>
      <c r="W43" s="620"/>
      <c r="X43" s="621"/>
      <c r="Y43" s="621"/>
      <c r="Z43" s="621"/>
      <c r="AA43" s="621"/>
      <c r="AB43" s="621"/>
      <c r="AC43" s="621"/>
      <c r="AD43" s="621"/>
      <c r="AE43" s="621"/>
      <c r="AF43" s="621"/>
      <c r="AG43" s="621"/>
      <c r="AH43" s="621"/>
      <c r="AI43" s="622"/>
    </row>
    <row r="44" ht="15.75" customHeight="1" hidden="1" spans="1:35" s="604" customFormat="1" x14ac:dyDescent="0.25">
      <c r="A44" s="619"/>
      <c r="B44" s="55"/>
      <c r="C44" s="55"/>
      <c r="D44" s="56"/>
      <c r="E44" s="608"/>
      <c r="F44" s="609"/>
      <c r="G44" s="609"/>
      <c r="H44" s="609"/>
      <c r="I44" s="609"/>
      <c r="J44" s="610"/>
      <c r="K44" s="611"/>
      <c r="L44" s="609"/>
      <c r="M44" s="609"/>
      <c r="N44" s="609"/>
      <c r="O44" s="609"/>
      <c r="P44" s="612"/>
      <c r="Q44" s="613">
        <f t="shared" si="7"/>
      </c>
      <c r="R44" s="614"/>
      <c r="S44" s="614"/>
      <c r="T44" s="614"/>
      <c r="U44" s="614"/>
      <c r="V44" s="615"/>
      <c r="W44" s="620"/>
      <c r="X44" s="621"/>
      <c r="Y44" s="621"/>
      <c r="Z44" s="621"/>
      <c r="AA44" s="621"/>
      <c r="AB44" s="621"/>
      <c r="AC44" s="621"/>
      <c r="AD44" s="621"/>
      <c r="AE44" s="621"/>
      <c r="AF44" s="621"/>
      <c r="AG44" s="621"/>
      <c r="AH44" s="621"/>
      <c r="AI44" s="622"/>
    </row>
    <row r="45" ht="15.75" customHeight="1" hidden="1" spans="1:35" s="604" customFormat="1" x14ac:dyDescent="0.25">
      <c r="A45" s="619"/>
      <c r="B45" s="55"/>
      <c r="C45" s="55"/>
      <c r="D45" s="56"/>
      <c r="E45" s="608"/>
      <c r="F45" s="609"/>
      <c r="G45" s="609"/>
      <c r="H45" s="609"/>
      <c r="I45" s="609"/>
      <c r="J45" s="610"/>
      <c r="K45" s="611"/>
      <c r="L45" s="609"/>
      <c r="M45" s="609"/>
      <c r="N45" s="609"/>
      <c r="O45" s="609"/>
      <c r="P45" s="612"/>
      <c r="Q45" s="613">
        <f t="shared" ref="Q45" si="8">IF(AND(NOT(ISBLANK(K45)),NOT(ISBLANK(E45))), IF(K45&gt;E45,K45-E45,24-E45+K45), "")</f>
      </c>
      <c r="R45" s="614"/>
      <c r="S45" s="614"/>
      <c r="T45" s="614"/>
      <c r="U45" s="614"/>
      <c r="V45" s="615"/>
      <c r="W45" s="620"/>
      <c r="X45" s="621"/>
      <c r="Y45" s="621"/>
      <c r="Z45" s="621"/>
      <c r="AA45" s="621"/>
      <c r="AB45" s="621"/>
      <c r="AC45" s="621"/>
      <c r="AD45" s="621"/>
      <c r="AE45" s="621"/>
      <c r="AF45" s="621"/>
      <c r="AG45" s="621"/>
      <c r="AH45" s="621"/>
      <c r="AI45" s="622"/>
    </row>
    <row r="46" ht="15.75" customHeight="1" hidden="1" spans="1:35" s="604" customFormat="1" x14ac:dyDescent="0.25">
      <c r="A46" s="619"/>
      <c r="B46" s="55"/>
      <c r="C46" s="55"/>
      <c r="D46" s="56"/>
      <c r="E46" s="608"/>
      <c r="F46" s="609"/>
      <c r="G46" s="609"/>
      <c r="H46" s="609"/>
      <c r="I46" s="609"/>
      <c r="J46" s="610"/>
      <c r="K46" s="611"/>
      <c r="L46" s="609"/>
      <c r="M46" s="609"/>
      <c r="N46" s="609"/>
      <c r="O46" s="609"/>
      <c r="P46" s="612"/>
      <c r="Q46" s="613">
        <f t="shared" ref="Q46:Q47" si="9">IF(AND(NOT(ISBLANK(K46)),NOT(ISBLANK(E46))), IF(K46&gt;E46,K46-E46,24-E46+K46), "")</f>
      </c>
      <c r="R46" s="614"/>
      <c r="S46" s="614"/>
      <c r="T46" s="614"/>
      <c r="U46" s="614"/>
      <c r="V46" s="615"/>
      <c r="W46" s="620"/>
      <c r="X46" s="621"/>
      <c r="Y46" s="621"/>
      <c r="Z46" s="621"/>
      <c r="AA46" s="621"/>
      <c r="AB46" s="621"/>
      <c r="AC46" s="621"/>
      <c r="AD46" s="621"/>
      <c r="AE46" s="621"/>
      <c r="AF46" s="621"/>
      <c r="AG46" s="621"/>
      <c r="AH46" s="621"/>
      <c r="AI46" s="622"/>
    </row>
    <row r="47" ht="15.75" customHeight="1" hidden="1" spans="1:35" s="604" customFormat="1" x14ac:dyDescent="0.25">
      <c r="A47" s="619"/>
      <c r="B47" s="55"/>
      <c r="C47" s="55"/>
      <c r="D47" s="56"/>
      <c r="E47" s="608"/>
      <c r="F47" s="609"/>
      <c r="G47" s="609"/>
      <c r="H47" s="609"/>
      <c r="I47" s="609"/>
      <c r="J47" s="610"/>
      <c r="K47" s="611"/>
      <c r="L47" s="609"/>
      <c r="M47" s="609"/>
      <c r="N47" s="609"/>
      <c r="O47" s="609"/>
      <c r="P47" s="612"/>
      <c r="Q47" s="613">
        <f t="shared" si="9"/>
      </c>
      <c r="R47" s="614"/>
      <c r="S47" s="614"/>
      <c r="T47" s="614"/>
      <c r="U47" s="614"/>
      <c r="V47" s="615"/>
      <c r="W47" s="620"/>
      <c r="X47" s="621"/>
      <c r="Y47" s="621"/>
      <c r="Z47" s="621"/>
      <c r="AA47" s="621"/>
      <c r="AB47" s="621"/>
      <c r="AC47" s="621"/>
      <c r="AD47" s="621"/>
      <c r="AE47" s="621"/>
      <c r="AF47" s="621"/>
      <c r="AG47" s="621"/>
      <c r="AH47" s="621"/>
      <c r="AI47" s="622"/>
    </row>
    <row r="48" ht="15.75" customHeight="1" hidden="1" spans="1:35" s="604" customFormat="1" x14ac:dyDescent="0.25">
      <c r="A48" s="619"/>
      <c r="B48" s="55"/>
      <c r="C48" s="55"/>
      <c r="D48" s="56"/>
      <c r="E48" s="608"/>
      <c r="F48" s="609"/>
      <c r="G48" s="609"/>
      <c r="H48" s="609"/>
      <c r="I48" s="609"/>
      <c r="J48" s="610"/>
      <c r="K48" s="611"/>
      <c r="L48" s="609"/>
      <c r="M48" s="609"/>
      <c r="N48" s="609"/>
      <c r="O48" s="609"/>
      <c r="P48" s="612"/>
      <c r="Q48" s="613"/>
      <c r="R48" s="614"/>
      <c r="S48" s="614"/>
      <c r="T48" s="614"/>
      <c r="U48" s="614"/>
      <c r="V48" s="615"/>
      <c r="W48" s="620"/>
      <c r="X48" s="621"/>
      <c r="Y48" s="621"/>
      <c r="Z48" s="621"/>
      <c r="AA48" s="621"/>
      <c r="AB48" s="621"/>
      <c r="AC48" s="621"/>
      <c r="AD48" s="621"/>
      <c r="AE48" s="621"/>
      <c r="AF48" s="621"/>
      <c r="AG48" s="621"/>
      <c r="AH48" s="621"/>
      <c r="AI48" s="622"/>
    </row>
    <row r="49" ht="15.75" customHeight="1" spans="1:35" s="604" customFormat="1" x14ac:dyDescent="0.25">
      <c r="A49" s="619"/>
      <c r="B49" s="55"/>
      <c r="C49" s="55"/>
      <c r="D49" s="56"/>
      <c r="E49" s="608"/>
      <c r="F49" s="609"/>
      <c r="G49" s="609"/>
      <c r="H49" s="609"/>
      <c r="I49" s="609"/>
      <c r="J49" s="610"/>
      <c r="K49" s="609"/>
      <c r="L49" s="609"/>
      <c r="M49" s="609"/>
      <c r="N49" s="609"/>
      <c r="O49" s="609"/>
      <c r="P49" s="612"/>
      <c r="Q49" s="613"/>
      <c r="R49" s="614"/>
      <c r="S49" s="614"/>
      <c r="T49" s="614"/>
      <c r="U49" s="614"/>
      <c r="V49" s="615"/>
      <c r="W49" s="620"/>
      <c r="X49" s="621"/>
      <c r="Y49" s="621"/>
      <c r="Z49" s="621"/>
      <c r="AA49" s="621"/>
      <c r="AB49" s="621"/>
      <c r="AC49" s="621"/>
      <c r="AD49" s="621"/>
      <c r="AE49" s="621"/>
      <c r="AF49" s="621"/>
      <c r="AG49" s="621"/>
      <c r="AH49" s="621"/>
      <c r="AI49" s="622"/>
    </row>
    <row r="50" ht="15.75" customHeight="1" spans="1:35" s="604" customFormat="1" x14ac:dyDescent="0.25">
      <c r="A50" s="623"/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5"/>
      <c r="Q50" s="626">
        <f>SUM(Q34:V48)</f>
        <v>0.12847222222262644</v>
      </c>
      <c r="R50" s="626"/>
      <c r="S50" s="626"/>
      <c r="T50" s="626"/>
      <c r="U50" s="626"/>
      <c r="V50" s="626"/>
      <c r="W50" s="627"/>
      <c r="X50" s="628"/>
      <c r="Y50" s="628"/>
      <c r="Z50" s="628"/>
      <c r="AA50" s="628"/>
      <c r="AB50" s="628"/>
      <c r="AC50" s="628"/>
      <c r="AD50" s="628"/>
      <c r="AE50" s="628"/>
      <c r="AF50" s="628"/>
      <c r="AG50" s="628"/>
      <c r="AH50" s="628"/>
      <c r="AI50" s="629"/>
    </row>
    <row r="51" ht="15.75" customHeight="1" spans="1:35" s="604" customFormat="1" x14ac:dyDescent="0.25">
      <c r="A51" s="605" t="s">
        <v>170</v>
      </c>
      <c r="B51" s="606"/>
      <c r="C51" s="606"/>
      <c r="D51" s="607"/>
      <c r="E51" s="608">
        <v>0.3333333333321207</v>
      </c>
      <c r="F51" s="609"/>
      <c r="G51" s="609"/>
      <c r="H51" s="609"/>
      <c r="I51" s="609"/>
      <c r="J51" s="610"/>
      <c r="K51" s="611"/>
      <c r="L51" s="609"/>
      <c r="M51" s="609"/>
      <c r="N51" s="609"/>
      <c r="O51" s="609"/>
      <c r="P51" s="612"/>
      <c r="Q51" s="613">
        <f>IF(AND(NOT(ISBLANK(K51)),NOT(ISBLANK(E51))), IF(K51&gt;E51,K51-E51,24-E51+K51), "")</f>
      </c>
      <c r="R51" s="614"/>
      <c r="S51" s="614"/>
      <c r="T51" s="614"/>
      <c r="U51" s="614"/>
      <c r="V51" s="615"/>
      <c r="W51" s="616" t="s">
        <v>171</v>
      </c>
      <c r="X51" s="617"/>
      <c r="Y51" s="617"/>
      <c r="Z51" s="617"/>
      <c r="AA51" s="617"/>
      <c r="AB51" s="617"/>
      <c r="AC51" s="617"/>
      <c r="AD51" s="617"/>
      <c r="AE51" s="617"/>
      <c r="AF51" s="617"/>
      <c r="AG51" s="617"/>
      <c r="AH51" s="617"/>
      <c r="AI51" s="618"/>
    </row>
    <row r="52" ht="15.75" customHeight="1" spans="1:35" s="604" customFormat="1" x14ac:dyDescent="0.25">
      <c r="A52" s="619" t="s">
        <v>41</v>
      </c>
      <c r="B52" s="55"/>
      <c r="C52" s="55"/>
      <c r="D52" s="56"/>
      <c r="E52" s="608">
        <f>E51</f>
        <v>0.3333333333321207</v>
      </c>
      <c r="F52" s="609"/>
      <c r="G52" s="609"/>
      <c r="H52" s="609"/>
      <c r="I52" s="609"/>
      <c r="J52" s="610"/>
      <c r="K52" s="611">
        <v>0.4166666666678793</v>
      </c>
      <c r="L52" s="609"/>
      <c r="M52" s="609"/>
      <c r="N52" s="609"/>
      <c r="O52" s="609"/>
      <c r="P52" s="612"/>
      <c r="Q52" s="613">
        <f>IF(AND(NOT(ISBLANK(K52)),NOT(ISBLANK(E52))), IF(K52&gt;E52,K52-E52,24-E52+K52), "")</f>
        <v>0.08333333333212067</v>
      </c>
      <c r="R52" s="614"/>
      <c r="S52" s="614"/>
      <c r="T52" s="614"/>
      <c r="U52" s="614"/>
      <c r="V52" s="615"/>
      <c r="W52" s="620" t="s">
        <v>172</v>
      </c>
      <c r="X52" s="621"/>
      <c r="Y52" s="621"/>
      <c r="Z52" s="621"/>
      <c r="AA52" s="621"/>
      <c r="AB52" s="621"/>
      <c r="AC52" s="621"/>
      <c r="AD52" s="621"/>
      <c r="AE52" s="621"/>
      <c r="AF52" s="621"/>
      <c r="AG52" s="621"/>
      <c r="AH52" s="621"/>
      <c r="AI52" s="622"/>
    </row>
    <row r="53" ht="15.75" customHeight="1" spans="1:35" s="604" customFormat="1" x14ac:dyDescent="0.25">
      <c r="A53" s="619"/>
      <c r="B53" s="55"/>
      <c r="C53" s="55"/>
      <c r="D53" s="56"/>
      <c r="E53" s="608"/>
      <c r="F53" s="609"/>
      <c r="G53" s="609"/>
      <c r="H53" s="609"/>
      <c r="I53" s="609"/>
      <c r="J53" s="610"/>
      <c r="K53" s="611">
        <f>K52</f>
        <v>0.4166666666678793</v>
      </c>
      <c r="L53" s="609"/>
      <c r="M53" s="609"/>
      <c r="N53" s="609"/>
      <c r="O53" s="609"/>
      <c r="P53" s="612"/>
      <c r="Q53" s="613">
        <f t="shared" ref="Q53:Q54" si="10">IF(AND(NOT(ISBLANK(K53)),NOT(ISBLANK(E53))), IF(K53&gt;E53,K53-E53,24-E53+K53), "")</f>
      </c>
      <c r="R53" s="614"/>
      <c r="S53" s="614"/>
      <c r="T53" s="614"/>
      <c r="U53" s="614"/>
      <c r="V53" s="615"/>
      <c r="W53" s="620" t="s">
        <v>173</v>
      </c>
      <c r="X53" s="621"/>
      <c r="Y53" s="621"/>
      <c r="Z53" s="621"/>
      <c r="AA53" s="621"/>
      <c r="AB53" s="621"/>
      <c r="AC53" s="621"/>
      <c r="AD53" s="621"/>
      <c r="AE53" s="621"/>
      <c r="AF53" s="621"/>
      <c r="AG53" s="621"/>
      <c r="AH53" s="621"/>
      <c r="AI53" s="622"/>
    </row>
    <row r="54" ht="15.75" customHeight="1" spans="1:35" s="604" customFormat="1" x14ac:dyDescent="0.25">
      <c r="A54" s="619"/>
      <c r="B54" s="55"/>
      <c r="C54" s="55"/>
      <c r="D54" s="56"/>
      <c r="E54" s="608">
        <v>0.42361111110949423</v>
      </c>
      <c r="F54" s="609"/>
      <c r="G54" s="609"/>
      <c r="H54" s="609"/>
      <c r="I54" s="609"/>
      <c r="J54" s="610"/>
      <c r="K54" s="611"/>
      <c r="L54" s="609"/>
      <c r="M54" s="609"/>
      <c r="N54" s="609"/>
      <c r="O54" s="609"/>
      <c r="P54" s="612"/>
      <c r="Q54" s="613">
        <f t="shared" si="10"/>
      </c>
      <c r="R54" s="614"/>
      <c r="S54" s="614"/>
      <c r="T54" s="614"/>
      <c r="U54" s="614"/>
      <c r="V54" s="615"/>
      <c r="W54" s="620" t="s">
        <v>166</v>
      </c>
      <c r="X54" s="621"/>
      <c r="Y54" s="621"/>
      <c r="Z54" s="621"/>
      <c r="AA54" s="621"/>
      <c r="AB54" s="621"/>
      <c r="AC54" s="621"/>
      <c r="AD54" s="621"/>
      <c r="AE54" s="621"/>
      <c r="AF54" s="621"/>
      <c r="AG54" s="621"/>
      <c r="AH54" s="621"/>
      <c r="AI54" s="622"/>
    </row>
    <row r="55" ht="15.75" customHeight="1" spans="1:35" s="604" customFormat="1" x14ac:dyDescent="0.25">
      <c r="A55" s="619"/>
      <c r="B55" s="55"/>
      <c r="C55" s="55"/>
      <c r="D55" s="56"/>
      <c r="E55" s="608">
        <f>E54</f>
        <v>0.42361111110949423</v>
      </c>
      <c r="F55" s="609"/>
      <c r="G55" s="609"/>
      <c r="H55" s="609"/>
      <c r="I55" s="609"/>
      <c r="J55" s="610"/>
      <c r="K55" s="611">
        <v>0.5</v>
      </c>
      <c r="L55" s="609"/>
      <c r="M55" s="609"/>
      <c r="N55" s="609"/>
      <c r="O55" s="609"/>
      <c r="P55" s="612"/>
      <c r="Q55" s="613">
        <f t="shared" ref="Q55:Q60" si="11">IF(AND(NOT(ISBLANK(K55)),NOT(ISBLANK(E55))), IF(K55&gt;E55,K55-E55,24-E55+K55), "")</f>
        <v>0.07638888889050577</v>
      </c>
      <c r="R55" s="614"/>
      <c r="S55" s="614"/>
      <c r="T55" s="614"/>
      <c r="U55" s="614"/>
      <c r="V55" s="615"/>
      <c r="W55" s="620" t="s">
        <v>167</v>
      </c>
      <c r="X55" s="621"/>
      <c r="Y55" s="621"/>
      <c r="Z55" s="621"/>
      <c r="AA55" s="621"/>
      <c r="AB55" s="621"/>
      <c r="AC55" s="621"/>
      <c r="AD55" s="621"/>
      <c r="AE55" s="621"/>
      <c r="AF55" s="621"/>
      <c r="AG55" s="621"/>
      <c r="AH55" s="621"/>
      <c r="AI55" s="622"/>
    </row>
    <row r="56" ht="15.75" customHeight="1" spans="1:35" s="604" customFormat="1" x14ac:dyDescent="0.25">
      <c r="A56" s="619"/>
      <c r="B56" s="55"/>
      <c r="C56" s="55"/>
      <c r="D56" s="56"/>
      <c r="E56" s="608">
        <f>K55</f>
        <v>0.5</v>
      </c>
      <c r="F56" s="609"/>
      <c r="G56" s="609"/>
      <c r="H56" s="609"/>
      <c r="I56" s="609"/>
      <c r="J56" s="610"/>
      <c r="K56" s="611">
        <v>0.5416666666678793</v>
      </c>
      <c r="L56" s="609"/>
      <c r="M56" s="609"/>
      <c r="N56" s="609"/>
      <c r="O56" s="609"/>
      <c r="P56" s="612"/>
      <c r="Q56" s="613">
        <f t="shared" si="11"/>
        <v>0.041666666667879326</v>
      </c>
      <c r="R56" s="614"/>
      <c r="S56" s="614"/>
      <c r="T56" s="614"/>
      <c r="U56" s="614"/>
      <c r="V56" s="615"/>
      <c r="W56" s="620" t="s">
        <v>168</v>
      </c>
      <c r="X56" s="621"/>
      <c r="Y56" s="621"/>
      <c r="Z56" s="621"/>
      <c r="AA56" s="621"/>
      <c r="AB56" s="621"/>
      <c r="AC56" s="621"/>
      <c r="AD56" s="621"/>
      <c r="AE56" s="621"/>
      <c r="AF56" s="621"/>
      <c r="AG56" s="621"/>
      <c r="AH56" s="621"/>
      <c r="AI56" s="622"/>
    </row>
    <row r="57" ht="15.75" customHeight="1" spans="1:35" s="604" customFormat="1" x14ac:dyDescent="0.25">
      <c r="A57" s="619"/>
      <c r="B57" s="55"/>
      <c r="C57" s="55"/>
      <c r="D57" s="56"/>
      <c r="E57" s="608">
        <f>K56</f>
        <v>0.5416666666678793</v>
      </c>
      <c r="F57" s="609"/>
      <c r="G57" s="609"/>
      <c r="H57" s="609"/>
      <c r="I57" s="609"/>
      <c r="J57" s="610"/>
      <c r="K57" s="611">
        <v>0.6527777777773736</v>
      </c>
      <c r="L57" s="609"/>
      <c r="M57" s="609"/>
      <c r="N57" s="609"/>
      <c r="O57" s="609"/>
      <c r="P57" s="612"/>
      <c r="Q57" s="613">
        <f t="shared" si="11"/>
        <v>0.11111111110949423</v>
      </c>
      <c r="R57" s="614"/>
      <c r="S57" s="614"/>
      <c r="T57" s="614"/>
      <c r="U57" s="614"/>
      <c r="V57" s="615"/>
      <c r="W57" s="620" t="s">
        <v>167</v>
      </c>
      <c r="X57" s="621"/>
      <c r="Y57" s="621"/>
      <c r="Z57" s="621"/>
      <c r="AA57" s="621"/>
      <c r="AB57" s="621"/>
      <c r="AC57" s="621"/>
      <c r="AD57" s="621"/>
      <c r="AE57" s="621"/>
      <c r="AF57" s="621"/>
      <c r="AG57" s="621"/>
      <c r="AH57" s="621"/>
      <c r="AI57" s="622"/>
    </row>
    <row r="58" ht="15.75" customHeight="1" spans="1:35" s="604" customFormat="1" x14ac:dyDescent="0.25">
      <c r="A58" s="619"/>
      <c r="B58" s="55"/>
      <c r="C58" s="55"/>
      <c r="D58" s="56"/>
      <c r="E58" s="608"/>
      <c r="F58" s="609"/>
      <c r="G58" s="609"/>
      <c r="H58" s="609"/>
      <c r="I58" s="609"/>
      <c r="J58" s="610"/>
      <c r="K58" s="611">
        <f>K57</f>
        <v>0.6527777777773736</v>
      </c>
      <c r="L58" s="609"/>
      <c r="M58" s="609"/>
      <c r="N58" s="609"/>
      <c r="O58" s="609"/>
      <c r="P58" s="612"/>
      <c r="Q58" s="613">
        <f t="shared" si="11"/>
      </c>
      <c r="R58" s="614"/>
      <c r="S58" s="614"/>
      <c r="T58" s="614"/>
      <c r="U58" s="614"/>
      <c r="V58" s="615"/>
      <c r="W58" s="620" t="s">
        <v>169</v>
      </c>
      <c r="X58" s="621"/>
      <c r="Y58" s="621"/>
      <c r="Z58" s="621"/>
      <c r="AA58" s="621"/>
      <c r="AB58" s="621"/>
      <c r="AC58" s="621"/>
      <c r="AD58" s="621"/>
      <c r="AE58" s="621"/>
      <c r="AF58" s="621"/>
      <c r="AG58" s="621"/>
      <c r="AH58" s="621"/>
      <c r="AI58" s="622"/>
    </row>
    <row r="59" ht="15.75" customHeight="1" hidden="1" spans="1:35" s="604" customFormat="1" x14ac:dyDescent="0.25">
      <c r="A59" s="619"/>
      <c r="B59" s="55"/>
      <c r="C59" s="55"/>
      <c r="D59" s="56"/>
      <c r="E59" s="608"/>
      <c r="F59" s="609"/>
      <c r="G59" s="609"/>
      <c r="H59" s="609"/>
      <c r="I59" s="609"/>
      <c r="J59" s="610"/>
      <c r="K59" s="611"/>
      <c r="L59" s="609"/>
      <c r="M59" s="609"/>
      <c r="N59" s="609"/>
      <c r="O59" s="609"/>
      <c r="P59" s="612"/>
      <c r="Q59" s="613">
        <f t="shared" si="11"/>
      </c>
      <c r="R59" s="614"/>
      <c r="S59" s="614"/>
      <c r="T59" s="614"/>
      <c r="U59" s="614"/>
      <c r="V59" s="615"/>
      <c r="W59" s="620"/>
      <c r="X59" s="621"/>
      <c r="Y59" s="621"/>
      <c r="Z59" s="621"/>
      <c r="AA59" s="621"/>
      <c r="AB59" s="621"/>
      <c r="AC59" s="621"/>
      <c r="AD59" s="621"/>
      <c r="AE59" s="621"/>
      <c r="AF59" s="621"/>
      <c r="AG59" s="621"/>
      <c r="AH59" s="621"/>
      <c r="AI59" s="622"/>
    </row>
    <row r="60" ht="15.75" customHeight="1" hidden="1" spans="1:35" s="604" customFormat="1" x14ac:dyDescent="0.25">
      <c r="A60" s="619"/>
      <c r="B60" s="55"/>
      <c r="C60" s="55"/>
      <c r="D60" s="56"/>
      <c r="E60" s="608"/>
      <c r="F60" s="609"/>
      <c r="G60" s="609"/>
      <c r="H60" s="609"/>
      <c r="I60" s="609"/>
      <c r="J60" s="610"/>
      <c r="K60" s="611"/>
      <c r="L60" s="609"/>
      <c r="M60" s="609"/>
      <c r="N60" s="609"/>
      <c r="O60" s="609"/>
      <c r="P60" s="612"/>
      <c r="Q60" s="613">
        <f t="shared" si="11"/>
      </c>
      <c r="R60" s="614"/>
      <c r="S60" s="614"/>
      <c r="T60" s="614"/>
      <c r="U60" s="614"/>
      <c r="V60" s="615"/>
      <c r="W60" s="620"/>
      <c r="X60" s="621"/>
      <c r="Y60" s="621"/>
      <c r="Z60" s="621"/>
      <c r="AA60" s="621"/>
      <c r="AB60" s="621"/>
      <c r="AC60" s="621"/>
      <c r="AD60" s="621"/>
      <c r="AE60" s="621"/>
      <c r="AF60" s="621"/>
      <c r="AG60" s="621"/>
      <c r="AH60" s="621"/>
      <c r="AI60" s="622"/>
    </row>
    <row r="61" ht="15.75" customHeight="1" hidden="1" spans="1:35" s="604" customFormat="1" x14ac:dyDescent="0.25">
      <c r="A61" s="619"/>
      <c r="B61" s="55"/>
      <c r="C61" s="55"/>
      <c r="D61" s="56"/>
      <c r="E61" s="608"/>
      <c r="F61" s="609"/>
      <c r="G61" s="609"/>
      <c r="H61" s="609"/>
      <c r="I61" s="609"/>
      <c r="J61" s="610"/>
      <c r="K61" s="611"/>
      <c r="L61" s="609"/>
      <c r="M61" s="609"/>
      <c r="N61" s="609"/>
      <c r="O61" s="609"/>
      <c r="P61" s="612"/>
      <c r="Q61" s="613"/>
      <c r="R61" s="614"/>
      <c r="S61" s="614"/>
      <c r="T61" s="614"/>
      <c r="U61" s="614"/>
      <c r="V61" s="615"/>
      <c r="W61" s="620"/>
      <c r="X61" s="621"/>
      <c r="Y61" s="621"/>
      <c r="Z61" s="621"/>
      <c r="AA61" s="621"/>
      <c r="AB61" s="621"/>
      <c r="AC61" s="621"/>
      <c r="AD61" s="621"/>
      <c r="AE61" s="621"/>
      <c r="AF61" s="621"/>
      <c r="AG61" s="621"/>
      <c r="AH61" s="621"/>
      <c r="AI61" s="622"/>
    </row>
    <row r="62" ht="15.75" customHeight="1" hidden="1" spans="1:35" s="604" customFormat="1" x14ac:dyDescent="0.25">
      <c r="A62" s="619"/>
      <c r="B62" s="55"/>
      <c r="C62" s="55"/>
      <c r="D62" s="56"/>
      <c r="E62" s="608"/>
      <c r="F62" s="609"/>
      <c r="G62" s="609"/>
      <c r="H62" s="609"/>
      <c r="I62" s="609"/>
      <c r="J62" s="610"/>
      <c r="K62" s="611"/>
      <c r="L62" s="609"/>
      <c r="M62" s="609"/>
      <c r="N62" s="609"/>
      <c r="O62" s="609"/>
      <c r="P62" s="612"/>
      <c r="Q62" s="613"/>
      <c r="R62" s="614"/>
      <c r="S62" s="614"/>
      <c r="T62" s="614"/>
      <c r="U62" s="614"/>
      <c r="V62" s="615"/>
      <c r="W62" s="620"/>
      <c r="X62" s="621"/>
      <c r="Y62" s="621"/>
      <c r="Z62" s="621"/>
      <c r="AA62" s="621"/>
      <c r="AB62" s="621"/>
      <c r="AC62" s="621"/>
      <c r="AD62" s="621"/>
      <c r="AE62" s="621"/>
      <c r="AF62" s="621"/>
      <c r="AG62" s="621"/>
      <c r="AH62" s="621"/>
      <c r="AI62" s="622"/>
    </row>
    <row r="63" ht="15.75" customHeight="1" hidden="1" spans="1:35" s="604" customFormat="1" x14ac:dyDescent="0.25">
      <c r="A63" s="619"/>
      <c r="B63" s="55"/>
      <c r="C63" s="55"/>
      <c r="D63" s="56"/>
      <c r="E63" s="608"/>
      <c r="F63" s="609"/>
      <c r="G63" s="609"/>
      <c r="H63" s="609"/>
      <c r="I63" s="609"/>
      <c r="J63" s="610"/>
      <c r="K63" s="611"/>
      <c r="L63" s="609"/>
      <c r="M63" s="609"/>
      <c r="N63" s="609"/>
      <c r="O63" s="609"/>
      <c r="P63" s="612"/>
      <c r="Q63" s="613"/>
      <c r="R63" s="614"/>
      <c r="S63" s="614"/>
      <c r="T63" s="614"/>
      <c r="U63" s="614"/>
      <c r="V63" s="615"/>
      <c r="W63" s="620"/>
      <c r="X63" s="621"/>
      <c r="Y63" s="621"/>
      <c r="Z63" s="621"/>
      <c r="AA63" s="621"/>
      <c r="AB63" s="621"/>
      <c r="AC63" s="621"/>
      <c r="AD63" s="621"/>
      <c r="AE63" s="621"/>
      <c r="AF63" s="621"/>
      <c r="AG63" s="621"/>
      <c r="AH63" s="621"/>
      <c r="AI63" s="622"/>
    </row>
    <row r="64" ht="15.75" customHeight="1" hidden="1" spans="1:35" s="604" customFormat="1" x14ac:dyDescent="0.25">
      <c r="A64" s="619"/>
      <c r="B64" s="55"/>
      <c r="C64" s="55"/>
      <c r="D64" s="56"/>
      <c r="E64" s="608"/>
      <c r="F64" s="609"/>
      <c r="G64" s="609"/>
      <c r="H64" s="609"/>
      <c r="I64" s="609"/>
      <c r="J64" s="610"/>
      <c r="K64" s="609"/>
      <c r="L64" s="609"/>
      <c r="M64" s="609"/>
      <c r="N64" s="609"/>
      <c r="O64" s="609"/>
      <c r="P64" s="612"/>
      <c r="Q64" s="613"/>
      <c r="R64" s="614"/>
      <c r="S64" s="614"/>
      <c r="T64" s="614"/>
      <c r="U64" s="614"/>
      <c r="V64" s="615"/>
      <c r="W64" s="620"/>
      <c r="X64" s="621"/>
      <c r="Y64" s="621"/>
      <c r="Z64" s="621"/>
      <c r="AA64" s="621"/>
      <c r="AB64" s="621"/>
      <c r="AC64" s="621"/>
      <c r="AD64" s="621"/>
      <c r="AE64" s="621"/>
      <c r="AF64" s="621"/>
      <c r="AG64" s="621"/>
      <c r="AH64" s="621"/>
      <c r="AI64" s="622"/>
    </row>
    <row r="65" ht="15.75" customHeight="1" hidden="1" spans="1:35" s="604" customFormat="1" x14ac:dyDescent="0.25">
      <c r="A65" s="619"/>
      <c r="B65" s="55"/>
      <c r="C65" s="55"/>
      <c r="D65" s="56"/>
      <c r="E65" s="608"/>
      <c r="F65" s="609"/>
      <c r="G65" s="609"/>
      <c r="H65" s="609"/>
      <c r="I65" s="609"/>
      <c r="J65" s="610"/>
      <c r="K65" s="609"/>
      <c r="L65" s="609"/>
      <c r="M65" s="609"/>
      <c r="N65" s="609"/>
      <c r="O65" s="609"/>
      <c r="P65" s="612"/>
      <c r="Q65" s="613">
        <f t="shared" ref="Q65" si="12">IF(AND(NOT(ISBLANK(K65)),NOT(ISBLANK(E65))), IF(K65&gt;E65,K65-E65,24-E65+K65), "")</f>
      </c>
      <c r="R65" s="614"/>
      <c r="S65" s="614"/>
      <c r="T65" s="614"/>
      <c r="U65" s="614"/>
      <c r="V65" s="615"/>
      <c r="W65" s="620"/>
      <c r="X65" s="621"/>
      <c r="Y65" s="621"/>
      <c r="Z65" s="621"/>
      <c r="AA65" s="621"/>
      <c r="AB65" s="621"/>
      <c r="AC65" s="621"/>
      <c r="AD65" s="621"/>
      <c r="AE65" s="621"/>
      <c r="AF65" s="621"/>
      <c r="AG65" s="621"/>
      <c r="AH65" s="621"/>
      <c r="AI65" s="622"/>
    </row>
    <row r="66" ht="15.75" customHeight="1" spans="1:35" s="604" customFormat="1" x14ac:dyDescent="0.25">
      <c r="A66" s="630"/>
      <c r="B66" s="631"/>
      <c r="C66" s="631"/>
      <c r="D66" s="632"/>
      <c r="E66" s="633"/>
      <c r="F66" s="634"/>
      <c r="G66" s="634"/>
      <c r="H66" s="634"/>
      <c r="I66" s="634"/>
      <c r="J66" s="635"/>
      <c r="K66" s="636"/>
      <c r="L66" s="634"/>
      <c r="M66" s="634"/>
      <c r="N66" s="634"/>
      <c r="O66" s="634"/>
      <c r="P66" s="637"/>
      <c r="Q66" s="638">
        <f t="shared" ref="Q66" si="13">IF(AND(NOT(ISBLANK(K66)),NOT(ISBLANK(E66))), IF(K66&gt;E66,K66-E66,24-E66+K66), "")</f>
      </c>
      <c r="R66" s="639"/>
      <c r="S66" s="639"/>
      <c r="T66" s="639"/>
      <c r="U66" s="639"/>
      <c r="V66" s="640"/>
      <c r="W66" s="641"/>
      <c r="X66" s="642"/>
      <c r="Y66" s="642"/>
      <c r="Z66" s="642"/>
      <c r="AA66" s="642"/>
      <c r="AB66" s="642"/>
      <c r="AC66" s="642"/>
      <c r="AD66" s="642"/>
      <c r="AE66" s="642"/>
      <c r="AF66" s="642"/>
      <c r="AG66" s="642"/>
      <c r="AH66" s="642"/>
      <c r="AI66" s="643"/>
    </row>
    <row r="67" ht="15.75" customHeight="1" spans="1:35" s="41" customFormat="1" x14ac:dyDescent="0.25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4"/>
      <c r="P67" s="625"/>
      <c r="Q67" s="644">
        <f>SUM(Q51:V66)</f>
        <v>0.3125</v>
      </c>
      <c r="R67" s="645"/>
      <c r="S67" s="645"/>
      <c r="T67" s="645"/>
      <c r="U67" s="645"/>
      <c r="V67" s="646"/>
      <c r="W67" s="627"/>
      <c r="X67" s="628"/>
      <c r="Y67" s="628"/>
      <c r="Z67" s="628"/>
      <c r="AA67" s="628"/>
      <c r="AB67" s="628"/>
      <c r="AC67" s="628"/>
      <c r="AD67" s="628"/>
      <c r="AE67" s="628"/>
      <c r="AF67" s="628"/>
      <c r="AG67" s="628"/>
      <c r="AH67" s="628"/>
      <c r="AI67" s="629"/>
    </row>
    <row r="68" ht="15.75" customHeight="1" spans="1:35" s="604" customFormat="1" x14ac:dyDescent="0.25">
      <c r="A68" s="605" t="s">
        <v>174</v>
      </c>
      <c r="B68" s="606"/>
      <c r="C68" s="606"/>
      <c r="D68" s="607"/>
      <c r="E68" s="608">
        <v>0.8020833333321207</v>
      </c>
      <c r="F68" s="609"/>
      <c r="G68" s="609"/>
      <c r="H68" s="609"/>
      <c r="I68" s="609"/>
      <c r="J68" s="610"/>
      <c r="K68" s="611"/>
      <c r="L68" s="609"/>
      <c r="M68" s="609"/>
      <c r="N68" s="609"/>
      <c r="O68" s="609"/>
      <c r="P68" s="612"/>
      <c r="Q68" s="613">
        <f>IF(AND(NOT(ISBLANK(K68)),NOT(ISBLANK(E68))), IF(K68&gt;E68,K68-E68,24-E68+K68), "")</f>
      </c>
      <c r="R68" s="614"/>
      <c r="S68" s="614"/>
      <c r="T68" s="614"/>
      <c r="U68" s="614"/>
      <c r="V68" s="615"/>
      <c r="W68" s="616" t="s">
        <v>171</v>
      </c>
      <c r="X68" s="617"/>
      <c r="Y68" s="617"/>
      <c r="Z68" s="617"/>
      <c r="AA68" s="617"/>
      <c r="AB68" s="617"/>
      <c r="AC68" s="617"/>
      <c r="AD68" s="617"/>
      <c r="AE68" s="617"/>
      <c r="AF68" s="617"/>
      <c r="AG68" s="617"/>
      <c r="AH68" s="617"/>
      <c r="AI68" s="618"/>
    </row>
    <row r="69" ht="15.75" customHeight="1" spans="1:35" s="604" customFormat="1" x14ac:dyDescent="0.25">
      <c r="A69" s="647" t="s">
        <v>39</v>
      </c>
      <c r="B69" s="93"/>
      <c r="C69" s="93"/>
      <c r="D69" s="94"/>
      <c r="E69" s="608">
        <v>0.8020833333321207</v>
      </c>
      <c r="F69" s="609"/>
      <c r="G69" s="609"/>
      <c r="H69" s="609"/>
      <c r="I69" s="609"/>
      <c r="J69" s="610"/>
      <c r="K69" s="611">
        <v>0.9166666666678793</v>
      </c>
      <c r="L69" s="609"/>
      <c r="M69" s="609"/>
      <c r="N69" s="609"/>
      <c r="O69" s="609"/>
      <c r="P69" s="612"/>
      <c r="Q69" s="613">
        <f>IF(AND(NOT(ISBLANK(K69)),NOT(ISBLANK(E69))), IF(K69&gt;E69,K69-E69,24-E69+K69), "")</f>
        <v>0.11458333333212067</v>
      </c>
      <c r="R69" s="614"/>
      <c r="S69" s="614"/>
      <c r="T69" s="614"/>
      <c r="U69" s="614"/>
      <c r="V69" s="615"/>
      <c r="W69" s="620" t="s">
        <v>172</v>
      </c>
      <c r="X69" s="621"/>
      <c r="Y69" s="621"/>
      <c r="Z69" s="621"/>
      <c r="AA69" s="621"/>
      <c r="AB69" s="621"/>
      <c r="AC69" s="621"/>
      <c r="AD69" s="621"/>
      <c r="AE69" s="621"/>
      <c r="AF69" s="621"/>
      <c r="AG69" s="621"/>
      <c r="AH69" s="621"/>
      <c r="AI69" s="622"/>
    </row>
    <row r="70" ht="15.75" customHeight="1" spans="1:35" s="604" customFormat="1" x14ac:dyDescent="0.25">
      <c r="A70" s="619"/>
      <c r="B70" s="55"/>
      <c r="C70" s="55"/>
      <c r="D70" s="56"/>
      <c r="E70" s="608">
        <v>0.9166666666678793</v>
      </c>
      <c r="F70" s="609"/>
      <c r="G70" s="609"/>
      <c r="H70" s="609"/>
      <c r="I70" s="609"/>
      <c r="J70" s="610"/>
      <c r="K70" s="611">
        <v>0</v>
      </c>
      <c r="L70" s="609"/>
      <c r="M70" s="609"/>
      <c r="N70" s="609"/>
      <c r="O70" s="609"/>
      <c r="P70" s="612"/>
      <c r="Q70" s="613">
        <f t="shared" ref="Q70:Q81" si="14">IF(AND(NOT(ISBLANK(K70)),NOT(ISBLANK(E70))), IF(K70&gt;E70,K70-E70,24-E70+K70), "")</f>
        <v>23.08333333333212</v>
      </c>
      <c r="R70" s="614"/>
      <c r="S70" s="614"/>
      <c r="T70" s="614"/>
      <c r="U70" s="614"/>
      <c r="V70" s="615"/>
      <c r="W70" s="620" t="s">
        <v>175</v>
      </c>
      <c r="X70" s="621"/>
      <c r="Y70" s="621"/>
      <c r="Z70" s="621"/>
      <c r="AA70" s="621"/>
      <c r="AB70" s="621"/>
      <c r="AC70" s="621"/>
      <c r="AD70" s="621"/>
      <c r="AE70" s="621"/>
      <c r="AF70" s="621"/>
      <c r="AG70" s="621"/>
      <c r="AH70" s="621"/>
      <c r="AI70" s="622"/>
    </row>
    <row r="71" ht="15.75" customHeight="1" spans="1:35" s="604" customFormat="1" x14ac:dyDescent="0.25">
      <c r="A71" s="619" t="s">
        <v>41</v>
      </c>
      <c r="B71" s="55"/>
      <c r="C71" s="55"/>
      <c r="D71" s="56"/>
      <c r="E71" s="608">
        <v>0</v>
      </c>
      <c r="F71" s="609"/>
      <c r="G71" s="609"/>
      <c r="H71" s="609"/>
      <c r="I71" s="609"/>
      <c r="J71" s="610"/>
      <c r="K71" s="611">
        <v>0.041666666667879326</v>
      </c>
      <c r="L71" s="609"/>
      <c r="M71" s="609"/>
      <c r="N71" s="609"/>
      <c r="O71" s="609"/>
      <c r="P71" s="612"/>
      <c r="Q71" s="613">
        <f t="shared" si="14"/>
        <v>0.041666666667879326</v>
      </c>
      <c r="R71" s="614"/>
      <c r="S71" s="614"/>
      <c r="T71" s="614"/>
      <c r="U71" s="614"/>
      <c r="V71" s="615"/>
      <c r="W71" s="620" t="s">
        <v>168</v>
      </c>
      <c r="X71" s="621"/>
      <c r="Y71" s="621"/>
      <c r="Z71" s="621"/>
      <c r="AA71" s="621"/>
      <c r="AB71" s="621"/>
      <c r="AC71" s="621"/>
      <c r="AD71" s="621"/>
      <c r="AE71" s="621"/>
      <c r="AF71" s="621"/>
      <c r="AG71" s="621"/>
      <c r="AH71" s="621"/>
      <c r="AI71" s="622"/>
    </row>
    <row r="72" ht="15.75" customHeight="1" spans="1:35" s="604" customFormat="1" x14ac:dyDescent="0.25">
      <c r="A72" s="619"/>
      <c r="B72" s="55"/>
      <c r="C72" s="55"/>
      <c r="D72" s="56"/>
      <c r="E72" s="608">
        <v>0.041666666667879326</v>
      </c>
      <c r="F72" s="609"/>
      <c r="G72" s="609"/>
      <c r="H72" s="609"/>
      <c r="I72" s="609"/>
      <c r="J72" s="610"/>
      <c r="K72" s="611">
        <v>0.14583333333212067</v>
      </c>
      <c r="L72" s="609"/>
      <c r="M72" s="609"/>
      <c r="N72" s="609"/>
      <c r="O72" s="609"/>
      <c r="P72" s="612"/>
      <c r="Q72" s="613">
        <f t="shared" si="14"/>
        <v>0.10416666666787933</v>
      </c>
      <c r="R72" s="614"/>
      <c r="S72" s="614"/>
      <c r="T72" s="614"/>
      <c r="U72" s="614"/>
      <c r="V72" s="615"/>
      <c r="W72" s="620" t="s">
        <v>172</v>
      </c>
      <c r="X72" s="621"/>
      <c r="Y72" s="621"/>
      <c r="Z72" s="621"/>
      <c r="AA72" s="621"/>
      <c r="AB72" s="621"/>
      <c r="AC72" s="621"/>
      <c r="AD72" s="621"/>
      <c r="AE72" s="621"/>
      <c r="AF72" s="621"/>
      <c r="AG72" s="621"/>
      <c r="AH72" s="621"/>
      <c r="AI72" s="622"/>
    </row>
    <row r="73" ht="15.75" customHeight="1" spans="1:35" s="604" customFormat="1" x14ac:dyDescent="0.25">
      <c r="A73" s="619"/>
      <c r="B73" s="55"/>
      <c r="C73" s="55"/>
      <c r="D73" s="56"/>
      <c r="E73" s="608">
        <v>0.14583333333212067</v>
      </c>
      <c r="F73" s="609"/>
      <c r="G73" s="609"/>
      <c r="H73" s="609"/>
      <c r="I73" s="609"/>
      <c r="J73" s="610"/>
      <c r="K73" s="611">
        <v>0.16666666666787933</v>
      </c>
      <c r="L73" s="609"/>
      <c r="M73" s="609"/>
      <c r="N73" s="609"/>
      <c r="O73" s="609"/>
      <c r="P73" s="612"/>
      <c r="Q73" s="613">
        <f t="shared" si="14"/>
        <v>0.020833333332120674</v>
      </c>
      <c r="R73" s="614"/>
      <c r="S73" s="614"/>
      <c r="T73" s="614"/>
      <c r="U73" s="614"/>
      <c r="V73" s="615"/>
      <c r="W73" s="620" t="s">
        <v>176</v>
      </c>
      <c r="X73" s="621"/>
      <c r="Y73" s="621"/>
      <c r="Z73" s="621"/>
      <c r="AA73" s="621"/>
      <c r="AB73" s="621"/>
      <c r="AC73" s="621"/>
      <c r="AD73" s="621"/>
      <c r="AE73" s="621"/>
      <c r="AF73" s="621"/>
      <c r="AG73" s="621"/>
      <c r="AH73" s="621"/>
      <c r="AI73" s="622"/>
    </row>
    <row r="74" ht="15.75" customHeight="1" spans="1:35" s="604" customFormat="1" x14ac:dyDescent="0.25">
      <c r="A74" s="619"/>
      <c r="B74" s="55"/>
      <c r="C74" s="55"/>
      <c r="D74" s="56"/>
      <c r="E74" s="608">
        <v>0.16666666666787933</v>
      </c>
      <c r="F74" s="609"/>
      <c r="G74" s="609"/>
      <c r="H74" s="609"/>
      <c r="I74" s="609"/>
      <c r="J74" s="610"/>
      <c r="K74" s="609">
        <v>0.2708333333321207</v>
      </c>
      <c r="L74" s="609"/>
      <c r="M74" s="609"/>
      <c r="N74" s="609"/>
      <c r="O74" s="609"/>
      <c r="P74" s="612"/>
      <c r="Q74" s="613">
        <f t="shared" si="14"/>
        <v>0.10416666666787933</v>
      </c>
      <c r="R74" s="614"/>
      <c r="S74" s="614"/>
      <c r="T74" s="614"/>
      <c r="U74" s="614"/>
      <c r="V74" s="615"/>
      <c r="W74" s="620" t="s">
        <v>172</v>
      </c>
      <c r="X74" s="621"/>
      <c r="Y74" s="621"/>
      <c r="Z74" s="621"/>
      <c r="AA74" s="621"/>
      <c r="AB74" s="621"/>
      <c r="AC74" s="621"/>
      <c r="AD74" s="621"/>
      <c r="AE74" s="621"/>
      <c r="AF74" s="621"/>
      <c r="AG74" s="621"/>
      <c r="AH74" s="621"/>
      <c r="AI74" s="622"/>
    </row>
    <row r="75" ht="15.75" customHeight="1" spans="1:35" s="604" customFormat="1" x14ac:dyDescent="0.25">
      <c r="A75" s="619"/>
      <c r="B75" s="55"/>
      <c r="C75" s="55"/>
      <c r="D75" s="56"/>
      <c r="E75" s="608">
        <v>0.2708333333321207</v>
      </c>
      <c r="F75" s="609"/>
      <c r="G75" s="609"/>
      <c r="H75" s="609"/>
      <c r="I75" s="609"/>
      <c r="J75" s="610"/>
      <c r="K75" s="609">
        <v>0.3333333333321207</v>
      </c>
      <c r="L75" s="609"/>
      <c r="M75" s="609"/>
      <c r="N75" s="609"/>
      <c r="O75" s="609"/>
      <c r="P75" s="612"/>
      <c r="Q75" s="613">
        <f t="shared" si="14"/>
        <v>0.0625</v>
      </c>
      <c r="R75" s="614"/>
      <c r="S75" s="614"/>
      <c r="T75" s="614"/>
      <c r="U75" s="614"/>
      <c r="V75" s="615"/>
      <c r="W75" s="620" t="s">
        <v>168</v>
      </c>
      <c r="X75" s="621"/>
      <c r="Y75" s="621"/>
      <c r="Z75" s="621"/>
      <c r="AA75" s="621"/>
      <c r="AB75" s="621"/>
      <c r="AC75" s="621"/>
      <c r="AD75" s="621"/>
      <c r="AE75" s="621"/>
      <c r="AF75" s="621"/>
      <c r="AG75" s="621"/>
      <c r="AH75" s="621"/>
      <c r="AI75" s="622"/>
    </row>
    <row r="76" ht="15.75" customHeight="1" spans="1:35" s="604" customFormat="1" x14ac:dyDescent="0.25">
      <c r="A76" s="619"/>
      <c r="B76" s="55"/>
      <c r="C76" s="55"/>
      <c r="D76" s="56"/>
      <c r="E76" s="608">
        <v>0.3333333333321207</v>
      </c>
      <c r="F76" s="609"/>
      <c r="G76" s="609"/>
      <c r="H76" s="609"/>
      <c r="I76" s="609"/>
      <c r="J76" s="610"/>
      <c r="K76" s="611">
        <v>0.4583333333321207</v>
      </c>
      <c r="L76" s="609"/>
      <c r="M76" s="609"/>
      <c r="N76" s="609"/>
      <c r="O76" s="609"/>
      <c r="P76" s="612"/>
      <c r="Q76" s="613">
        <f t="shared" si="14"/>
        <v>0.125</v>
      </c>
      <c r="R76" s="614"/>
      <c r="S76" s="614"/>
      <c r="T76" s="614"/>
      <c r="U76" s="614"/>
      <c r="V76" s="615"/>
      <c r="W76" s="620" t="s">
        <v>172</v>
      </c>
      <c r="X76" s="621"/>
      <c r="Y76" s="621"/>
      <c r="Z76" s="621"/>
      <c r="AA76" s="621"/>
      <c r="AB76" s="621"/>
      <c r="AC76" s="621"/>
      <c r="AD76" s="621"/>
      <c r="AE76" s="621"/>
      <c r="AF76" s="621"/>
      <c r="AG76" s="621"/>
      <c r="AH76" s="621"/>
      <c r="AI76" s="622"/>
    </row>
    <row r="77" ht="15.75" customHeight="1" spans="1:35" s="604" customFormat="1" x14ac:dyDescent="0.25">
      <c r="A77" s="619"/>
      <c r="B77" s="55"/>
      <c r="C77" s="55"/>
      <c r="D77" s="56"/>
      <c r="E77" s="608"/>
      <c r="F77" s="609"/>
      <c r="G77" s="609"/>
      <c r="H77" s="609"/>
      <c r="I77" s="609"/>
      <c r="J77" s="610"/>
      <c r="K77" s="611">
        <v>0.4583333333321207</v>
      </c>
      <c r="L77" s="609"/>
      <c r="M77" s="609"/>
      <c r="N77" s="609"/>
      <c r="O77" s="609"/>
      <c r="P77" s="612"/>
      <c r="Q77" s="613">
        <f t="shared" si="14"/>
      </c>
      <c r="R77" s="614"/>
      <c r="S77" s="614"/>
      <c r="T77" s="614"/>
      <c r="U77" s="614"/>
      <c r="V77" s="615"/>
      <c r="W77" s="620" t="s">
        <v>173</v>
      </c>
      <c r="X77" s="621"/>
      <c r="Y77" s="621"/>
      <c r="Z77" s="621"/>
      <c r="AA77" s="621"/>
      <c r="AB77" s="621"/>
      <c r="AC77" s="621"/>
      <c r="AD77" s="621"/>
      <c r="AE77" s="621"/>
      <c r="AF77" s="621"/>
      <c r="AG77" s="621"/>
      <c r="AH77" s="621"/>
      <c r="AI77" s="622"/>
    </row>
    <row r="78" ht="15.75" customHeight="1" spans="1:35" s="604" customFormat="1" x14ac:dyDescent="0.25">
      <c r="A78" s="619"/>
      <c r="B78" s="55"/>
      <c r="C78" s="55"/>
      <c r="D78" s="56"/>
      <c r="E78" s="608">
        <v>0.4583333333321207</v>
      </c>
      <c r="F78" s="609"/>
      <c r="G78" s="609"/>
      <c r="H78" s="609"/>
      <c r="I78" s="609"/>
      <c r="J78" s="610"/>
      <c r="K78" s="611"/>
      <c r="L78" s="609"/>
      <c r="M78" s="609"/>
      <c r="N78" s="609"/>
      <c r="O78" s="609"/>
      <c r="P78" s="612"/>
      <c r="Q78" s="613">
        <f t="shared" si="14"/>
      </c>
      <c r="R78" s="614"/>
      <c r="S78" s="614"/>
      <c r="T78" s="614"/>
      <c r="U78" s="614"/>
      <c r="V78" s="615"/>
      <c r="W78" s="620" t="s">
        <v>166</v>
      </c>
      <c r="X78" s="621"/>
      <c r="Y78" s="621"/>
      <c r="Z78" s="621"/>
      <c r="AA78" s="621"/>
      <c r="AB78" s="621"/>
      <c r="AC78" s="621"/>
      <c r="AD78" s="621"/>
      <c r="AE78" s="621"/>
      <c r="AF78" s="621"/>
      <c r="AG78" s="621"/>
      <c r="AH78" s="621"/>
      <c r="AI78" s="622"/>
    </row>
    <row r="79" ht="15.75" customHeight="1" spans="1:35" s="604" customFormat="1" x14ac:dyDescent="0.25">
      <c r="A79" s="619"/>
      <c r="B79" s="55"/>
      <c r="C79" s="55"/>
      <c r="D79" s="56"/>
      <c r="E79" s="608">
        <v>0.4583333333321207</v>
      </c>
      <c r="F79" s="609"/>
      <c r="G79" s="609"/>
      <c r="H79" s="609"/>
      <c r="I79" s="609"/>
      <c r="J79" s="610"/>
      <c r="K79" s="611">
        <v>0.5</v>
      </c>
      <c r="L79" s="609"/>
      <c r="M79" s="609"/>
      <c r="N79" s="609"/>
      <c r="O79" s="609"/>
      <c r="P79" s="612"/>
      <c r="Q79" s="613">
        <f t="shared" si="14"/>
        <v>0.041666666667879326</v>
      </c>
      <c r="R79" s="614"/>
      <c r="S79" s="614"/>
      <c r="T79" s="614"/>
      <c r="U79" s="614"/>
      <c r="V79" s="615"/>
      <c r="W79" s="620" t="s">
        <v>167</v>
      </c>
      <c r="X79" s="621"/>
      <c r="Y79" s="621"/>
      <c r="Z79" s="621"/>
      <c r="AA79" s="621"/>
      <c r="AB79" s="621"/>
      <c r="AC79" s="621"/>
      <c r="AD79" s="621"/>
      <c r="AE79" s="621"/>
      <c r="AF79" s="621"/>
      <c r="AG79" s="621"/>
      <c r="AH79" s="621"/>
      <c r="AI79" s="622"/>
    </row>
    <row r="80" ht="15.75" customHeight="1" spans="1:35" s="604" customFormat="1" x14ac:dyDescent="0.25">
      <c r="A80" s="619"/>
      <c r="B80" s="55"/>
      <c r="C80" s="55"/>
      <c r="D80" s="56"/>
      <c r="E80" s="608">
        <v>0.5</v>
      </c>
      <c r="F80" s="609"/>
      <c r="G80" s="609"/>
      <c r="H80" s="609"/>
      <c r="I80" s="609"/>
      <c r="J80" s="610"/>
      <c r="K80" s="611">
        <v>0.5416666666678793</v>
      </c>
      <c r="L80" s="609"/>
      <c r="M80" s="609"/>
      <c r="N80" s="609"/>
      <c r="O80" s="609"/>
      <c r="P80" s="612"/>
      <c r="Q80" s="613">
        <f t="shared" si="14"/>
        <v>0.041666666667879326</v>
      </c>
      <c r="R80" s="614"/>
      <c r="S80" s="614"/>
      <c r="T80" s="614"/>
      <c r="U80" s="614"/>
      <c r="V80" s="615"/>
      <c r="W80" s="620" t="s">
        <v>168</v>
      </c>
      <c r="X80" s="621"/>
      <c r="Y80" s="621"/>
      <c r="Z80" s="621"/>
      <c r="AA80" s="621"/>
      <c r="AB80" s="621"/>
      <c r="AC80" s="621"/>
      <c r="AD80" s="621"/>
      <c r="AE80" s="621"/>
      <c r="AF80" s="621"/>
      <c r="AG80" s="621"/>
      <c r="AH80" s="621"/>
      <c r="AI80" s="622"/>
    </row>
    <row r="81" ht="15.75" customHeight="1" spans="1:35" s="604" customFormat="1" x14ac:dyDescent="0.25">
      <c r="A81" s="619"/>
      <c r="B81" s="55"/>
      <c r="C81" s="55"/>
      <c r="D81" s="56"/>
      <c r="E81" s="608">
        <v>0.5416666666678793</v>
      </c>
      <c r="F81" s="609"/>
      <c r="G81" s="609"/>
      <c r="H81" s="609"/>
      <c r="I81" s="609"/>
      <c r="J81" s="610"/>
      <c r="K81" s="611">
        <v>0.6041666666678793</v>
      </c>
      <c r="L81" s="609"/>
      <c r="M81" s="609"/>
      <c r="N81" s="609"/>
      <c r="O81" s="609"/>
      <c r="P81" s="612"/>
      <c r="Q81" s="613">
        <f t="shared" si="14"/>
        <v>0.0625</v>
      </c>
      <c r="R81" s="614"/>
      <c r="S81" s="614"/>
      <c r="T81" s="614"/>
      <c r="U81" s="614"/>
      <c r="V81" s="615"/>
      <c r="W81" s="620" t="s">
        <v>167</v>
      </c>
      <c r="X81" s="621"/>
      <c r="Y81" s="621"/>
      <c r="Z81" s="621"/>
      <c r="AA81" s="621"/>
      <c r="AB81" s="621"/>
      <c r="AC81" s="621"/>
      <c r="AD81" s="621"/>
      <c r="AE81" s="621"/>
      <c r="AF81" s="621"/>
      <c r="AG81" s="621"/>
      <c r="AH81" s="621"/>
      <c r="AI81" s="622"/>
    </row>
    <row r="82" ht="15.75" customHeight="1" spans="1:35" s="604" customFormat="1" x14ac:dyDescent="0.25">
      <c r="A82" s="619"/>
      <c r="B82" s="55"/>
      <c r="C82" s="55"/>
      <c r="D82" s="56"/>
      <c r="E82" s="608"/>
      <c r="F82" s="609"/>
      <c r="G82" s="609"/>
      <c r="H82" s="609"/>
      <c r="I82" s="609"/>
      <c r="J82" s="610"/>
      <c r="K82" s="611">
        <f>K81</f>
        <v>0.6041666666678793</v>
      </c>
      <c r="L82" s="609"/>
      <c r="M82" s="609"/>
      <c r="N82" s="609"/>
      <c r="O82" s="609"/>
      <c r="P82" s="612"/>
      <c r="Q82" s="613"/>
      <c r="R82" s="614"/>
      <c r="S82" s="614"/>
      <c r="T82" s="614"/>
      <c r="U82" s="614"/>
      <c r="V82" s="615"/>
      <c r="W82" s="620" t="s">
        <v>169</v>
      </c>
      <c r="X82" s="621"/>
      <c r="Y82" s="621"/>
      <c r="Z82" s="621"/>
      <c r="AA82" s="621"/>
      <c r="AB82" s="621"/>
      <c r="AC82" s="621"/>
      <c r="AD82" s="621"/>
      <c r="AE82" s="621"/>
      <c r="AF82" s="621"/>
      <c r="AG82" s="621"/>
      <c r="AH82" s="621"/>
      <c r="AI82" s="622"/>
    </row>
    <row r="83" ht="15.75" customHeight="1" hidden="1" spans="1:35" s="604" customFormat="1" x14ac:dyDescent="0.25">
      <c r="A83" s="619"/>
      <c r="B83" s="55"/>
      <c r="C83" s="55"/>
      <c r="D83" s="56"/>
      <c r="E83" s="608"/>
      <c r="F83" s="609"/>
      <c r="G83" s="609"/>
      <c r="H83" s="609"/>
      <c r="I83" s="609"/>
      <c r="J83" s="610"/>
      <c r="K83" s="611"/>
      <c r="L83" s="609"/>
      <c r="M83" s="609"/>
      <c r="N83" s="609"/>
      <c r="O83" s="609"/>
      <c r="P83" s="612"/>
      <c r="Q83" s="613">
        <f t="shared" ref="Q83" si="15">IF(AND(NOT(ISBLANK(K83)),NOT(ISBLANK(E83))), IF(K83&gt;E83,K83-E83,24-E83+K83), "")</f>
      </c>
      <c r="R83" s="614"/>
      <c r="S83" s="614"/>
      <c r="T83" s="614"/>
      <c r="U83" s="614"/>
      <c r="V83" s="615"/>
      <c r="W83" s="620"/>
      <c r="X83" s="621"/>
      <c r="Y83" s="621"/>
      <c r="Z83" s="621"/>
      <c r="AA83" s="621"/>
      <c r="AB83" s="621"/>
      <c r="AC83" s="621"/>
      <c r="AD83" s="621"/>
      <c r="AE83" s="621"/>
      <c r="AF83" s="621"/>
      <c r="AG83" s="621"/>
      <c r="AH83" s="621"/>
      <c r="AI83" s="622"/>
    </row>
    <row r="84" ht="15.75" customHeight="1" hidden="1" spans="1:35" s="604" customFormat="1" x14ac:dyDescent="0.25">
      <c r="A84" s="619"/>
      <c r="B84" s="55"/>
      <c r="C84" s="55"/>
      <c r="D84" s="56"/>
      <c r="E84" s="608"/>
      <c r="F84" s="609"/>
      <c r="G84" s="609"/>
      <c r="H84" s="609"/>
      <c r="I84" s="609"/>
      <c r="J84" s="610"/>
      <c r="K84" s="611"/>
      <c r="L84" s="609"/>
      <c r="M84" s="609"/>
      <c r="N84" s="609"/>
      <c r="O84" s="609"/>
      <c r="P84" s="612"/>
      <c r="Q84" s="613">
        <f t="shared" ref="Q84" si="16">IF(AND(NOT(ISBLANK(K84)),NOT(ISBLANK(E84))), IF(K84&gt;E84,K84-E84,24-E84+K84), "")</f>
      </c>
      <c r="R84" s="614"/>
      <c r="S84" s="614"/>
      <c r="T84" s="614"/>
      <c r="U84" s="614"/>
      <c r="V84" s="615"/>
      <c r="W84" s="620"/>
      <c r="X84" s="621"/>
      <c r="Y84" s="621"/>
      <c r="Z84" s="621"/>
      <c r="AA84" s="621"/>
      <c r="AB84" s="621"/>
      <c r="AC84" s="621"/>
      <c r="AD84" s="621"/>
      <c r="AE84" s="621"/>
      <c r="AF84" s="621"/>
      <c r="AG84" s="621"/>
      <c r="AH84" s="621"/>
      <c r="AI84" s="622"/>
    </row>
    <row r="85" ht="15.75" customHeight="1" hidden="1" spans="1:35" s="604" customFormat="1" x14ac:dyDescent="0.25">
      <c r="A85" s="619"/>
      <c r="B85" s="55"/>
      <c r="C85" s="55"/>
      <c r="D85" s="56"/>
      <c r="E85" s="608"/>
      <c r="F85" s="609"/>
      <c r="G85" s="609"/>
      <c r="H85" s="609"/>
      <c r="I85" s="609"/>
      <c r="J85" s="610"/>
      <c r="K85" s="611"/>
      <c r="L85" s="609"/>
      <c r="M85" s="609"/>
      <c r="N85" s="609"/>
      <c r="O85" s="609"/>
      <c r="P85" s="612"/>
      <c r="Q85" s="613">
        <f t="shared" ref="Q85" si="17">IF(AND(NOT(ISBLANK(K85)),NOT(ISBLANK(E85))), IF(K85&gt;E85,K85-E85,24-E85+K85), "")</f>
      </c>
      <c r="R85" s="614"/>
      <c r="S85" s="614"/>
      <c r="T85" s="614"/>
      <c r="U85" s="614"/>
      <c r="V85" s="615"/>
      <c r="W85" s="620"/>
      <c r="X85" s="621"/>
      <c r="Y85" s="621"/>
      <c r="Z85" s="621"/>
      <c r="AA85" s="621"/>
      <c r="AB85" s="621"/>
      <c r="AC85" s="621"/>
      <c r="AD85" s="621"/>
      <c r="AE85" s="621"/>
      <c r="AF85" s="621"/>
      <c r="AG85" s="621"/>
      <c r="AH85" s="621"/>
      <c r="AI85" s="622"/>
    </row>
    <row r="86" ht="15.75" customHeight="1" spans="1:35" s="604" customFormat="1" x14ac:dyDescent="0.25">
      <c r="A86" s="619"/>
      <c r="B86" s="55"/>
      <c r="C86" s="55"/>
      <c r="D86" s="56"/>
      <c r="E86" s="608"/>
      <c r="F86" s="609"/>
      <c r="G86" s="609"/>
      <c r="H86" s="609"/>
      <c r="I86" s="609"/>
      <c r="J86" s="610"/>
      <c r="K86" s="609"/>
      <c r="L86" s="609"/>
      <c r="M86" s="609"/>
      <c r="N86" s="609"/>
      <c r="O86" s="609"/>
      <c r="P86" s="612"/>
      <c r="Q86" s="613">
        <f t="shared" ref="Q86" si="18">IF(AND(NOT(ISBLANK(K86)),NOT(ISBLANK(E86))), IF(K86&gt;E86,K86-E86,24-E86+K86), "")</f>
      </c>
      <c r="R86" s="614"/>
      <c r="S86" s="614"/>
      <c r="T86" s="614"/>
      <c r="U86" s="614"/>
      <c r="V86" s="615"/>
      <c r="W86" s="641"/>
      <c r="X86" s="642"/>
      <c r="Y86" s="642"/>
      <c r="Z86" s="642"/>
      <c r="AA86" s="642"/>
      <c r="AB86" s="642"/>
      <c r="AC86" s="642"/>
      <c r="AD86" s="642"/>
      <c r="AE86" s="642"/>
      <c r="AF86" s="642"/>
      <c r="AG86" s="642"/>
      <c r="AH86" s="642"/>
      <c r="AI86" s="643"/>
    </row>
    <row r="87" ht="15.75" customHeight="1" spans="1:35" s="604" customFormat="1" x14ac:dyDescent="0.25">
      <c r="A87" s="623"/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5"/>
      <c r="Q87" s="626">
        <f>SUM(Q68:V86)</f>
        <v>23.80208333333212</v>
      </c>
      <c r="R87" s="626"/>
      <c r="S87" s="626"/>
      <c r="T87" s="626"/>
      <c r="U87" s="626"/>
      <c r="V87" s="626"/>
      <c r="W87" s="627"/>
      <c r="X87" s="628"/>
      <c r="Y87" s="628"/>
      <c r="Z87" s="628"/>
      <c r="AA87" s="628"/>
      <c r="AB87" s="628"/>
      <c r="AC87" s="628"/>
      <c r="AD87" s="628"/>
      <c r="AE87" s="628"/>
      <c r="AF87" s="628"/>
      <c r="AG87" s="628"/>
      <c r="AH87" s="628"/>
      <c r="AI87" s="629"/>
    </row>
    <row r="88" spans="1:25" x14ac:dyDescent="0.25">
      <c r="A88" s="502"/>
      <c r="B88" s="502"/>
      <c r="C88" s="502"/>
      <c r="D88" s="502"/>
      <c r="E88" s="502"/>
      <c r="F88" s="502"/>
      <c r="G88" s="502"/>
      <c r="H88" s="502"/>
      <c r="I88" s="502"/>
      <c r="J88" s="502"/>
      <c r="K88" s="502"/>
      <c r="L88" s="502"/>
      <c r="M88" s="502"/>
      <c r="N88" s="502"/>
      <c r="O88" s="502"/>
      <c r="P88" s="502"/>
      <c r="Q88" s="502"/>
      <c r="R88" s="502"/>
      <c r="S88" s="502"/>
      <c r="T88" s="502"/>
      <c r="U88" s="502"/>
      <c r="V88" s="502"/>
      <c r="W88" s="502"/>
      <c r="X88" s="502"/>
      <c r="Y88" s="502"/>
    </row>
    <row r="89" spans="1:25" x14ac:dyDescent="0.25">
      <c r="A89" s="502"/>
      <c r="B89" s="502"/>
      <c r="C89" s="502"/>
      <c r="D89" s="502"/>
      <c r="E89" s="502"/>
      <c r="F89" s="502"/>
      <c r="G89" s="502"/>
      <c r="H89" s="502"/>
      <c r="I89" s="502"/>
      <c r="J89" s="502"/>
      <c r="K89" s="502"/>
      <c r="L89" s="502"/>
      <c r="M89" s="502"/>
      <c r="N89" s="502"/>
      <c r="O89" s="502"/>
      <c r="P89" s="502"/>
      <c r="Q89" s="502"/>
      <c r="R89" s="502"/>
      <c r="S89" s="502"/>
      <c r="T89" s="502"/>
      <c r="U89" s="502"/>
      <c r="V89" s="502"/>
      <c r="W89" s="502"/>
      <c r="X89" s="502"/>
      <c r="Y89" s="502"/>
    </row>
    <row r="90" spans="1:25" x14ac:dyDescent="0.25">
      <c r="A90" s="502"/>
      <c r="B90" s="502"/>
      <c r="C90" s="502"/>
      <c r="D90" s="502"/>
      <c r="E90" s="502"/>
      <c r="F90" s="502"/>
      <c r="G90" s="502"/>
      <c r="H90" s="502"/>
      <c r="I90" s="502"/>
      <c r="J90" s="502"/>
      <c r="K90" s="502"/>
      <c r="L90" s="502"/>
      <c r="M90" s="502"/>
      <c r="N90" s="502"/>
      <c r="O90" s="502"/>
      <c r="P90" s="502"/>
      <c r="Q90" s="502"/>
      <c r="R90" s="502"/>
      <c r="S90" s="502"/>
      <c r="T90" s="502"/>
      <c r="U90" s="502"/>
      <c r="V90" s="502"/>
      <c r="W90" s="502"/>
      <c r="X90" s="502"/>
      <c r="Y90" s="502"/>
    </row>
    <row r="91" spans="1:25" x14ac:dyDescent="0.25">
      <c r="A91" s="502"/>
      <c r="B91" s="502"/>
      <c r="C91" s="502"/>
      <c r="D91" s="502"/>
      <c r="E91" s="502"/>
      <c r="F91" s="502"/>
      <c r="G91" s="502"/>
      <c r="H91" s="502"/>
      <c r="I91" s="502"/>
      <c r="J91" s="502"/>
      <c r="K91" s="502"/>
      <c r="L91" s="502"/>
      <c r="M91" s="502"/>
      <c r="N91" s="502"/>
      <c r="O91" s="502"/>
      <c r="P91" s="502"/>
      <c r="Q91" s="502"/>
      <c r="R91" s="502"/>
      <c r="S91" s="502"/>
      <c r="T91" s="502"/>
      <c r="U91" s="502"/>
      <c r="V91" s="502"/>
      <c r="W91" s="502"/>
      <c r="X91" s="502"/>
      <c r="Y91" s="502"/>
    </row>
    <row r="92" spans="1:25" x14ac:dyDescent="0.25">
      <c r="A92" s="502"/>
      <c r="B92" s="502"/>
      <c r="C92" s="502"/>
      <c r="D92" s="502"/>
      <c r="E92" s="502"/>
      <c r="F92" s="502"/>
      <c r="G92" s="502"/>
      <c r="H92" s="502"/>
      <c r="I92" s="502"/>
      <c r="J92" s="502"/>
      <c r="K92" s="502"/>
      <c r="L92" s="502"/>
      <c r="M92" s="502"/>
      <c r="N92" s="502"/>
      <c r="O92" s="502"/>
      <c r="P92" s="502"/>
      <c r="Q92" s="502"/>
      <c r="R92" s="502"/>
      <c r="S92" s="502"/>
      <c r="T92" s="502"/>
      <c r="U92" s="502"/>
      <c r="V92" s="502"/>
      <c r="W92" s="502"/>
      <c r="X92" s="502"/>
      <c r="Y92" s="502"/>
    </row>
  </sheetData>
  <mergeCells count="381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D47"/>
    <mergeCell ref="E47:J47"/>
    <mergeCell ref="K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P50"/>
    <mergeCell ref="Q50:V50"/>
    <mergeCell ref="W50:AI50"/>
    <mergeCell ref="A51:D51"/>
    <mergeCell ref="E51:J51"/>
    <mergeCell ref="K51:P51"/>
    <mergeCell ref="Q51:V51"/>
    <mergeCell ref="W51:AI51"/>
    <mergeCell ref="A52:D52"/>
    <mergeCell ref="E52:J52"/>
    <mergeCell ref="K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D61"/>
    <mergeCell ref="E61:J61"/>
    <mergeCell ref="K61:P61"/>
    <mergeCell ref="Q61:V61"/>
    <mergeCell ref="W61:AI61"/>
    <mergeCell ref="A62:D62"/>
    <mergeCell ref="E62:J62"/>
    <mergeCell ref="K62:P62"/>
    <mergeCell ref="Q62:V62"/>
    <mergeCell ref="W62:AI62"/>
    <mergeCell ref="A63:D63"/>
    <mergeCell ref="E63:J63"/>
    <mergeCell ref="K63:P63"/>
    <mergeCell ref="Q63:V63"/>
    <mergeCell ref="W63:AI63"/>
    <mergeCell ref="A64:D64"/>
    <mergeCell ref="E64:J64"/>
    <mergeCell ref="K64:P64"/>
    <mergeCell ref="Q64:V64"/>
    <mergeCell ref="W64:AI64"/>
    <mergeCell ref="A65:D65"/>
    <mergeCell ref="E65:J65"/>
    <mergeCell ref="K65:P65"/>
    <mergeCell ref="Q65:V65"/>
    <mergeCell ref="W65:AI65"/>
    <mergeCell ref="A66:D66"/>
    <mergeCell ref="E66:J66"/>
    <mergeCell ref="K66:P66"/>
    <mergeCell ref="Q66:V66"/>
    <mergeCell ref="W66:AI66"/>
    <mergeCell ref="A67:P67"/>
    <mergeCell ref="Q67:V67"/>
    <mergeCell ref="W67:AI67"/>
    <mergeCell ref="A68:D68"/>
    <mergeCell ref="E68:J68"/>
    <mergeCell ref="K68:P68"/>
    <mergeCell ref="Q68:V68"/>
    <mergeCell ref="W68:AI68"/>
    <mergeCell ref="A69:D69"/>
    <mergeCell ref="E69:J69"/>
    <mergeCell ref="K69:P69"/>
    <mergeCell ref="Q69:V69"/>
    <mergeCell ref="W69:AI69"/>
    <mergeCell ref="A70:D70"/>
    <mergeCell ref="E70:J70"/>
    <mergeCell ref="K70:P70"/>
    <mergeCell ref="Q70:V70"/>
    <mergeCell ref="W70:AI70"/>
    <mergeCell ref="A71:D71"/>
    <mergeCell ref="E71:J71"/>
    <mergeCell ref="K71:P71"/>
    <mergeCell ref="Q71:V71"/>
    <mergeCell ref="W71:AI71"/>
    <mergeCell ref="A72:D72"/>
    <mergeCell ref="E72:J72"/>
    <mergeCell ref="K72:P72"/>
    <mergeCell ref="Q72:V72"/>
    <mergeCell ref="W72:AI72"/>
    <mergeCell ref="A73:D73"/>
    <mergeCell ref="E73:J73"/>
    <mergeCell ref="K73:P73"/>
    <mergeCell ref="Q73:V73"/>
    <mergeCell ref="W73:AI73"/>
    <mergeCell ref="A74:D74"/>
    <mergeCell ref="E74:J74"/>
    <mergeCell ref="K74:P74"/>
    <mergeCell ref="Q74:V74"/>
    <mergeCell ref="W74:AI74"/>
    <mergeCell ref="A75:D75"/>
    <mergeCell ref="E75:J75"/>
    <mergeCell ref="K75:P75"/>
    <mergeCell ref="Q75:V75"/>
    <mergeCell ref="W75:AI75"/>
    <mergeCell ref="A76:D76"/>
    <mergeCell ref="E76:J76"/>
    <mergeCell ref="K76:P76"/>
    <mergeCell ref="Q76:V76"/>
    <mergeCell ref="W76:AI76"/>
    <mergeCell ref="A77:D77"/>
    <mergeCell ref="E77:J77"/>
    <mergeCell ref="K77:P77"/>
    <mergeCell ref="Q77:V77"/>
    <mergeCell ref="W77:AI77"/>
    <mergeCell ref="A78:D78"/>
    <mergeCell ref="E78:J78"/>
    <mergeCell ref="K78:P78"/>
    <mergeCell ref="Q78:V78"/>
    <mergeCell ref="W78:AI78"/>
    <mergeCell ref="A79:D79"/>
    <mergeCell ref="E79:J79"/>
    <mergeCell ref="K79:P79"/>
    <mergeCell ref="Q79:V79"/>
    <mergeCell ref="W79:AI79"/>
    <mergeCell ref="A80:D80"/>
    <mergeCell ref="E80:J80"/>
    <mergeCell ref="K80:P80"/>
    <mergeCell ref="Q80:V80"/>
    <mergeCell ref="W80:AI80"/>
    <mergeCell ref="A81:D81"/>
    <mergeCell ref="E81:J81"/>
    <mergeCell ref="K81:P81"/>
    <mergeCell ref="Q81:V81"/>
    <mergeCell ref="W81:AI81"/>
    <mergeCell ref="A82:D82"/>
    <mergeCell ref="E82:J82"/>
    <mergeCell ref="K82:P82"/>
    <mergeCell ref="Q82:V82"/>
    <mergeCell ref="W82:AI82"/>
    <mergeCell ref="A83:D83"/>
    <mergeCell ref="E83:J83"/>
    <mergeCell ref="K83:P83"/>
    <mergeCell ref="Q83:V83"/>
    <mergeCell ref="W83:AI83"/>
    <mergeCell ref="A84:D84"/>
    <mergeCell ref="E84:J84"/>
    <mergeCell ref="K84:P84"/>
    <mergeCell ref="Q84:V84"/>
    <mergeCell ref="W84:AI84"/>
    <mergeCell ref="A85:D85"/>
    <mergeCell ref="E85:J85"/>
    <mergeCell ref="K85:P85"/>
    <mergeCell ref="Q85:V85"/>
    <mergeCell ref="W85:AI85"/>
    <mergeCell ref="A86:D86"/>
    <mergeCell ref="E86:J86"/>
    <mergeCell ref="K86:P86"/>
    <mergeCell ref="Q86:V86"/>
    <mergeCell ref="W86:AI86"/>
    <mergeCell ref="A87:P87"/>
    <mergeCell ref="Q87:V87"/>
    <mergeCell ref="W87:AI87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2026-07-15T06:38:13Z</cp:lastPrinted>
  <dcterms:created xsi:type="dcterms:W3CDTF">2016-08-02T06:12:57Z</dcterms:created>
  <dcterms:modified xsi:type="dcterms:W3CDTF">2026-07-15T06:39:55Z</dcterms:modified>
</cp:coreProperties>
</file>