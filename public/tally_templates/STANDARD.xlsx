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955"/>
  </bookViews>
  <sheets>
    <sheet sheetId="12" name="Final Work" state="visible" r:id="rId4"/>
    <sheet sheetId="2" name="Time Sheet" state="visible" r:id="rId5"/>
    <sheet sheetId="14" name="OS-IN" state="visible" r:id="rId6"/>
    <sheet sheetId="15" name="DM-IN" state="visible" r:id="rId7"/>
    <sheet sheetId="5" name="OS-OUT" state="visible" r:id="rId8"/>
    <sheet sheetId="11" name="DM-OUT" state="visible" r:id="rId9"/>
    <sheet sheetId="18" name="Act. Cntr-Seal No List" state="visible" r:id="rId10"/>
    <sheet sheetId="19" name="RF condition report" state="visible" r:id="rId11"/>
    <sheet sheetId="13" name="Performance" state="visible" r:id="rId12"/>
    <sheet sheetId="20" name="SHIFTING" state="visible" r:id="rId13"/>
  </sheets>
  <calcPr calcId="171027"/>
</workbook>
</file>

<file path=xl/sharedStrings.xml><?xml version="1.0" encoding="utf-8"?>
<sst xmlns="http://schemas.openxmlformats.org/spreadsheetml/2006/main" count="588" uniqueCount="210">
  <si>
    <t xml:space="preserve">GREEN  MARINE  CO.,  LTD.  </t>
  </si>
  <si>
    <t>FINAL  WORKING  REPORT (VOUCHER)</t>
  </si>
  <si>
    <t>M/V  :</t>
  </si>
  <si>
    <t>DONGJIN CONTINENTAL</t>
  </si>
  <si>
    <t>VOY # :</t>
  </si>
  <si>
    <t>DATE :</t>
  </si>
  <si>
    <t>PIER :</t>
  </si>
  <si>
    <t>BERTH :</t>
  </si>
  <si>
    <t>PORT :</t>
  </si>
  <si>
    <t xml:space="preserve"> PYEONGTAEK, KOREA</t>
  </si>
  <si>
    <t>OPERATOR</t>
  </si>
  <si>
    <t>PORT</t>
  </si>
  <si>
    <t xml:space="preserve"> FULL / EMPTY</t>
  </si>
  <si>
    <t>20'</t>
  </si>
  <si>
    <t>40'</t>
  </si>
  <si>
    <r>
      <t>H</t>
    </r>
    <r>
      <rPr>
        <charset val="129"/>
        <color theme="1"/>
        <family val="3"/>
        <scheme val="minor"/>
        <sz val="10"/>
        <rFont val="맑은 고딕"/>
      </rPr>
      <t>C</t>
    </r>
  </si>
  <si>
    <t>45'</t>
  </si>
  <si>
    <t>F</t>
  </si>
  <si>
    <t>E</t>
  </si>
  <si>
    <t>Total</t>
  </si>
  <si>
    <t>Remarks : Discharging</t>
  </si>
  <si>
    <t>Remarks : Loading</t>
  </si>
  <si>
    <t>CHIEF CHECKER</t>
  </si>
  <si>
    <t>CHIEF OFFICER</t>
  </si>
  <si>
    <t>GREEN MARINE CO., LTD.</t>
  </si>
  <si>
    <t>PYEONGTAEK, KOREA</t>
  </si>
  <si>
    <t>T I M E    S H E E T</t>
  </si>
  <si>
    <r>
      <t xml:space="preserve">M / V </t>
    </r>
    <r>
      <rPr>
        <b/>
        <charset val="129"/>
        <family val="3"/>
        <scheme val="minor"/>
        <sz val="11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</si>
  <si>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1"/>
        <rFont val="맑은 고딕"/>
      </rPr>
      <t>:</t>
    </r>
    <r>
      <rPr>
        <charset val="129"/>
        <family val="3"/>
        <scheme val="minor"/>
        <sz val="11"/>
        <rFont val="맑은 고딕"/>
      </rPr>
      <t xml:space="preserve">  </t>
    </r>
  </si>
  <si>
    <r>
      <t xml:space="preserve">BERTH </t>
    </r>
    <r>
      <rPr>
        <b/>
        <charset val="129"/>
        <family val="3"/>
        <scheme val="minor"/>
        <sz val="11"/>
        <rFont val="맑은 고딕"/>
      </rPr>
      <t>:</t>
    </r>
  </si>
  <si>
    <t>WEATHER :</t>
  </si>
  <si>
    <r>
      <t xml:space="preserve">PORT : </t>
    </r>
    <r>
      <rPr>
        <u/>
        <charset val="129"/>
        <family val="3"/>
        <scheme val="minor"/>
        <sz val="11"/>
        <rFont val="맑은 고딕"/>
      </rPr>
      <t>PYEONGTAEK, KOREA</t>
    </r>
  </si>
  <si>
    <r>
      <t>T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I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</si>
  <si>
    <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E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M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A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R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K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>S</t>
    </r>
  </si>
  <si>
    <t xml:space="preserve"> CARGO  OVERAGE &amp; SHORTAGE  REPORT  (DISCH)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</si>
  <si>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</si>
  <si>
    <r>
      <t>VOY. NO.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</si>
  <si>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</si>
  <si>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  <r>
      <rPr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</si>
  <si>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r>
      <t xml:space="preserve">PIER  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</si>
  <si>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BERTH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</si>
  <si>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B/L NO.</t>
  </si>
  <si>
    <t>MARKS (PORT)</t>
  </si>
  <si>
    <t>DESCRIPTION</t>
  </si>
  <si>
    <t>TYPE OF</t>
  </si>
  <si>
    <t>MANIFESTED</t>
  </si>
  <si>
    <t>DISCHARGED</t>
  </si>
  <si>
    <t>OVER</t>
  </si>
  <si>
    <t>SHORT</t>
  </si>
  <si>
    <t>REMARKS</t>
  </si>
  <si>
    <t>PKGS</t>
  </si>
  <si>
    <t>T O T A L</t>
  </si>
  <si>
    <t>VAN</t>
  </si>
  <si>
    <t>NIL</t>
  </si>
  <si>
    <r>
      <t xml:space="preserve">  </t>
    </r>
    <r>
      <rPr>
        <u/>
        <charset val="129"/>
        <family val="3"/>
        <scheme val="minor"/>
        <sz val="10"/>
        <rFont val="맑은 고딕"/>
      </rPr>
      <t>REMARKS</t>
    </r>
  </si>
  <si>
    <t>STEVEDORE  PCTC</t>
  </si>
  <si>
    <t xml:space="preserve"> CARGO  DAMAGE  REPORT </t>
  </si>
  <si>
    <r>
      <t xml:space="preserve">M / V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</t>
    </r>
  </si>
  <si>
    <r>
      <t xml:space="preserve">VOY. NO.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</si>
  <si>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DATE  </t>
    </r>
    <r>
      <rPr>
        <b/>
        <charset val="129"/>
        <family val="3"/>
        <scheme val="minor"/>
        <sz val="12"/>
        <rFont val="맑은 고딕"/>
      </rPr>
      <t>:</t>
    </r>
  </si>
  <si>
    <r>
      <t xml:space="preserve">PORT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</si>
  <si>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r>
      <t xml:space="preserve">PIER     </t>
    </r>
    <r>
      <rPr>
        <b/>
        <charset val="129"/>
        <family val="3"/>
        <scheme val="minor"/>
        <sz val="12"/>
        <rFont val="맑은 고딕"/>
      </rPr>
      <t>:</t>
    </r>
  </si>
  <si>
    <t>PCTC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</si>
  <si>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</si>
  <si>
    <t>MARKS</t>
  </si>
  <si>
    <t>CONTENTS</t>
  </si>
  <si>
    <t>NO. OF</t>
  </si>
  <si>
    <t>TYPE</t>
  </si>
  <si>
    <t>EXCEPTION  ( Found In Stow )</t>
  </si>
  <si>
    <t xml:space="preserve"> CARGO  OVERAGE &amp; SHORTAGE  REPORT  (LOAD)</t>
  </si>
  <si>
    <r>
      <t>M / V</t>
    </r>
    <r>
      <rPr>
        <b/>
        <charset val="129"/>
        <family val="3"/>
        <scheme val="minor"/>
        <sz val="12"/>
        <rFont val="맑은 고딕"/>
      </rPr>
      <t xml:space="preserve"> :</t>
    </r>
  </si>
  <si>
    <r>
      <t xml:space="preserve">PORT </t>
    </r>
    <r>
      <rPr>
        <b/>
        <charset val="129"/>
        <family val="3"/>
        <scheme val="minor"/>
        <sz val="12"/>
        <rFont val="맑은 고딕"/>
      </rPr>
      <t xml:space="preserve"> : </t>
    </r>
    <r>
      <rPr>
        <b/>
        <charset val="129"/>
        <family val="3"/>
        <scheme val="minor"/>
        <sz val="11"/>
        <rFont val="맑은 고딕"/>
      </rPr>
      <t xml:space="preserve"> </t>
    </r>
    <r>
      <rPr>
        <charset val="129"/>
        <family val="3"/>
        <sz val="12"/>
        <rFont val="돋움"/>
      </rPr>
      <t/>
    </r>
  </si>
  <si>
    <t>LOADED</t>
  </si>
  <si>
    <r>
      <t xml:space="preserve">BERTH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</t>
    </r>
  </si>
  <si>
    <t>EXCEPTION  ( Prior To Load )</t>
  </si>
  <si>
    <r>
      <t xml:space="preserve">M / V     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DONGJIN CONTINENTAL</t>
    </r>
  </si>
  <si>
    <t>DATE  :</t>
  </si>
  <si>
    <r>
      <t>VOY.NO.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0220E</t>
    </r>
  </si>
  <si>
    <t xml:space="preserve"> </t>
  </si>
  <si>
    <t>PORT  :</t>
  </si>
  <si>
    <t>ACTUAL CONTAINER &amp; SEAL NUMBER LIST</t>
  </si>
  <si>
    <t>DISCH'</t>
  </si>
  <si>
    <t>MANIFEST</t>
  </si>
  <si>
    <t>SIZE</t>
  </si>
  <si>
    <t>ACTUAL</t>
  </si>
  <si>
    <t>RESEAL NO.</t>
  </si>
  <si>
    <t>CONT'R NO.</t>
  </si>
  <si>
    <t>SEAL NO.</t>
  </si>
  <si>
    <t>20FT</t>
  </si>
  <si>
    <t>EMPTY</t>
  </si>
  <si>
    <t>FULL</t>
  </si>
  <si>
    <t>40FT</t>
  </si>
  <si>
    <t>TOTAL</t>
  </si>
  <si>
    <t>M / V     : DONGJIN CONTINENTAL</t>
  </si>
  <si>
    <r>
      <t>VOY.NO.</t>
    </r>
    <r>
      <rPr>
        <b/>
        <charset val="129"/>
        <family val="3"/>
        <scheme val="minor"/>
        <sz val="12"/>
        <rFont val="맑은 고딕"/>
      </rPr>
      <t>:</t>
    </r>
    <r>
      <rPr>
        <charset val="129"/>
        <family val="3"/>
        <scheme val="minor"/>
        <sz val="12"/>
        <rFont val="맑은 고딕"/>
      </rPr>
      <t xml:space="preserve">  0221W</t>
    </r>
  </si>
  <si>
    <t>LOAD'</t>
  </si>
  <si>
    <t>REEFER CONTAINER CONDITION REPORT</t>
  </si>
  <si>
    <t>Discharging  /  Loading</t>
  </si>
  <si>
    <t>( 1/1)</t>
  </si>
  <si>
    <t>M / V : DONGJIN CONTINENTAL</t>
  </si>
  <si>
    <t>PIER   : PCTC</t>
  </si>
  <si>
    <r>
      <t xml:space="preserve"> </t>
    </r>
    <r>
      <rPr>
        <u/>
        <charset val="129"/>
        <family val="3"/>
        <scheme val="minor"/>
        <sz val="12"/>
        <rFont val="맑은 고딕"/>
      </rPr>
      <t>PYEONGTAEK, KOREA</t>
    </r>
  </si>
  <si>
    <t>CONTAINER NO.</t>
  </si>
  <si>
    <t>LOCATION</t>
  </si>
  <si>
    <t>TEMPERATURE</t>
  </si>
  <si>
    <t>TIME</t>
  </si>
  <si>
    <t>Bay/Slot/Tier</t>
  </si>
  <si>
    <t>Setting</t>
  </si>
  <si>
    <t>Actual</t>
  </si>
  <si>
    <t>Plug In / Out</t>
  </si>
  <si>
    <t>STEVEDORE PCTC</t>
  </si>
  <si>
    <t>DJLU5900171</t>
  </si>
  <si>
    <t>40'RH</t>
  </si>
  <si>
    <t>17:00 HR'S</t>
  </si>
  <si>
    <t>DJS</t>
  </si>
  <si>
    <t>FBIU5370454</t>
  </si>
  <si>
    <t>"</t>
  </si>
  <si>
    <t>SKR</t>
  </si>
  <si>
    <t>FSCU5869357</t>
  </si>
  <si>
    <t>OTPU6565999</t>
  </si>
  <si>
    <t>OTPU6671584</t>
  </si>
  <si>
    <t>OTPU6671706</t>
  </si>
  <si>
    <t>OTPU6765169</t>
  </si>
  <si>
    <t>OTPU6776543</t>
  </si>
  <si>
    <t>OTPU6776672</t>
  </si>
  <si>
    <t>SEKU9295776</t>
  </si>
  <si>
    <t>SEKU9305215</t>
  </si>
  <si>
    <t>SEKU9305257</t>
  </si>
  <si>
    <t>SKRU6504419</t>
  </si>
  <si>
    <t>SKRU6507362</t>
  </si>
  <si>
    <t>SKRU9401707</t>
  </si>
  <si>
    <t>SKRU9500567</t>
  </si>
  <si>
    <t>SKRU9903428</t>
  </si>
  <si>
    <t>SKRU9908564</t>
  </si>
  <si>
    <t xml:space="preserve">  &lt; CY 보관지침 &gt; </t>
  </si>
  <si>
    <t xml:space="preserve">     1. 최초 화주로 부터 지정된 온도(SETTING 온도를 말하며 수입목록 혹은 BAY PLAN에</t>
  </si>
  <si>
    <t xml:space="preserve">        표기된 온도)는 그 적정 온도를 유지하고 있는지 4시간마다 확인하여 기록 보관해야한다.</t>
  </si>
  <si>
    <t xml:space="preserve">     2. 온도를 지정하는 지시 및 표기가 없을 경우 일반적으로 채용되고 있는 </t>
  </si>
  <si>
    <t xml:space="preserve">        냉동/냉장 화물의 운송온도를 기준으로 한다.</t>
  </si>
  <si>
    <t xml:space="preserve">     3. 만일 온도 이상 및 기타 기기의 이상이 발견될 시는 즉시 OPERATOR에게 통보하여야한다.</t>
  </si>
  <si>
    <t>( 2/2)</t>
  </si>
  <si>
    <t>SEKU9305046</t>
  </si>
  <si>
    <t>SEKU9306227</t>
  </si>
  <si>
    <t>SEKU9306253</t>
  </si>
  <si>
    <t>SEKU9306280</t>
  </si>
  <si>
    <t>SEKU9306309</t>
  </si>
  <si>
    <t>SEKU9307291</t>
  </si>
  <si>
    <t>SEKU9307352</t>
  </si>
  <si>
    <t>SEKU9307373</t>
  </si>
  <si>
    <t>SKRU8900790</t>
  </si>
  <si>
    <t>SKRU9101660</t>
  </si>
  <si>
    <t>SKRU9600083</t>
  </si>
  <si>
    <t>SKRU9600993</t>
  </si>
  <si>
    <t>SKRU9601789</t>
  </si>
  <si>
    <t>SKRU9601834</t>
  </si>
  <si>
    <t>SKRU9603550</t>
  </si>
  <si>
    <t>SKRU9900624</t>
  </si>
  <si>
    <t>SKRU9902904</t>
  </si>
  <si>
    <t>SZLU9371474</t>
  </si>
  <si>
    <t>TTNU8002950</t>
  </si>
  <si>
    <t>GREEN MARINE CO., LTD</t>
  </si>
  <si>
    <t>PERFORMANCE  REPORT</t>
  </si>
  <si>
    <r>
      <t xml:space="preserve">M / V </t>
    </r>
    <r>
      <rPr>
        <b/>
        <charset val="129"/>
        <family val="3"/>
        <scheme val="minor"/>
        <sz val="10"/>
        <rFont val="맑은 고딕"/>
      </rPr>
      <t>:</t>
    </r>
  </si>
  <si>
    <r>
      <t xml:space="preserve">PIER  </t>
    </r>
    <r>
      <rPr>
        <b/>
        <charset val="129"/>
        <family val="3"/>
        <scheme val="minor"/>
        <sz val="10"/>
        <rFont val="맑은 고딕"/>
      </rPr>
      <t>:</t>
    </r>
  </si>
  <si>
    <t xml:space="preserve"> PORT :</t>
  </si>
  <si>
    <t>Status</t>
  </si>
  <si>
    <t xml:space="preserve"> Description</t>
  </si>
  <si>
    <t>HC</t>
  </si>
  <si>
    <t>IN BOUND</t>
  </si>
  <si>
    <t xml:space="preserve"> RH x 2</t>
  </si>
  <si>
    <t xml:space="preserve"> 20'RF x 1 , RH x 6</t>
  </si>
  <si>
    <t>S-TOTAL</t>
  </si>
  <si>
    <t>OUT BOUND</t>
  </si>
  <si>
    <t xml:space="preserve"> RH x 8</t>
  </si>
  <si>
    <t xml:space="preserve"> 20'DG x 1</t>
  </si>
  <si>
    <t xml:space="preserve"> 20'DG x 3 , RH x 10</t>
  </si>
  <si>
    <t xml:space="preserve"> 20'DG x 2</t>
  </si>
  <si>
    <t>SHIFT</t>
  </si>
  <si>
    <t>1 TIME</t>
  </si>
  <si>
    <t>GRAND TOTAL</t>
  </si>
  <si>
    <t># WORKING PERIOD</t>
  </si>
  <si>
    <t>CRANE NO.</t>
  </si>
  <si>
    <t>FROM</t>
  </si>
  <si>
    <t>TO</t>
  </si>
  <si>
    <t>HOURS</t>
  </si>
  <si>
    <t>#3 (G/C)</t>
  </si>
  <si>
    <t>COMMENCED DISCH'</t>
  </si>
  <si>
    <t>DISCH' OF CONT'R</t>
  </si>
  <si>
    <t>COMPLETED DISCH'</t>
  </si>
  <si>
    <t>COMMENCED LOAD</t>
  </si>
  <si>
    <t>LOAD OF CONT'R</t>
  </si>
  <si>
    <t>MEAL TIME</t>
  </si>
  <si>
    <t>COMPLETED LOAD &amp; GANG K/OFF</t>
  </si>
  <si>
    <t>#4 (G/C)</t>
  </si>
  <si>
    <t>SHIFTING REPORT</t>
  </si>
  <si>
    <t>M.V. : DONGJIN CONTINENTAL</t>
  </si>
  <si>
    <t>VOY # :    0220E &amp; 0221W</t>
  </si>
  <si>
    <t>DATE : 2026-07-19</t>
  </si>
  <si>
    <t>PORT : PYEONGTAEK, KOREA</t>
  </si>
  <si>
    <t>NO</t>
  </si>
  <si>
    <t>CON'T NO</t>
  </si>
  <si>
    <t>F/E</t>
  </si>
  <si>
    <t>W/T</t>
  </si>
  <si>
    <t>OPR</t>
  </si>
  <si>
    <t>OLD</t>
  </si>
  <si>
    <t xml:space="preserve">NEW </t>
  </si>
  <si>
    <t>POD</t>
  </si>
  <si>
    <t>POL</t>
  </si>
  <si>
    <t>ACCOUNT</t>
  </si>
  <si>
    <t>POSN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</si>
</sst>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164" formatCode="_ * #,##0_ ;_ * -#,##0_ ;_ * &quot;-&quot;_ ;_ @_ "/>
    <numFmt numFmtId="165" formatCode="_(* #,##0_);_(* (#,##0);_(* &quot;-&quot;_);_(@_)"/>
    <numFmt numFmtId="166" formatCode="mm&quot;월&quot; dd&quot;일&quot;"/>
    <numFmt numFmtId="167" formatCode="0.0℃"/>
    <numFmt numFmtId="168" formatCode="hhmm&quot;HRS&quot;"/>
    <numFmt numFmtId="169" formatCode="0_ "/>
    <numFmt numFmtId="170" formatCode="hh:mm&quot; HRS&quot;"/>
    <numFmt numFmtId="171" formatCode="[hh]:mm"/>
    <numFmt numFmtId="172" formatCode="0.0"/>
    <numFmt numFmtId="173" formatCode="#,##0.0_ "/>
  </numFmts>
  <fonts count="37" x14ac:knownFonts="1">
    <font>
      <color theme="1"/>
      <family val="2"/>
      <scheme val="minor"/>
      <sz val="11"/>
      <name val="Calibri"/>
    </font>
    <font>
      <charset val="129"/>
      <family val="3"/>
      <scheme val="minor"/>
      <sz val="12"/>
      <name val="맑은 고딕"/>
    </font>
    <font>
      <charset val="129"/>
      <color theme="1"/>
      <family val="3"/>
      <scheme val="minor"/>
      <sz val="11"/>
      <name val="맑은 고딕"/>
    </font>
    <font>
      <b/>
      <charset val="129"/>
      <family val="3"/>
      <scheme val="minor"/>
      <sz val="22"/>
      <name val="맑은 고딕"/>
    </font>
    <font>
      <b/>
      <charset val="129"/>
      <family val="3"/>
      <scheme val="minor"/>
      <sz val="18"/>
      <name val="맑은 고딕"/>
    </font>
    <font>
      <charset val="129"/>
      <family val="3"/>
      <scheme val="minor"/>
      <sz val="11"/>
      <name val="맑은 고딕"/>
    </font>
    <font>
      <charset val="129"/>
      <family val="3"/>
      <scheme val="minor"/>
      <sz val="14"/>
      <name val="맑은 고딕"/>
    </font>
    <font>
      <charset val="129"/>
      <family val="3"/>
      <scheme val="minor"/>
      <sz val="10"/>
      <name val="맑은 고딕"/>
    </font>
    <font>
      <b/>
      <charset val="129"/>
      <family val="3"/>
      <scheme val="minor"/>
      <sz val="10"/>
      <name val="맑은 고딕"/>
    </font>
    <font>
      <b/>
      <charset val="129"/>
      <family val="3"/>
      <scheme val="minor"/>
      <sz val="14"/>
      <name val="맑은 고딕"/>
    </font>
    <font>
      <charset val="129"/>
      <family val="3"/>
      <scheme val="minor"/>
      <sz val="9"/>
      <name val="맑은 고딕"/>
    </font>
    <font>
      <b/>
      <u/>
      <charset val="129"/>
      <family val="3"/>
      <scheme val="minor"/>
      <sz val="18"/>
      <name val="맑은 고딕"/>
    </font>
    <font>
      <u/>
      <charset val="129"/>
      <family val="3"/>
      <scheme val="minor"/>
      <sz val="10"/>
      <name val="맑은 고딕"/>
    </font>
    <font>
      <b/>
      <charset val="129"/>
      <family val="3"/>
      <scheme val="minor"/>
      <sz val="12"/>
      <name val="맑은 고딕"/>
    </font>
    <font>
      <b/>
      <charset val="129"/>
      <color indexed="8"/>
      <family val="3"/>
      <scheme val="minor"/>
      <sz val="16"/>
      <name val="맑은 고딕"/>
    </font>
    <font>
      <charset val="129"/>
      <color indexed="8"/>
      <family val="3"/>
      <scheme val="minor"/>
      <sz val="10"/>
      <name val="맑은 고딕"/>
    </font>
    <font>
      <charset val="129"/>
      <family val="3"/>
      <scheme val="minor"/>
      <sz val="22"/>
      <name val="맑은 고딕"/>
    </font>
    <font>
      <charset val="129"/>
      <color theme="1"/>
      <family val="3"/>
      <scheme val="minor"/>
      <sz val="10"/>
      <name val="맑은 고딕"/>
    </font>
    <font>
      <charset val="129"/>
      <color rgb="FF000000"/>
      <family val="3"/>
      <scheme val="minor"/>
      <sz val="10"/>
      <name val="맑은 고딕"/>
    </font>
    <font>
      <u/>
      <charset val="129"/>
      <family val="3"/>
      <scheme val="minor"/>
      <sz val="24"/>
      <name val="맑은 고딕"/>
    </font>
    <font>
      <charset val="129"/>
      <family val="3"/>
      <scheme val="minor"/>
      <sz val="8"/>
      <name val="맑은 고딕"/>
    </font>
    <font>
      <b/>
      <charset val="129"/>
      <family val="3"/>
      <scheme val="minor"/>
      <sz val="8"/>
      <name val="맑은 고딕"/>
    </font>
    <font>
      <u/>
      <charset val="129"/>
      <family val="3"/>
      <scheme val="minor"/>
      <sz val="11"/>
      <name val="맑은 고딕"/>
    </font>
    <font>
      <b/>
      <charset val="129"/>
      <family val="3"/>
      <scheme val="minor"/>
      <sz val="9"/>
      <name val="맑은 고딕"/>
    </font>
    <font>
      <charset val="129"/>
      <color theme="1"/>
      <family val="3"/>
      <sz val="10"/>
      <name val="돋움체"/>
    </font>
    <font>
      <charset val="129"/>
      <family val="3"/>
      <sz val="12"/>
      <name val="Arial Unicode MS"/>
    </font>
    <font>
      <b/>
      <family val="2"/>
      <sz val="22"/>
      <name val="Arial Black"/>
    </font>
    <font>
      <family val="2"/>
      <sz val="12"/>
      <name val="Arial Black"/>
    </font>
    <font>
      <b/>
      <u/>
      <charset val="129"/>
      <family val="3"/>
      <sz val="16"/>
      <name val="돋움체"/>
    </font>
    <font>
      <b/>
      <charset val="129"/>
      <family val="3"/>
      <sz val="18"/>
      <name val="돋움체"/>
    </font>
    <font>
      <charset val="129"/>
      <color theme="1"/>
      <family val="3"/>
      <sz val="11"/>
      <name val="돋움체"/>
    </font>
    <font>
      <b/>
      <u/>
      <charset val="129"/>
      <family val="3"/>
      <sz val="11"/>
      <name val="돋움체"/>
    </font>
    <font>
      <u/>
      <charset val="129"/>
      <family val="3"/>
      <sz val="11"/>
      <name val="돋움체"/>
    </font>
    <font>
      <b/>
      <u/>
      <charset val="129"/>
      <color theme="1"/>
      <family val="3"/>
      <sz val="11"/>
      <name val="돋움체"/>
    </font>
    <font>
      <charset val="129"/>
      <family val="3"/>
      <sz val="18"/>
      <name val="돋움체"/>
    </font>
    <font>
      <charset val="129"/>
      <family val="3"/>
      <sz val="11"/>
      <name val="돋움체"/>
    </font>
    <font>
      <b/>
      <charset val="129"/>
      <family val="3"/>
      <sz val="11"/>
      <name val="돋움체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</patternFill>
    </fill>
    <fill>
      <patternFill patternType="solid">
        <fgColor indexed="44"/>
        <bgColor indexed="64"/>
      </patternFill>
    </fill>
  </fills>
  <borders count="139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/>
      <right style="thin"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/>
      <right style="thin"/>
      <top style="thin"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85">
    <xf numFmtId="0" fontId="0" fillId="0" borderId="0" xfId="0"/>
    <xf numFmtId="0" fontId="1" fillId="0" borderId="0" xfId="0" applyFont="1"/>
    <xf numFmtId="164" fontId="2" fillId="0" borderId="0" xfId="0" applyNumberFormat="1" applyFont="1"/>
    <xf numFmtId="0" fontId="1" fillId="0" borderId="0" xfId="0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1" fillId="0" borderId="0" xfId="0" applyNumberFormat="1" applyFont="1"/>
    <xf numFmtId="0" fontId="5" fillId="0" borderId="0" xfId="0" applyFont="1"/>
    <xf numFmtId="164" fontId="1" fillId="0" borderId="0" xfId="0" applyNumberFormat="1" applyFont="1" applyAlignment="1">
      <alignment horizontal="right"/>
    </xf>
    <xf numFmtId="0" fontId="5" fillId="0" borderId="0" xfId="0" applyFont="1" applyAlignment="1">
      <alignment horizontal="center" vertical="center" shrinkToFit="1"/>
    </xf>
    <xf numFmtId="0" fontId="6" fillId="0" borderId="0" xfId="0" applyFont="1"/>
    <xf numFmtId="164" fontId="6" fillId="0" borderId="0" xfId="0" applyNumberFormat="1" applyFont="1"/>
    <xf numFmtId="0" fontId="7" fillId="0" borderId="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 shrinkToFit="1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164" fontId="7" fillId="0" borderId="17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22" xfId="0" applyFont="1" applyBorder="1" applyAlignment="1">
      <alignment horizontal="center" vertical="center" shrinkToFit="1"/>
    </xf>
    <xf numFmtId="0" fontId="7" fillId="0" borderId="23" xfId="0" applyFont="1" applyBorder="1" applyAlignment="1">
      <alignment horizontal="center" vertical="center" shrinkToFit="1"/>
    </xf>
    <xf numFmtId="164" fontId="7" fillId="0" borderId="24" xfId="0" applyNumberFormat="1" applyFont="1" applyBorder="1" applyAlignment="1">
      <alignment horizontal="center" vertical="center" shrinkToFit="1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 shrinkToFit="1"/>
    </xf>
    <xf numFmtId="0" fontId="7" fillId="0" borderId="31" xfId="0" applyFont="1" applyBorder="1" applyAlignment="1">
      <alignment horizontal="center" vertical="center" shrinkToFit="1"/>
    </xf>
    <xf numFmtId="164" fontId="7" fillId="0" borderId="32" xfId="0" applyNumberFormat="1" applyFont="1" applyBorder="1" applyAlignment="1">
      <alignment horizontal="center" vertical="center" shrinkToFit="1"/>
    </xf>
    <xf numFmtId="0" fontId="7" fillId="0" borderId="33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 shrinkToFit="1"/>
    </xf>
    <xf numFmtId="164" fontId="7" fillId="0" borderId="38" xfId="0" applyNumberFormat="1" applyFont="1" applyBorder="1" applyAlignment="1">
      <alignment horizontal="center" vertical="center" shrinkToFit="1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 shrinkToFit="1"/>
    </xf>
    <xf numFmtId="164" fontId="7" fillId="0" borderId="45" xfId="0" applyNumberFormat="1" applyFont="1" applyBorder="1" applyAlignment="1">
      <alignment horizontal="center" vertical="center" shrinkToFit="1"/>
    </xf>
    <xf numFmtId="0" fontId="7" fillId="0" borderId="46" xfId="0" applyFont="1" applyBorder="1" applyAlignment="1">
      <alignment horizontal="center" vertical="center" shrinkToFit="1"/>
    </xf>
    <xf numFmtId="0" fontId="7" fillId="0" borderId="47" xfId="0" applyFont="1" applyBorder="1" applyAlignment="1">
      <alignment horizontal="center" vertical="center" shrinkToFit="1"/>
    </xf>
    <xf numFmtId="164" fontId="7" fillId="0" borderId="48" xfId="0" applyNumberFormat="1" applyFont="1" applyBorder="1" applyAlignment="1">
      <alignment horizontal="center" vertical="center" shrinkToFit="1"/>
    </xf>
    <xf numFmtId="0" fontId="7" fillId="0" borderId="49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164" fontId="7" fillId="0" borderId="55" xfId="0" applyNumberFormat="1" applyFont="1" applyBorder="1" applyAlignment="1">
      <alignment horizontal="center" vertical="center" shrinkToFit="1"/>
    </xf>
    <xf numFmtId="0" fontId="7" fillId="0" borderId="56" xfId="0" applyFont="1" applyBorder="1" applyAlignment="1">
      <alignment horizontal="center" vertical="center"/>
    </xf>
    <xf numFmtId="0" fontId="7" fillId="0" borderId="57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164" fontId="7" fillId="0" borderId="61" xfId="0" applyNumberFormat="1" applyFont="1" applyBorder="1" applyAlignment="1">
      <alignment horizontal="center" vertical="center" shrinkToFit="1"/>
    </xf>
    <xf numFmtId="0" fontId="7" fillId="0" borderId="62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64" xfId="0" applyFont="1" applyBorder="1" applyAlignment="1">
      <alignment horizontal="center" vertical="center"/>
    </xf>
    <xf numFmtId="0" fontId="7" fillId="0" borderId="65" xfId="0" applyFont="1" applyBorder="1" applyAlignment="1">
      <alignment horizontal="center" vertical="center"/>
    </xf>
    <xf numFmtId="0" fontId="7" fillId="0" borderId="66" xfId="0" applyFont="1" applyBorder="1" applyAlignment="1">
      <alignment horizontal="center" vertical="center"/>
    </xf>
    <xf numFmtId="164" fontId="7" fillId="0" borderId="67" xfId="0" applyNumberFormat="1" applyFont="1" applyBorder="1" applyAlignment="1">
      <alignment horizontal="center" vertical="center" shrinkToFit="1"/>
    </xf>
    <xf numFmtId="0" fontId="7" fillId="0" borderId="37" xfId="0" applyFont="1" applyBorder="1" applyAlignment="1">
      <alignment horizontal="center" vertical="center" wrapText="1" shrinkToFit="1"/>
    </xf>
    <xf numFmtId="0" fontId="7" fillId="0" borderId="31" xfId="0" applyFont="1" applyBorder="1" applyAlignment="1">
      <alignment horizontal="center" vertical="center" wrapText="1" shrinkToFit="1"/>
    </xf>
    <xf numFmtId="0" fontId="7" fillId="0" borderId="44" xfId="0" applyFont="1" applyBorder="1" applyAlignment="1">
      <alignment horizontal="center" vertical="center" wrapText="1" shrinkToFit="1"/>
    </xf>
    <xf numFmtId="164" fontId="7" fillId="0" borderId="68" xfId="0" applyNumberFormat="1" applyFont="1" applyBorder="1" applyAlignment="1">
      <alignment horizontal="center" vertical="center" shrinkToFit="1"/>
    </xf>
    <xf numFmtId="0" fontId="7" fillId="0" borderId="30" xfId="0" applyFont="1" applyBorder="1" applyAlignment="1">
      <alignment horizontal="center" vertical="center"/>
    </xf>
    <xf numFmtId="0" fontId="7" fillId="0" borderId="44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0" xfId="0" applyFont="1" applyBorder="1" applyAlignment="1">
      <alignment horizontal="center" vertical="center"/>
    </xf>
    <xf numFmtId="164" fontId="7" fillId="0" borderId="71" xfId="0" applyNumberFormat="1" applyFont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wrapText="1" shrinkToFit="1"/>
    </xf>
    <xf numFmtId="0" fontId="7" fillId="0" borderId="33" xfId="0" applyFont="1" applyBorder="1" applyAlignment="1">
      <alignment horizontal="center" vertical="center" shrinkToFit="1"/>
    </xf>
    <xf numFmtId="164" fontId="7" fillId="0" borderId="72" xfId="0" applyNumberFormat="1" applyFont="1" applyBorder="1" applyAlignment="1">
      <alignment horizontal="center" vertical="center" shrinkToFit="1"/>
    </xf>
    <xf numFmtId="0" fontId="7" fillId="0" borderId="73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7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 shrinkToFit="1"/>
    </xf>
    <xf numFmtId="0" fontId="7" fillId="0" borderId="78" xfId="0" applyFont="1" applyBorder="1" applyAlignment="1">
      <alignment horizontal="center" vertical="center" shrinkToFit="1"/>
    </xf>
    <xf numFmtId="0" fontId="7" fillId="0" borderId="79" xfId="0" applyFont="1" applyBorder="1" applyAlignment="1">
      <alignment horizontal="center" vertical="center" shrinkToFit="1"/>
    </xf>
    <xf numFmtId="165" fontId="7" fillId="0" borderId="77" xfId="0" applyNumberFormat="1" applyFont="1" applyBorder="1" applyAlignment="1">
      <alignment horizontal="center" vertical="center"/>
    </xf>
    <xf numFmtId="165" fontId="7" fillId="0" borderId="78" xfId="0" applyNumberFormat="1" applyFont="1" applyBorder="1" applyAlignment="1">
      <alignment horizontal="center" vertical="center"/>
    </xf>
    <xf numFmtId="165" fontId="7" fillId="0" borderId="80" xfId="0" applyNumberFormat="1" applyFont="1" applyBorder="1" applyAlignment="1">
      <alignment horizontal="center" vertical="center"/>
    </xf>
    <xf numFmtId="165" fontId="7" fillId="0" borderId="81" xfId="0" applyNumberFormat="1" applyFont="1" applyBorder="1" applyAlignment="1">
      <alignment horizontal="center" vertical="center"/>
    </xf>
    <xf numFmtId="165" fontId="7" fillId="0" borderId="82" xfId="0" applyNumberFormat="1" applyFont="1" applyBorder="1" applyAlignment="1">
      <alignment horizontal="center" vertical="center"/>
    </xf>
    <xf numFmtId="0" fontId="7" fillId="0" borderId="83" xfId="0" applyFont="1" applyBorder="1" applyAlignment="1">
      <alignment horizontal="center" vertical="center" shrinkToFit="1"/>
    </xf>
    <xf numFmtId="0" fontId="7" fillId="0" borderId="84" xfId="0" applyFont="1" applyBorder="1" applyAlignment="1">
      <alignment horizontal="center" vertical="center" shrinkToFit="1"/>
    </xf>
    <xf numFmtId="0" fontId="7" fillId="0" borderId="85" xfId="0" applyFont="1" applyBorder="1" applyAlignment="1">
      <alignment horizontal="center" vertical="center" shrinkToFit="1"/>
    </xf>
    <xf numFmtId="165" fontId="7" fillId="0" borderId="83" xfId="0" applyNumberFormat="1" applyFont="1" applyBorder="1" applyAlignment="1">
      <alignment horizontal="center" vertical="center"/>
    </xf>
    <xf numFmtId="165" fontId="7" fillId="0" borderId="84" xfId="0" applyNumberFormat="1" applyFont="1" applyBorder="1" applyAlignment="1">
      <alignment horizontal="center" vertical="center"/>
    </xf>
    <xf numFmtId="165" fontId="7" fillId="0" borderId="86" xfId="0" applyNumberFormat="1" applyFont="1" applyBorder="1" applyAlignment="1">
      <alignment horizontal="center" vertical="center"/>
    </xf>
    <xf numFmtId="165" fontId="7" fillId="0" borderId="87" xfId="0" applyNumberFormat="1" applyFont="1" applyBorder="1" applyAlignment="1">
      <alignment horizontal="center" vertical="center"/>
    </xf>
    <xf numFmtId="165" fontId="7" fillId="0" borderId="88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 wrapText="1" shrinkToFit="1"/>
    </xf>
    <xf numFmtId="0" fontId="7" fillId="0" borderId="89" xfId="0" applyFont="1" applyBorder="1" applyAlignment="1">
      <alignment horizontal="left" vertical="center"/>
    </xf>
    <xf numFmtId="0" fontId="7" fillId="0" borderId="90" xfId="0" applyFont="1" applyBorder="1" applyAlignment="1">
      <alignment horizontal="left" vertical="center"/>
    </xf>
    <xf numFmtId="0" fontId="7" fillId="0" borderId="91" xfId="0" applyFont="1" applyBorder="1" applyAlignment="1">
      <alignment horizontal="left" vertical="center"/>
    </xf>
    <xf numFmtId="164" fontId="7" fillId="0" borderId="89" xfId="0" applyNumberFormat="1" applyFont="1" applyBorder="1" applyAlignment="1">
      <alignment horizontal="left" vertical="center" wrapText="1" shrinkToFit="1"/>
    </xf>
    <xf numFmtId="164" fontId="7" fillId="0" borderId="90" xfId="0" applyNumberFormat="1" applyFont="1" applyBorder="1" applyAlignment="1">
      <alignment horizontal="left" vertical="center" wrapText="1" shrinkToFit="1"/>
    </xf>
    <xf numFmtId="164" fontId="7" fillId="0" borderId="91" xfId="0" applyNumberFormat="1" applyFont="1" applyBorder="1" applyAlignment="1">
      <alignment horizontal="left" vertical="center" wrapText="1" shrinkToFit="1"/>
    </xf>
    <xf numFmtId="164" fontId="7" fillId="0" borderId="4" xfId="0" applyNumberFormat="1" applyFont="1" applyBorder="1" applyAlignment="1">
      <alignment horizontal="left" vertical="center" shrinkToFit="1"/>
    </xf>
    <xf numFmtId="164" fontId="7" fillId="0" borderId="92" xfId="0" applyNumberFormat="1" applyFont="1" applyBorder="1" applyAlignment="1">
      <alignment horizontal="left" vertical="center" shrinkToFit="1"/>
    </xf>
    <xf numFmtId="164" fontId="7" fillId="0" borderId="93" xfId="0" applyNumberFormat="1" applyFont="1" applyBorder="1" applyAlignment="1">
      <alignment horizontal="left" vertical="center" shrinkToFit="1"/>
    </xf>
    <xf numFmtId="164" fontId="7" fillId="0" borderId="94" xfId="0" applyNumberFormat="1" applyFont="1" applyBorder="1" applyAlignment="1">
      <alignment horizontal="center" vertical="center" shrinkToFit="1"/>
    </xf>
    <xf numFmtId="164" fontId="7" fillId="0" borderId="0" xfId="0" applyNumberFormat="1" applyFont="1" applyAlignment="1">
      <alignment horizontal="center" vertical="center" shrinkToFit="1"/>
    </xf>
    <xf numFmtId="164" fontId="7" fillId="0" borderId="69" xfId="0" applyNumberFormat="1" applyFont="1" applyBorder="1" applyAlignment="1">
      <alignment horizontal="center" vertical="center" shrinkToFit="1"/>
    </xf>
    <xf numFmtId="164" fontId="7" fillId="0" borderId="94" xfId="0" applyNumberFormat="1" applyFont="1" applyBorder="1" applyAlignment="1">
      <alignment horizontal="left" vertical="center" shrinkToFit="1"/>
    </xf>
    <xf numFmtId="164" fontId="7" fillId="0" borderId="0" xfId="0" applyNumberFormat="1" applyFont="1" applyAlignment="1">
      <alignment horizontal="left" vertical="center" shrinkToFit="1"/>
    </xf>
    <xf numFmtId="164" fontId="7" fillId="0" borderId="69" xfId="0" applyNumberFormat="1" applyFont="1" applyBorder="1" applyAlignment="1">
      <alignment horizontal="left" vertical="center" shrinkToFit="1"/>
    </xf>
    <xf numFmtId="164" fontId="7" fillId="0" borderId="94" xfId="0" applyNumberFormat="1" applyFont="1" applyBorder="1" applyAlignment="1">
      <alignment horizontal="left" vertical="center" shrinkToFit="1" indent="1"/>
    </xf>
    <xf numFmtId="164" fontId="7" fillId="0" borderId="0" xfId="0" applyNumberFormat="1" applyFont="1" applyAlignment="1">
      <alignment horizontal="left" vertical="center" shrinkToFit="1" indent="1"/>
    </xf>
    <xf numFmtId="164" fontId="7" fillId="0" borderId="69" xfId="0" applyNumberFormat="1" applyFont="1" applyBorder="1" applyAlignment="1">
      <alignment horizontal="left" vertical="center" shrinkToFit="1" indent="1"/>
    </xf>
    <xf numFmtId="164" fontId="7" fillId="0" borderId="95" xfId="0" applyNumberFormat="1" applyFont="1" applyBorder="1" applyAlignment="1">
      <alignment horizontal="left" vertical="center" shrinkToFit="1"/>
    </xf>
    <xf numFmtId="164" fontId="7" fillId="0" borderId="96" xfId="0" applyNumberFormat="1" applyFont="1" applyBorder="1" applyAlignment="1">
      <alignment horizontal="left" vertical="center" shrinkToFit="1"/>
    </xf>
    <xf numFmtId="164" fontId="7" fillId="0" borderId="97" xfId="0" applyNumberFormat="1" applyFont="1" applyBorder="1" applyAlignment="1">
      <alignment horizontal="left" vertical="center" shrinkToFit="1"/>
    </xf>
    <xf numFmtId="0" fontId="1" fillId="0" borderId="34" xfId="0" applyFont="1" applyBorder="1"/>
    <xf numFmtId="164" fontId="2" fillId="0" borderId="34" xfId="0" applyNumberFormat="1" applyFont="1" applyBorder="1"/>
    <xf numFmtId="0" fontId="5" fillId="0" borderId="98" xfId="0" applyFont="1" applyBorder="1" applyAlignment="1">
      <alignment horizontal="center"/>
    </xf>
    <xf numFmtId="0" fontId="7" fillId="0" borderId="0" xfId="0" applyFont="1"/>
    <xf numFmtId="164" fontId="1" fillId="0" borderId="0" xfId="0" applyNumberFormat="1" applyFont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shrinkToFi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right" vertical="center" shrinkToFit="1"/>
    </xf>
    <xf numFmtId="14" fontId="5" fillId="0" borderId="0" xfId="0" applyNumberFormat="1" applyFont="1" applyAlignment="1">
      <alignment horizontal="center" vertical="center" shrinkToFit="1"/>
    </xf>
    <xf numFmtId="0" fontId="5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5" fillId="0" borderId="10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49" fontId="7" fillId="0" borderId="79" xfId="0" applyNumberFormat="1" applyFont="1" applyBorder="1" applyAlignment="1">
      <alignment horizontal="center" vertical="center"/>
    </xf>
    <xf numFmtId="20" fontId="7" fillId="0" borderId="101" xfId="0" applyNumberFormat="1" applyFont="1" applyBorder="1" applyAlignment="1">
      <alignment horizontal="center" vertical="center"/>
    </xf>
    <xf numFmtId="0" fontId="7" fillId="0" borderId="78" xfId="0" applyFont="1" applyBorder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7" fillId="0" borderId="99" xfId="0" applyFont="1" applyBorder="1" applyAlignment="1">
      <alignment horizontal="center" vertical="center"/>
    </xf>
    <xf numFmtId="20" fontId="7" fillId="0" borderId="3" xfId="0" applyNumberFormat="1" applyFont="1" applyBorder="1" applyAlignment="1">
      <alignment horizontal="center" vertical="center"/>
    </xf>
    <xf numFmtId="0" fontId="7" fillId="0" borderId="10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20" fontId="7" fillId="0" borderId="36" xfId="0" applyNumberFormat="1" applyFont="1" applyBorder="1" applyAlignment="1">
      <alignment horizontal="center" vertical="center"/>
    </xf>
    <xf numFmtId="0" fontId="7" fillId="0" borderId="103" xfId="0" applyFont="1" applyBorder="1" applyAlignment="1">
      <alignment horizontal="center" vertical="center"/>
    </xf>
    <xf numFmtId="20" fontId="7" fillId="0" borderId="88" xfId="0" applyNumberFormat="1" applyFont="1" applyBorder="1" applyAlignment="1">
      <alignment horizontal="center" vertical="center"/>
    </xf>
    <xf numFmtId="0" fontId="7" fillId="0" borderId="85" xfId="0" applyFont="1" applyBorder="1" applyAlignment="1">
      <alignment horizontal="left" vertical="center" indent="1"/>
    </xf>
    <xf numFmtId="0" fontId="7" fillId="0" borderId="86" xfId="0" applyFont="1" applyBorder="1" applyAlignment="1">
      <alignment horizontal="left" vertical="center" indent="1"/>
    </xf>
    <xf numFmtId="0" fontId="7" fillId="0" borderId="88" xfId="0" applyFont="1" applyBorder="1" applyAlignment="1">
      <alignment horizontal="left" vertical="center" indent="1"/>
    </xf>
    <xf numFmtId="166" fontId="7" fillId="0" borderId="12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left" vertical="center" indent="1"/>
    </xf>
    <xf numFmtId="0" fontId="7" fillId="0" borderId="34" xfId="0" applyFont="1" applyBorder="1" applyAlignment="1">
      <alignment horizontal="left" vertical="center" indent="1"/>
    </xf>
    <xf numFmtId="0" fontId="7" fillId="0" borderId="36" xfId="0" applyFont="1" applyBorder="1" applyAlignment="1">
      <alignment horizontal="left" vertical="center" indent="1"/>
    </xf>
    <xf numFmtId="166" fontId="7" fillId="0" borderId="99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indent="1"/>
    </xf>
    <xf numFmtId="49" fontId="7" fillId="0" borderId="104" xfId="0" applyNumberFormat="1" applyFont="1" applyBorder="1" applyAlignment="1">
      <alignment horizontal="center" vertical="center"/>
    </xf>
    <xf numFmtId="166" fontId="7" fillId="0" borderId="103" xfId="0" applyNumberFormat="1" applyFont="1" applyBorder="1" applyAlignment="1">
      <alignment horizontal="center" vertical="center"/>
    </xf>
    <xf numFmtId="166" fontId="7" fillId="0" borderId="67" xfId="0" applyNumberFormat="1" applyFont="1" applyBorder="1" applyAlignment="1">
      <alignment horizontal="center" vertical="center"/>
    </xf>
    <xf numFmtId="0" fontId="7" fillId="0" borderId="67" xfId="0" applyFont="1" applyBorder="1" applyAlignment="1">
      <alignment horizontal="center" vertical="center"/>
    </xf>
    <xf numFmtId="0" fontId="7" fillId="0" borderId="105" xfId="0" applyFont="1" applyBorder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7" fillId="0" borderId="104" xfId="0" applyFont="1" applyBorder="1" applyAlignment="1">
      <alignment horizontal="center" vertical="center"/>
    </xf>
    <xf numFmtId="0" fontId="7" fillId="0" borderId="106" xfId="0" applyFont="1" applyBorder="1" applyAlignment="1">
      <alignment horizontal="center" vertical="center"/>
    </xf>
    <xf numFmtId="0" fontId="7" fillId="0" borderId="107" xfId="0" applyFont="1" applyBorder="1" applyAlignment="1">
      <alignment horizontal="left" vertical="center" indent="1"/>
    </xf>
    <xf numFmtId="0" fontId="7" fillId="0" borderId="96" xfId="0" applyFont="1" applyBorder="1" applyAlignment="1">
      <alignment horizontal="left" vertical="center" indent="1"/>
    </xf>
    <xf numFmtId="0" fontId="7" fillId="0" borderId="106" xfId="0" applyFont="1" applyBorder="1" applyAlignment="1">
      <alignment horizontal="left" vertical="center" indent="1"/>
    </xf>
    <xf numFmtId="0" fontId="7" fillId="0" borderId="47" xfId="0" applyFont="1" applyBorder="1" applyAlignment="1">
      <alignment horizontal="left" vertical="center" indent="1"/>
    </xf>
    <xf numFmtId="0" fontId="1" fillId="0" borderId="108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34" xfId="0" applyFont="1" applyBorder="1" applyAlignment="1">
      <alignment vertical="center"/>
    </xf>
    <xf numFmtId="0" fontId="1" fillId="0" borderId="98" xfId="0" applyFont="1" applyBorder="1" applyAlignment="1">
      <alignment horizontal="center" vertical="center"/>
    </xf>
    <xf numFmtId="0" fontId="5" fillId="0" borderId="9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center" vertical="center"/>
    </xf>
    <xf numFmtId="0" fontId="1" fillId="0" borderId="105" xfId="0" applyFont="1" applyBorder="1" applyAlignment="1">
      <alignment horizontal="center" vertical="center"/>
    </xf>
    <xf numFmtId="0" fontId="5" fillId="0" borderId="104" xfId="0" applyFont="1" applyBorder="1" applyAlignment="1">
      <alignment horizontal="center" vertical="center" shrinkToFit="1"/>
    </xf>
    <xf numFmtId="0" fontId="5" fillId="0" borderId="109" xfId="0" applyFont="1" applyBorder="1" applyAlignment="1">
      <alignment horizontal="center" vertical="center" shrinkToFit="1"/>
    </xf>
    <xf numFmtId="0" fontId="1" fillId="0" borderId="3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5" fillId="0" borderId="72" xfId="0" applyFont="1" applyBorder="1" applyAlignment="1">
      <alignment horizontal="center" vertical="center" shrinkToFit="1"/>
    </xf>
    <xf numFmtId="0" fontId="5" fillId="0" borderId="76" xfId="0" applyFont="1" applyBorder="1" applyAlignment="1">
      <alignment horizontal="center" vertical="center" shrinkToFit="1"/>
    </xf>
    <xf numFmtId="0" fontId="1" fillId="0" borderId="15" xfId="0" applyFont="1" applyBorder="1" applyAlignment="1">
      <alignment horizontal="center" vertical="center"/>
    </xf>
    <xf numFmtId="0" fontId="7" fillId="0" borderId="78" xfId="0" applyFont="1" applyBorder="1" applyAlignment="1">
      <alignment horizontal="center" vertical="center"/>
    </xf>
    <xf numFmtId="0" fontId="7" fillId="0" borderId="79" xfId="0" applyFont="1" applyBorder="1" applyAlignment="1">
      <alignment horizontal="center" vertical="center"/>
    </xf>
    <xf numFmtId="0" fontId="7" fillId="0" borderId="82" xfId="0" applyFont="1" applyBorder="1" applyAlignment="1">
      <alignment horizontal="center" vertical="center"/>
    </xf>
    <xf numFmtId="0" fontId="7" fillId="0" borderId="80" xfId="0" applyFont="1" applyBorder="1" applyAlignment="1">
      <alignment horizontal="left" vertical="center"/>
    </xf>
    <xf numFmtId="0" fontId="7" fillId="0" borderId="82" xfId="0" applyFont="1" applyBorder="1" applyAlignment="1">
      <alignment horizontal="left" vertical="center"/>
    </xf>
    <xf numFmtId="164" fontId="7" fillId="0" borderId="79" xfId="0" applyNumberFormat="1" applyFont="1" applyBorder="1" applyAlignment="1">
      <alignment horizontal="center" vertical="center" wrapText="1" shrinkToFit="1"/>
    </xf>
    <xf numFmtId="0" fontId="7" fillId="0" borderId="82" xfId="0" applyFont="1" applyBorder="1" applyAlignment="1">
      <alignment horizontal="center" vertical="center" wrapText="1" shrinkToFit="1"/>
    </xf>
    <xf numFmtId="164" fontId="7" fillId="0" borderId="78" xfId="0" applyNumberFormat="1" applyFont="1" applyBorder="1" applyAlignment="1">
      <alignment horizontal="center" vertical="center" wrapText="1" shrinkToFit="1"/>
    </xf>
    <xf numFmtId="0" fontId="10" fillId="0" borderId="78" xfId="0" applyFont="1" applyBorder="1" applyAlignment="1">
      <alignment horizontal="left" vertical="center" shrinkToFit="1" inden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105" xfId="0" applyFont="1" applyBorder="1" applyAlignment="1">
      <alignment horizontal="center" vertical="center"/>
    </xf>
    <xf numFmtId="164" fontId="7" fillId="0" borderId="105" xfId="0" applyNumberFormat="1" applyFont="1" applyBorder="1" applyAlignment="1">
      <alignment horizontal="center" vertical="center" wrapText="1" shrinkToFit="1"/>
    </xf>
    <xf numFmtId="0" fontId="7" fillId="0" borderId="105" xfId="0" applyFont="1" applyBorder="1" applyAlignment="1">
      <alignment horizontal="center" vertical="center" wrapText="1" shrinkToFit="1"/>
    </xf>
    <xf numFmtId="0" fontId="10" fillId="0" borderId="105" xfId="0" applyFont="1" applyBorder="1" applyAlignment="1">
      <alignment horizontal="left" vertical="center" shrinkToFit="1" indent="1"/>
    </xf>
    <xf numFmtId="0" fontId="7" fillId="0" borderId="102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7" fillId="0" borderId="110" xfId="0" applyFont="1" applyBorder="1" applyAlignment="1">
      <alignment horizontal="center" vertical="center"/>
    </xf>
    <xf numFmtId="0" fontId="7" fillId="0" borderId="111" xfId="0" applyFont="1" applyBorder="1" applyAlignment="1">
      <alignment horizontal="center" vertical="center"/>
    </xf>
    <xf numFmtId="0" fontId="8" fillId="0" borderId="110" xfId="0" applyFont="1" applyBorder="1" applyAlignment="1">
      <alignment horizontal="center" vertical="center"/>
    </xf>
    <xf numFmtId="0" fontId="8" fillId="0" borderId="92" xfId="0" applyFont="1" applyBorder="1" applyAlignment="1">
      <alignment horizontal="center" vertical="center"/>
    </xf>
    <xf numFmtId="0" fontId="8" fillId="0" borderId="11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64" fontId="8" fillId="0" borderId="110" xfId="0" applyNumberFormat="1" applyFont="1" applyBorder="1" applyAlignment="1">
      <alignment horizontal="center" vertical="center" wrapText="1" shrinkToFit="1"/>
    </xf>
    <xf numFmtId="164" fontId="8" fillId="0" borderId="111" xfId="0" applyNumberFormat="1" applyFont="1" applyBorder="1" applyAlignment="1">
      <alignment horizontal="center" vertical="center" wrapText="1" shrinkToFit="1"/>
    </xf>
    <xf numFmtId="164" fontId="8" fillId="0" borderId="5" xfId="0" applyNumberFormat="1" applyFont="1" applyBorder="1" applyAlignment="1">
      <alignment horizontal="center" vertical="center" wrapText="1" shrinkToFit="1"/>
    </xf>
    <xf numFmtId="0" fontId="10" fillId="0" borderId="5" xfId="0" applyFont="1" applyBorder="1" applyAlignment="1">
      <alignment horizontal="left" vertical="center" shrinkToFit="1" indent="1"/>
    </xf>
    <xf numFmtId="0" fontId="7" fillId="0" borderId="105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05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164" fontId="8" fillId="0" borderId="105" xfId="0" applyNumberFormat="1" applyFont="1" applyBorder="1" applyAlignment="1">
      <alignment horizontal="center" vertical="center" wrapText="1" shrinkToFit="1"/>
    </xf>
    <xf numFmtId="0" fontId="7" fillId="0" borderId="112" xfId="0" applyFont="1" applyBorder="1" applyAlignment="1">
      <alignment horizontal="center" vertical="center"/>
    </xf>
    <xf numFmtId="0" fontId="7" fillId="0" borderId="34" xfId="0" applyFont="1" applyBorder="1" applyAlignment="1">
      <alignment horizontal="left" vertical="center"/>
    </xf>
    <xf numFmtId="0" fontId="7" fillId="0" borderId="36" xfId="0" applyFont="1" applyBorder="1" applyAlignment="1">
      <alignment horizontal="left" vertical="center"/>
    </xf>
    <xf numFmtId="164" fontId="7" fillId="0" borderId="67" xfId="0" applyNumberFormat="1" applyFont="1" applyBorder="1" applyAlignment="1">
      <alignment horizontal="center" vertical="center" wrapText="1" shrinkToFit="1"/>
    </xf>
    <xf numFmtId="164" fontId="7" fillId="0" borderId="36" xfId="0" applyNumberFormat="1" applyFont="1" applyBorder="1" applyAlignment="1">
      <alignment horizontal="center" vertical="center" wrapText="1" shrinkToFit="1"/>
    </xf>
    <xf numFmtId="164" fontId="7" fillId="0" borderId="31" xfId="0" applyNumberFormat="1" applyFont="1" applyBorder="1" applyAlignment="1">
      <alignment horizontal="center" vertical="center" wrapText="1" shrinkToFit="1"/>
    </xf>
    <xf numFmtId="0" fontId="10" fillId="0" borderId="31" xfId="0" applyFont="1" applyBorder="1" applyAlignment="1">
      <alignment horizontal="left" vertical="center" shrinkToFit="1" indent="1"/>
    </xf>
    <xf numFmtId="0" fontId="7" fillId="0" borderId="104" xfId="0" applyFont="1" applyBorder="1" applyAlignment="1">
      <alignment horizontal="left" vertical="center"/>
    </xf>
    <xf numFmtId="0" fontId="12" fillId="0" borderId="98" xfId="0" applyFont="1" applyBorder="1" applyAlignment="1">
      <alignment horizontal="left" vertical="center"/>
    </xf>
    <xf numFmtId="0" fontId="12" fillId="0" borderId="109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70" xfId="0" applyFont="1" applyBorder="1" applyAlignment="1">
      <alignment horizontal="left" vertical="center"/>
    </xf>
    <xf numFmtId="0" fontId="7" fillId="0" borderId="112" xfId="0" applyFont="1" applyBorder="1" applyAlignment="1">
      <alignment horizontal="center" vertical="center" shrinkToFit="1"/>
    </xf>
    <xf numFmtId="0" fontId="7" fillId="0" borderId="67" xfId="0" applyFont="1" applyBorder="1" applyAlignment="1">
      <alignment horizontal="center" vertical="center" shrinkToFit="1"/>
    </xf>
    <xf numFmtId="0" fontId="1" fillId="0" borderId="104" xfId="0" applyFont="1" applyBorder="1" applyAlignment="1">
      <alignment horizontal="center" vertical="center"/>
    </xf>
    <xf numFmtId="0" fontId="1" fillId="0" borderId="109" xfId="0" applyFont="1" applyBorder="1" applyAlignment="1">
      <alignment horizontal="center" vertical="center"/>
    </xf>
    <xf numFmtId="0" fontId="1" fillId="0" borderId="72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7" fillId="0" borderId="80" xfId="0" applyFont="1" applyBorder="1" applyAlignment="1">
      <alignment horizontal="center" vertical="center"/>
    </xf>
    <xf numFmtId="0" fontId="7" fillId="0" borderId="79" xfId="0" applyFont="1" applyBorder="1" applyAlignment="1">
      <alignment horizontal="left" vertical="center" indent="1"/>
    </xf>
    <xf numFmtId="0" fontId="7" fillId="0" borderId="80" xfId="0" applyFont="1" applyBorder="1" applyAlignment="1">
      <alignment horizontal="left" vertical="center" indent="1"/>
    </xf>
    <xf numFmtId="0" fontId="7" fillId="0" borderId="82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1" fillId="0" borderId="10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5" fillId="0" borderId="79" xfId="0" applyFont="1" applyBorder="1" applyAlignment="1">
      <alignment horizontal="center" vertical="center" shrinkToFit="1"/>
    </xf>
    <xf numFmtId="0" fontId="5" fillId="0" borderId="82" xfId="0" applyFont="1" applyBorder="1" applyAlignment="1">
      <alignment horizontal="center" vertical="center" shrinkToFit="1"/>
    </xf>
    <xf numFmtId="0" fontId="7" fillId="0" borderId="80" xfId="0" applyFont="1" applyBorder="1" applyAlignment="1">
      <alignment vertical="center"/>
    </xf>
    <xf numFmtId="0" fontId="7" fillId="0" borderId="82" xfId="0" applyFont="1" applyBorder="1" applyAlignment="1">
      <alignment vertical="center"/>
    </xf>
    <xf numFmtId="0" fontId="1" fillId="0" borderId="79" xfId="0" applyFont="1" applyBorder="1" applyAlignment="1">
      <alignment horizontal="center" vertical="center"/>
    </xf>
    <xf numFmtId="0" fontId="1" fillId="0" borderId="82" xfId="0" applyFont="1" applyBorder="1" applyAlignment="1">
      <alignment horizontal="center" vertical="center"/>
    </xf>
    <xf numFmtId="0" fontId="7" fillId="0" borderId="34" xfId="0" applyFont="1" applyBorder="1" applyAlignment="1">
      <alignment vertical="center"/>
    </xf>
    <xf numFmtId="0" fontId="7" fillId="0" borderId="36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164" fontId="7" fillId="0" borderId="1" xfId="0" applyNumberFormat="1" applyFont="1" applyBorder="1" applyAlignment="1">
      <alignment horizontal="center" vertical="center" wrapText="1" shrinkToFit="1"/>
    </xf>
    <xf numFmtId="0" fontId="7" fillId="0" borderId="3" xfId="0" applyFont="1" applyBorder="1" applyAlignment="1">
      <alignment horizontal="center" vertical="center" wrapText="1" shrinkToFit="1"/>
    </xf>
    <xf numFmtId="164" fontId="7" fillId="0" borderId="3" xfId="0" applyNumberFormat="1" applyFont="1" applyBorder="1" applyAlignment="1">
      <alignment horizontal="center" vertical="center" wrapText="1" shrinkToFit="1"/>
    </xf>
    <xf numFmtId="0" fontId="7" fillId="0" borderId="70" xfId="0" applyFont="1" applyBorder="1" applyAlignment="1">
      <alignment horizontal="left" vertical="center" shrinkToFit="1"/>
    </xf>
    <xf numFmtId="0" fontId="7" fillId="0" borderId="98" xfId="0" applyFont="1" applyBorder="1" applyAlignment="1">
      <alignment horizontal="center" vertical="center" shrinkToFit="1"/>
    </xf>
    <xf numFmtId="0" fontId="7" fillId="0" borderId="98" xfId="0" applyFont="1" applyBorder="1" applyAlignment="1">
      <alignment horizontal="left" vertical="center"/>
    </xf>
    <xf numFmtId="0" fontId="7" fillId="0" borderId="0" xfId="0" applyFont="1" applyAlignment="1">
      <alignment horizontal="center" vertical="center" shrinkToFit="1"/>
    </xf>
    <xf numFmtId="0" fontId="7" fillId="0" borderId="79" xfId="0" applyFont="1" applyBorder="1" applyAlignment="1">
      <alignment horizontal="left" vertical="center" shrinkToFit="1" indent="1"/>
    </xf>
    <xf numFmtId="0" fontId="7" fillId="0" borderId="80" xfId="0" applyFont="1" applyBorder="1" applyAlignment="1">
      <alignment horizontal="left" vertical="center" shrinkToFit="1" indent="1"/>
    </xf>
    <xf numFmtId="0" fontId="7" fillId="0" borderId="82" xfId="0" applyFont="1" applyBorder="1" applyAlignment="1">
      <alignment horizontal="left" vertical="center" shrinkToFit="1" indent="1"/>
    </xf>
    <xf numFmtId="164" fontId="1" fillId="0" borderId="74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7" fillId="0" borderId="3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5" xfId="0" applyFont="1" applyBorder="1" applyAlignment="1">
      <alignment vertical="center"/>
    </xf>
    <xf numFmtId="0" fontId="15" fillId="0" borderId="78" xfId="0" applyFont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105" xfId="0" applyFont="1" applyBorder="1" applyAlignment="1">
      <alignment horizontal="center" vertical="center"/>
    </xf>
    <xf numFmtId="0" fontId="7" fillId="0" borderId="105" xfId="0" applyFont="1" applyBorder="1" applyAlignment="1">
      <alignment horizontal="center" vertical="center" shrinkToFit="1"/>
    </xf>
    <xf numFmtId="0" fontId="15" fillId="0" borderId="84" xfId="0" applyFont="1" applyBorder="1" applyAlignment="1">
      <alignment horizontal="center" vertical="center"/>
    </xf>
    <xf numFmtId="0" fontId="7" fillId="0" borderId="84" xfId="0" applyFont="1" applyBorder="1" applyAlignment="1">
      <alignment horizontal="center" vertical="center"/>
    </xf>
    <xf numFmtId="49" fontId="7" fillId="0" borderId="84" xfId="0" applyNumberFormat="1" applyFont="1" applyBorder="1" applyAlignment="1">
      <alignment horizontal="center" vertical="center" shrinkToFit="1"/>
    </xf>
    <xf numFmtId="49" fontId="7" fillId="0" borderId="31" xfId="0" applyNumberFormat="1" applyFont="1" applyBorder="1" applyAlignment="1">
      <alignment horizontal="center" vertical="center" shrinkToFit="1"/>
    </xf>
    <xf numFmtId="49" fontId="7" fillId="0" borderId="105" xfId="0" applyNumberFormat="1" applyFont="1" applyBorder="1" applyAlignment="1">
      <alignment horizontal="center" vertical="center" shrinkToFit="1"/>
    </xf>
    <xf numFmtId="0" fontId="15" fillId="0" borderId="37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105" xfId="0" applyFont="1" applyBorder="1" applyAlignment="1">
      <alignment vertical="center"/>
    </xf>
    <xf numFmtId="0" fontId="1" fillId="0" borderId="31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7" fillId="0" borderId="113" xfId="0" applyFont="1" applyBorder="1" applyAlignment="1">
      <alignment horizontal="center" vertical="center"/>
    </xf>
    <xf numFmtId="49" fontId="7" fillId="0" borderId="105" xfId="0" applyNumberFormat="1" applyFont="1" applyBorder="1" applyAlignment="1">
      <alignment horizontal="center" vertical="center"/>
    </xf>
    <xf numFmtId="0" fontId="10" fillId="0" borderId="84" xfId="0" applyFont="1" applyBorder="1" applyAlignment="1">
      <alignment horizontal="center" vertical="center"/>
    </xf>
    <xf numFmtId="49" fontId="10" fillId="0" borderId="84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0" fontId="10" fillId="0" borderId="105" xfId="0" applyFont="1" applyBorder="1" applyAlignment="1">
      <alignment horizontal="center" vertical="center"/>
    </xf>
    <xf numFmtId="49" fontId="10" fillId="0" borderId="105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7" fillId="0" borderId="109" xfId="0" applyFont="1" applyBorder="1" applyAlignment="1">
      <alignment horizontal="center" vertical="center"/>
    </xf>
    <xf numFmtId="0" fontId="10" fillId="0" borderId="10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 wrapText="1"/>
    </xf>
    <xf numFmtId="167" fontId="18" fillId="3" borderId="31" xfId="0" applyNumberFormat="1" applyFont="1" applyFill="1" applyBorder="1" applyAlignment="1">
      <alignment horizontal="center" vertical="center"/>
    </xf>
    <xf numFmtId="168" fontId="7" fillId="0" borderId="31" xfId="0" applyNumberFormat="1" applyFont="1" applyBorder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7" fillId="2" borderId="105" xfId="0" applyFont="1" applyFill="1" applyBorder="1" applyAlignment="1">
      <alignment horizontal="center" vertical="center" wrapText="1"/>
    </xf>
    <xf numFmtId="167" fontId="18" fillId="3" borderId="105" xfId="0" applyNumberFormat="1" applyFont="1" applyFill="1" applyBorder="1" applyAlignment="1">
      <alignment horizontal="center" vertical="center"/>
    </xf>
    <xf numFmtId="168" fontId="7" fillId="0" borderId="105" xfId="0" applyNumberFormat="1" applyFont="1" applyBorder="1" applyAlignment="1">
      <alignment horizontal="center" vertical="center"/>
    </xf>
    <xf numFmtId="0" fontId="7" fillId="2" borderId="84" xfId="0" applyFont="1" applyFill="1" applyBorder="1" applyAlignment="1">
      <alignment horizontal="center" vertical="center" wrapText="1"/>
    </xf>
    <xf numFmtId="167" fontId="18" fillId="3" borderId="84" xfId="0" applyNumberFormat="1" applyFont="1" applyFill="1" applyBorder="1" applyAlignment="1">
      <alignment horizontal="center" vertical="center"/>
    </xf>
    <xf numFmtId="168" fontId="7" fillId="0" borderId="84" xfId="0" applyNumberFormat="1" applyFont="1" applyBorder="1" applyAlignment="1">
      <alignment horizontal="center" vertical="center"/>
    </xf>
    <xf numFmtId="49" fontId="18" fillId="3" borderId="105" xfId="0" applyNumberFormat="1" applyFont="1" applyFill="1" applyBorder="1" applyAlignment="1">
      <alignment horizontal="center" vertical="center"/>
    </xf>
    <xf numFmtId="0" fontId="17" fillId="2" borderId="105" xfId="0" applyFont="1" applyFill="1" applyBorder="1" applyAlignment="1">
      <alignment horizontal="center" vertical="center"/>
    </xf>
    <xf numFmtId="49" fontId="18" fillId="3" borderId="84" xfId="0" applyNumberFormat="1" applyFont="1" applyFill="1" applyBorder="1" applyAlignment="1">
      <alignment horizontal="center" vertical="center"/>
    </xf>
    <xf numFmtId="168" fontId="7" fillId="0" borderId="37" xfId="0" applyNumberFormat="1" applyFont="1" applyBorder="1" applyAlignment="1">
      <alignment horizontal="center" vertical="center"/>
    </xf>
    <xf numFmtId="0" fontId="17" fillId="2" borderId="84" xfId="0" applyFont="1" applyFill="1" applyBorder="1" applyAlignment="1">
      <alignment horizontal="center" vertical="center"/>
    </xf>
    <xf numFmtId="49" fontId="18" fillId="3" borderId="31" xfId="0" applyNumberFormat="1" applyFont="1" applyFill="1" applyBorder="1" applyAlignment="1">
      <alignment horizontal="center" vertical="center"/>
    </xf>
    <xf numFmtId="168" fontId="7" fillId="0" borderId="11" xfId="0" applyNumberFormat="1" applyFont="1" applyBorder="1" applyAlignment="1">
      <alignment horizontal="center" vertical="center"/>
    </xf>
    <xf numFmtId="49" fontId="18" fillId="0" borderId="31" xfId="0" applyNumberFormat="1" applyFont="1" applyBorder="1" applyAlignment="1">
      <alignment horizontal="center" vertical="center" readingOrder="1"/>
    </xf>
    <xf numFmtId="0" fontId="15" fillId="0" borderId="31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readingOrder="1"/>
    </xf>
    <xf numFmtId="0" fontId="7" fillId="0" borderId="105" xfId="0" applyFont="1" applyBorder="1" applyAlignment="1" applyProtection="1">
      <alignment horizontal="center" vertical="center" wrapText="1" readingOrder="1"/>
      <protection locked="0"/>
    </xf>
    <xf numFmtId="0" fontId="15" fillId="0" borderId="105" xfId="0" applyFont="1" applyBorder="1" applyAlignment="1">
      <alignment horizontal="center" vertical="center" wrapText="1"/>
    </xf>
    <xf numFmtId="20" fontId="7" fillId="0" borderId="105" xfId="0" applyNumberFormat="1" applyFont="1" applyBorder="1" applyAlignment="1">
      <alignment horizontal="center" vertical="center"/>
    </xf>
    <xf numFmtId="0" fontId="17" fillId="0" borderId="105" xfId="0" applyFont="1" applyBorder="1" applyAlignment="1">
      <alignment horizontal="center" vertical="center" readingOrder="1"/>
    </xf>
    <xf numFmtId="49" fontId="18" fillId="0" borderId="84" xfId="0" applyNumberFormat="1" applyFont="1" applyBorder="1" applyAlignment="1">
      <alignment horizontal="center" vertical="center" readingOrder="1"/>
    </xf>
    <xf numFmtId="0" fontId="15" fillId="0" borderId="84" xfId="0" applyFont="1" applyBorder="1" applyAlignment="1">
      <alignment horizontal="center" vertical="center" wrapText="1"/>
    </xf>
    <xf numFmtId="0" fontId="7" fillId="0" borderId="85" xfId="0" applyFont="1" applyBorder="1" applyAlignment="1">
      <alignment horizontal="center" vertical="center"/>
    </xf>
    <xf numFmtId="0" fontId="7" fillId="0" borderId="88" xfId="0" applyFont="1" applyBorder="1" applyAlignment="1">
      <alignment horizontal="center" vertical="center"/>
    </xf>
    <xf numFmtId="20" fontId="7" fillId="0" borderId="113" xfId="0" applyNumberFormat="1" applyFont="1" applyBorder="1" applyAlignment="1">
      <alignment horizontal="center" vertical="center"/>
    </xf>
    <xf numFmtId="0" fontId="17" fillId="0" borderId="84" xfId="0" applyFont="1" applyBorder="1" applyAlignment="1">
      <alignment horizontal="center" vertical="center" readingOrder="1"/>
    </xf>
    <xf numFmtId="0" fontId="7" fillId="0" borderId="31" xfId="0" applyFont="1" applyBorder="1" applyAlignment="1" applyProtection="1">
      <alignment horizontal="center" vertical="center" wrapText="1" readingOrder="1"/>
      <protection locked="0"/>
    </xf>
    <xf numFmtId="20" fontId="7" fillId="0" borderId="31" xfId="0" applyNumberFormat="1" applyFont="1" applyBorder="1" applyAlignment="1">
      <alignment horizontal="center" vertical="center"/>
    </xf>
    <xf numFmtId="0" fontId="7" fillId="0" borderId="84" xfId="0" applyFont="1" applyBorder="1" applyAlignment="1" applyProtection="1">
      <alignment horizontal="center" vertical="center" wrapText="1" readingOrder="1"/>
      <protection locked="0"/>
    </xf>
    <xf numFmtId="167" fontId="17" fillId="0" borderId="84" xfId="0" applyNumberFormat="1" applyFont="1" applyBorder="1" applyAlignment="1">
      <alignment horizontal="center" vertical="center"/>
    </xf>
    <xf numFmtId="167" fontId="17" fillId="0" borderId="31" xfId="0" applyNumberFormat="1" applyFont="1" applyBorder="1" applyAlignment="1">
      <alignment horizontal="center" vertical="center"/>
    </xf>
    <xf numFmtId="49" fontId="18" fillId="0" borderId="105" xfId="0" applyNumberFormat="1" applyFont="1" applyBorder="1" applyAlignment="1">
      <alignment horizontal="center" vertical="center" readingOrder="1"/>
    </xf>
    <xf numFmtId="167" fontId="17" fillId="0" borderId="105" xfId="0" applyNumberFormat="1" applyFont="1" applyBorder="1" applyAlignment="1">
      <alignment horizontal="center" vertical="center"/>
    </xf>
    <xf numFmtId="0" fontId="7" fillId="2" borderId="37" xfId="0" applyFont="1" applyFill="1" applyBorder="1" applyAlignment="1">
      <alignment horizontal="center" vertical="center" wrapText="1"/>
    </xf>
    <xf numFmtId="167" fontId="17" fillId="0" borderId="37" xfId="0" applyNumberFormat="1" applyFont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 wrapText="1"/>
    </xf>
    <xf numFmtId="167" fontId="17" fillId="0" borderId="11" xfId="0" applyNumberFormat="1" applyFont="1" applyBorder="1" applyAlignment="1">
      <alignment horizontal="center" vertical="center"/>
    </xf>
    <xf numFmtId="167" fontId="7" fillId="0" borderId="105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 shrinkToFi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96" xfId="0" applyFont="1" applyBorder="1" applyAlignment="1">
      <alignment horizontal="center" vertical="center"/>
    </xf>
    <xf numFmtId="0" fontId="7" fillId="0" borderId="4" xfId="0" applyFont="1" applyBorder="1" applyAlignment="1">
      <alignment horizontal="right" vertical="center"/>
    </xf>
    <xf numFmtId="0" fontId="7" fillId="0" borderId="92" xfId="0" applyFont="1" applyBorder="1" applyAlignment="1">
      <alignment horizontal="right" vertical="center"/>
    </xf>
    <xf numFmtId="0" fontId="7" fillId="0" borderId="114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74" xfId="0" applyFont="1" applyBorder="1" applyAlignment="1">
      <alignment horizontal="left" vertical="center"/>
    </xf>
    <xf numFmtId="0" fontId="7" fillId="0" borderId="115" xfId="0" applyFont="1" applyBorder="1" applyAlignment="1">
      <alignment horizontal="center" vertical="center"/>
    </xf>
    <xf numFmtId="0" fontId="7" fillId="0" borderId="116" xfId="0" applyFont="1" applyBorder="1" applyAlignment="1">
      <alignment horizontal="center" vertical="center" wrapText="1"/>
    </xf>
    <xf numFmtId="0" fontId="7" fillId="0" borderId="117" xfId="0" applyFont="1" applyBorder="1" applyAlignment="1">
      <alignment horizontal="center" vertical="center" wrapText="1"/>
    </xf>
    <xf numFmtId="0" fontId="7" fillId="0" borderId="81" xfId="0" applyFont="1" applyBorder="1" applyAlignment="1">
      <alignment horizontal="center" vertical="center"/>
    </xf>
    <xf numFmtId="165" fontId="20" fillId="0" borderId="33" xfId="0" applyNumberFormat="1" applyFont="1" applyBorder="1" applyAlignment="1">
      <alignment horizontal="center" vertical="center"/>
    </xf>
    <xf numFmtId="0" fontId="20" fillId="0" borderId="67" xfId="0" applyFont="1" applyBorder="1" applyAlignment="1">
      <alignment horizontal="center" vertical="center"/>
    </xf>
    <xf numFmtId="165" fontId="20" fillId="0" borderId="78" xfId="0" applyNumberFormat="1" applyFont="1" applyBorder="1" applyAlignment="1">
      <alignment horizontal="center" vertical="center"/>
    </xf>
    <xf numFmtId="0" fontId="20" fillId="0" borderId="78" xfId="0" applyFont="1" applyBorder="1" applyAlignment="1">
      <alignment horizontal="center" vertical="center"/>
    </xf>
    <xf numFmtId="165" fontId="20" fillId="0" borderId="36" xfId="0" applyNumberFormat="1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65" fontId="20" fillId="0" borderId="79" xfId="0" applyNumberFormat="1" applyFont="1" applyBorder="1" applyAlignment="1">
      <alignment horizontal="center" vertical="center"/>
    </xf>
    <xf numFmtId="0" fontId="20" fillId="0" borderId="82" xfId="0" applyFont="1" applyBorder="1" applyAlignment="1">
      <alignment horizontal="center" vertical="center"/>
    </xf>
    <xf numFmtId="0" fontId="20" fillId="0" borderId="81" xfId="0" applyFont="1" applyBorder="1" applyAlignment="1">
      <alignment horizontal="center" vertical="center"/>
    </xf>
    <xf numFmtId="165" fontId="20" fillId="0" borderId="77" xfId="0" applyNumberFormat="1" applyFont="1" applyBorder="1" applyAlignment="1">
      <alignment horizontal="center" vertical="center"/>
    </xf>
    <xf numFmtId="165" fontId="20" fillId="0" borderId="118" xfId="0" applyNumberFormat="1" applyFont="1" applyBorder="1" applyAlignment="1">
      <alignment horizontal="center" vertical="center"/>
    </xf>
    <xf numFmtId="169" fontId="20" fillId="0" borderId="116" xfId="0" applyNumberFormat="1" applyFont="1" applyBorder="1" applyAlignment="1">
      <alignment horizontal="left" vertical="center" shrinkToFit="1"/>
    </xf>
    <xf numFmtId="169" fontId="20" fillId="0" borderId="117" xfId="0" applyNumberFormat="1" applyFont="1" applyBorder="1" applyAlignment="1">
      <alignment horizontal="left" vertical="center" shrinkToFit="1"/>
    </xf>
    <xf numFmtId="169" fontId="20" fillId="0" borderId="119" xfId="0" applyNumberFormat="1" applyFont="1" applyBorder="1" applyAlignment="1">
      <alignment horizontal="left" vertical="center" shrinkToFit="1"/>
    </xf>
    <xf numFmtId="0" fontId="7" fillId="0" borderId="9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120" xfId="0" applyFont="1" applyBorder="1" applyAlignment="1">
      <alignment horizontal="center" vertical="center"/>
    </xf>
    <xf numFmtId="165" fontId="20" fillId="0" borderId="105" xfId="0" applyNumberFormat="1" applyFont="1" applyBorder="1" applyAlignment="1">
      <alignment horizontal="center" vertical="center"/>
    </xf>
    <xf numFmtId="0" fontId="20" fillId="0" borderId="105" xfId="0" applyFont="1" applyBorder="1" applyAlignment="1">
      <alignment horizontal="center" vertical="center"/>
    </xf>
    <xf numFmtId="165" fontId="20" fillId="0" borderId="31" xfId="0" applyNumberFormat="1" applyFont="1" applyBorder="1" applyAlignment="1">
      <alignment horizontal="center" vertical="center"/>
    </xf>
    <xf numFmtId="165" fontId="20" fillId="0" borderId="121" xfId="0" applyNumberFormat="1" applyFont="1" applyBorder="1" applyAlignment="1">
      <alignment horizontal="center" vertical="center"/>
    </xf>
    <xf numFmtId="165" fontId="20" fillId="0" borderId="122" xfId="0" applyNumberFormat="1" applyFont="1" applyBorder="1" applyAlignment="1">
      <alignment horizontal="center" vertical="center"/>
    </xf>
    <xf numFmtId="0" fontId="20" fillId="0" borderId="123" xfId="0" applyFont="1" applyBorder="1" applyAlignment="1">
      <alignment horizontal="left" vertical="center" shrinkToFit="1"/>
    </xf>
    <xf numFmtId="0" fontId="20" fillId="0" borderId="37" xfId="0" applyFont="1" applyBorder="1" applyAlignment="1">
      <alignment horizontal="left" vertical="center" shrinkToFit="1"/>
    </xf>
    <xf numFmtId="0" fontId="20" fillId="0" borderId="124" xfId="0" applyFont="1" applyBorder="1" applyAlignment="1">
      <alignment horizontal="left" vertical="center" shrinkToFit="1"/>
    </xf>
    <xf numFmtId="165" fontId="20" fillId="0" borderId="125" xfId="0" applyNumberFormat="1" applyFont="1" applyBorder="1" applyAlignment="1">
      <alignment horizontal="center" vertical="center"/>
    </xf>
    <xf numFmtId="165" fontId="20" fillId="0" borderId="2" xfId="0" applyNumberFormat="1" applyFont="1" applyBorder="1" applyAlignment="1">
      <alignment horizontal="center" vertical="center"/>
    </xf>
    <xf numFmtId="165" fontId="20" fillId="0" borderId="120" xfId="0" applyNumberFormat="1" applyFont="1" applyBorder="1" applyAlignment="1">
      <alignment horizontal="center" vertical="center"/>
    </xf>
    <xf numFmtId="0" fontId="20" fillId="0" borderId="123" xfId="0" applyFont="1" applyBorder="1" applyAlignment="1">
      <alignment horizontal="left" vertical="center" shrinkToFit="1" indent="1"/>
    </xf>
    <xf numFmtId="0" fontId="20" fillId="0" borderId="37" xfId="0" applyFont="1" applyBorder="1" applyAlignment="1">
      <alignment horizontal="left" vertical="center" shrinkToFit="1" indent="1"/>
    </xf>
    <xf numFmtId="0" fontId="20" fillId="0" borderId="124" xfId="0" applyFont="1" applyBorder="1" applyAlignment="1">
      <alignment horizontal="left" vertical="center" shrinkToFit="1" indent="1"/>
    </xf>
    <xf numFmtId="0" fontId="20" fillId="0" borderId="3" xfId="0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0" fillId="0" borderId="120" xfId="0" applyFont="1" applyBorder="1" applyAlignment="1">
      <alignment horizontal="center" vertical="center"/>
    </xf>
    <xf numFmtId="0" fontId="7" fillId="0" borderId="100" xfId="0" applyFont="1" applyBorder="1" applyAlignment="1">
      <alignment horizontal="center" vertical="center"/>
    </xf>
    <xf numFmtId="165" fontId="20" fillId="0" borderId="17" xfId="0" applyNumberFormat="1" applyFont="1" applyBorder="1" applyAlignment="1">
      <alignment horizontal="center" vertical="center"/>
    </xf>
    <xf numFmtId="0" fontId="20" fillId="0" borderId="100" xfId="0" applyFont="1" applyBorder="1" applyAlignment="1">
      <alignment horizontal="center" vertical="center"/>
    </xf>
    <xf numFmtId="165" fontId="20" fillId="0" borderId="18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165" fontId="20" fillId="0" borderId="21" xfId="0" applyNumberFormat="1" applyFont="1" applyBorder="1" applyAlignment="1">
      <alignment horizontal="center" vertical="center"/>
    </xf>
    <xf numFmtId="165" fontId="20" fillId="0" borderId="123" xfId="0" applyNumberFormat="1" applyFont="1" applyBorder="1" applyAlignment="1">
      <alignment horizontal="center" vertical="center"/>
    </xf>
    <xf numFmtId="165" fontId="20" fillId="0" borderId="37" xfId="0" applyNumberFormat="1" applyFont="1" applyBorder="1" applyAlignment="1">
      <alignment horizontal="center" vertical="center"/>
    </xf>
    <xf numFmtId="165" fontId="20" fillId="0" borderId="124" xfId="0" applyNumberFormat="1" applyFont="1" applyBorder="1" applyAlignment="1">
      <alignment horizontal="center" vertical="center"/>
    </xf>
    <xf numFmtId="169" fontId="20" fillId="0" borderId="17" xfId="0" applyNumberFormat="1" applyFont="1" applyBorder="1" applyAlignment="1">
      <alignment horizontal="left" vertical="center" shrinkToFit="1" indent="1"/>
    </xf>
    <xf numFmtId="169" fontId="20" fillId="0" borderId="18" xfId="0" applyNumberFormat="1" applyFont="1" applyBorder="1" applyAlignment="1">
      <alignment horizontal="left" vertical="center" shrinkToFit="1" indent="1"/>
    </xf>
    <xf numFmtId="169" fontId="20" fillId="0" borderId="115" xfId="0" applyNumberFormat="1" applyFont="1" applyBorder="1" applyAlignment="1">
      <alignment horizontal="left" vertical="center" shrinkToFit="1" indent="1"/>
    </xf>
    <xf numFmtId="0" fontId="7" fillId="0" borderId="95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165" fontId="21" fillId="0" borderId="46" xfId="0" applyNumberFormat="1" applyFont="1" applyBorder="1" applyAlignment="1">
      <alignment horizontal="center" vertical="center"/>
    </xf>
    <xf numFmtId="165" fontId="21" fillId="0" borderId="47" xfId="0" applyNumberFormat="1" applyFont="1" applyBorder="1" applyAlignment="1">
      <alignment horizontal="center" vertical="center"/>
    </xf>
    <xf numFmtId="165" fontId="21" fillId="0" borderId="127" xfId="0" applyNumberFormat="1" applyFont="1" applyBorder="1" applyAlignment="1">
      <alignment horizontal="center" vertical="center"/>
    </xf>
    <xf numFmtId="165" fontId="21" fillId="0" borderId="128" xfId="0" applyNumberFormat="1" applyFont="1" applyBorder="1" applyAlignment="1">
      <alignment horizontal="center" vertical="center"/>
    </xf>
    <xf numFmtId="165" fontId="21" fillId="0" borderId="129" xfId="0" applyNumberFormat="1" applyFont="1" applyBorder="1" applyAlignment="1">
      <alignment horizontal="center" vertical="center"/>
    </xf>
    <xf numFmtId="165" fontId="21" fillId="0" borderId="126" xfId="0" applyNumberFormat="1" applyFont="1" applyBorder="1" applyAlignment="1">
      <alignment horizontal="center" vertical="center"/>
    </xf>
    <xf numFmtId="165" fontId="21" fillId="0" borderId="130" xfId="0" applyNumberFormat="1" applyFont="1" applyBorder="1" applyAlignment="1">
      <alignment horizontal="center" vertical="center"/>
    </xf>
    <xf numFmtId="165" fontId="21" fillId="0" borderId="131" xfId="0" applyNumberFormat="1" applyFont="1" applyBorder="1" applyAlignment="1">
      <alignment horizontal="center" vertical="center"/>
    </xf>
    <xf numFmtId="165" fontId="21" fillId="0" borderId="132" xfId="0" applyNumberFormat="1" applyFont="1" applyBorder="1" applyAlignment="1">
      <alignment horizontal="center" vertical="center"/>
    </xf>
    <xf numFmtId="0" fontId="20" fillId="0" borderId="130" xfId="0" applyFont="1" applyBorder="1" applyAlignment="1">
      <alignment horizontal="left" vertical="center" shrinkToFit="1" indent="1"/>
    </xf>
    <xf numFmtId="0" fontId="20" fillId="0" borderId="131" xfId="0" applyFont="1" applyBorder="1" applyAlignment="1">
      <alignment horizontal="left" vertical="center" shrinkToFit="1" indent="1"/>
    </xf>
    <xf numFmtId="0" fontId="20" fillId="0" borderId="132" xfId="0" applyFont="1" applyBorder="1" applyAlignment="1">
      <alignment horizontal="left" vertical="center" shrinkToFit="1" indent="1"/>
    </xf>
    <xf numFmtId="0" fontId="7" fillId="0" borderId="4" xfId="0" applyFont="1" applyBorder="1" applyAlignment="1">
      <alignment horizontal="center" vertical="center" wrapText="1"/>
    </xf>
    <xf numFmtId="0" fontId="7" fillId="0" borderId="92" xfId="0" applyFont="1" applyBorder="1" applyAlignment="1">
      <alignment horizontal="center" vertical="center" wrapText="1"/>
    </xf>
    <xf numFmtId="0" fontId="7" fillId="0" borderId="111" xfId="0" applyFont="1" applyBorder="1" applyAlignment="1">
      <alignment horizontal="center" vertical="center" wrapText="1"/>
    </xf>
    <xf numFmtId="165" fontId="20" fillId="0" borderId="114" xfId="0" applyNumberFormat="1" applyFont="1" applyBorder="1" applyAlignment="1">
      <alignment horizontal="center" vertical="center"/>
    </xf>
    <xf numFmtId="165" fontId="20" fillId="0" borderId="11" xfId="0" applyNumberFormat="1" applyFont="1" applyBorder="1" applyAlignment="1">
      <alignment horizontal="center" vertical="center"/>
    </xf>
    <xf numFmtId="165" fontId="20" fillId="0" borderId="13" xfId="0" applyNumberFormat="1" applyFont="1" applyBorder="1" applyAlignment="1">
      <alignment horizontal="center" vertical="center"/>
    </xf>
    <xf numFmtId="169" fontId="20" fillId="0" borderId="94" xfId="0" applyNumberFormat="1" applyFont="1" applyBorder="1" applyAlignment="1">
      <alignment horizontal="left" vertical="center" shrinkToFit="1"/>
    </xf>
    <xf numFmtId="169" fontId="20" fillId="0" borderId="0" xfId="0" applyNumberFormat="1" applyFont="1" applyAlignment="1">
      <alignment horizontal="left" vertical="center" shrinkToFit="1"/>
    </xf>
    <xf numFmtId="169" fontId="20" fillId="0" borderId="69" xfId="0" applyNumberFormat="1" applyFont="1" applyBorder="1" applyAlignment="1">
      <alignment horizontal="left" vertical="center" shrinkToFit="1"/>
    </xf>
    <xf numFmtId="0" fontId="7" fillId="0" borderId="70" xfId="0" applyFont="1" applyBorder="1" applyAlignment="1">
      <alignment horizontal="center" vertical="center" wrapText="1"/>
    </xf>
    <xf numFmtId="0" fontId="7" fillId="0" borderId="98" xfId="0" applyFont="1" applyBorder="1" applyAlignment="1">
      <alignment horizontal="center" vertical="center"/>
    </xf>
    <xf numFmtId="0" fontId="7" fillId="0" borderId="133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49" fontId="20" fillId="0" borderId="123" xfId="0" applyNumberFormat="1" applyFont="1" applyBorder="1" applyAlignment="1">
      <alignment horizontal="left" vertical="center" shrinkToFit="1" indent="1"/>
    </xf>
    <xf numFmtId="49" fontId="20" fillId="0" borderId="37" xfId="0" applyNumberFormat="1" applyFont="1" applyBorder="1" applyAlignment="1">
      <alignment horizontal="left" vertical="center" shrinkToFit="1" indent="1"/>
    </xf>
    <xf numFmtId="49" fontId="20" fillId="0" borderId="124" xfId="0" applyNumberFormat="1" applyFont="1" applyBorder="1" applyAlignment="1">
      <alignment horizontal="left" vertical="center" shrinkToFit="1" indent="1"/>
    </xf>
    <xf numFmtId="0" fontId="7" fillId="0" borderId="106" xfId="0" applyFont="1" applyBorder="1" applyAlignment="1">
      <alignment horizontal="center" vertical="center" wrapText="1"/>
    </xf>
    <xf numFmtId="0" fontId="7" fillId="0" borderId="131" xfId="0" applyFont="1" applyBorder="1" applyAlignment="1">
      <alignment horizontal="center" vertical="center"/>
    </xf>
    <xf numFmtId="0" fontId="7" fillId="0" borderId="127" xfId="0" applyFont="1" applyBorder="1" applyAlignment="1">
      <alignment horizontal="center" vertical="center"/>
    </xf>
    <xf numFmtId="0" fontId="20" fillId="0" borderId="128" xfId="0" applyFont="1" applyBorder="1" applyAlignment="1">
      <alignment horizontal="left" vertical="center" shrinkToFit="1" indent="1"/>
    </xf>
    <xf numFmtId="165" fontId="20" fillId="0" borderId="12" xfId="0" applyNumberFormat="1" applyFont="1" applyBorder="1" applyAlignment="1">
      <alignment horizontal="center" vertical="center"/>
    </xf>
    <xf numFmtId="165" fontId="20" fillId="0" borderId="10" xfId="0" applyNumberFormat="1" applyFont="1" applyBorder="1" applyAlignment="1">
      <alignment horizontal="center" vertical="center"/>
    </xf>
    <xf numFmtId="165" fontId="20" fillId="0" borderId="9" xfId="0" applyNumberFormat="1" applyFont="1" applyBorder="1" applyAlignment="1">
      <alignment horizontal="center" vertical="center"/>
    </xf>
    <xf numFmtId="165" fontId="20" fillId="0" borderId="32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left" vertical="center" shrinkToFit="1" indent="1"/>
    </xf>
    <xf numFmtId="0" fontId="20" fillId="0" borderId="31" xfId="0" applyFont="1" applyBorder="1" applyAlignment="1">
      <alignment horizontal="left" vertical="center" shrinkToFit="1" indent="1"/>
    </xf>
    <xf numFmtId="0" fontId="20" fillId="0" borderId="32" xfId="0" applyFont="1" applyBorder="1" applyAlignment="1">
      <alignment horizontal="left" vertical="center" shrinkToFit="1" indent="1"/>
    </xf>
    <xf numFmtId="165" fontId="20" fillId="0" borderId="115" xfId="0" applyNumberFormat="1" applyFont="1" applyBorder="1" applyAlignment="1">
      <alignment horizontal="center" vertical="center"/>
    </xf>
    <xf numFmtId="0" fontId="20" fillId="0" borderId="21" xfId="0" applyFont="1" applyBorder="1" applyAlignment="1">
      <alignment horizontal="left" vertical="center" shrinkToFit="1" indent="1"/>
    </xf>
    <xf numFmtId="0" fontId="20" fillId="0" borderId="18" xfId="0" applyFont="1" applyBorder="1" applyAlignment="1">
      <alignment horizontal="left" vertical="center" shrinkToFit="1" indent="1"/>
    </xf>
    <xf numFmtId="0" fontId="20" fillId="0" borderId="115" xfId="0" applyFont="1" applyBorder="1" applyAlignment="1">
      <alignment horizontal="left" vertical="center" shrinkToFit="1" indent="1"/>
    </xf>
    <xf numFmtId="0" fontId="7" fillId="0" borderId="46" xfId="0" applyFont="1" applyBorder="1" applyAlignment="1">
      <alignment horizontal="center" vertical="center"/>
    </xf>
    <xf numFmtId="0" fontId="7" fillId="0" borderId="107" xfId="0" applyFont="1" applyBorder="1" applyAlignment="1">
      <alignment horizontal="center" vertical="center"/>
    </xf>
    <xf numFmtId="165" fontId="21" fillId="0" borderId="106" xfId="0" applyNumberFormat="1" applyFont="1" applyBorder="1" applyAlignment="1">
      <alignment horizontal="center" vertical="center"/>
    </xf>
    <xf numFmtId="0" fontId="20" fillId="0" borderId="106" xfId="0" applyFont="1" applyBorder="1" applyAlignment="1">
      <alignment horizontal="left" vertical="center" shrinkToFit="1" indent="1"/>
    </xf>
    <xf numFmtId="0" fontId="20" fillId="0" borderId="47" xfId="0" applyFont="1" applyBorder="1" applyAlignment="1">
      <alignment horizontal="left" vertical="center" shrinkToFit="1" indent="1"/>
    </xf>
    <xf numFmtId="0" fontId="20" fillId="0" borderId="126" xfId="0" applyFont="1" applyBorder="1" applyAlignment="1">
      <alignment horizontal="left" vertical="center" shrinkToFit="1" indent="1"/>
    </xf>
    <xf numFmtId="0" fontId="22" fillId="0" borderId="0" xfId="0" applyFont="1" applyAlignment="1">
      <alignment vertical="center"/>
    </xf>
    <xf numFmtId="0" fontId="7" fillId="0" borderId="89" xfId="0" applyFont="1" applyBorder="1" applyAlignment="1">
      <alignment horizontal="center" vertical="center" shrinkToFit="1"/>
    </xf>
    <xf numFmtId="0" fontId="7" fillId="0" borderId="90" xfId="0" applyFont="1" applyBorder="1" applyAlignment="1">
      <alignment horizontal="center" vertical="center" shrinkToFit="1"/>
    </xf>
    <xf numFmtId="0" fontId="7" fillId="0" borderId="91" xfId="0" applyFont="1" applyBorder="1" applyAlignment="1">
      <alignment horizontal="center" vertical="center" shrinkToFit="1"/>
    </xf>
    <xf numFmtId="0" fontId="7" fillId="0" borderId="134" xfId="0" applyFont="1" applyBorder="1" applyAlignment="1">
      <alignment horizontal="center" vertical="center"/>
    </xf>
    <xf numFmtId="0" fontId="7" fillId="0" borderId="135" xfId="0" applyFont="1" applyBorder="1" applyAlignment="1">
      <alignment horizontal="center" vertical="center"/>
    </xf>
    <xf numFmtId="0" fontId="7" fillId="0" borderId="13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23" fillId="0" borderId="114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170" fontId="10" fillId="0" borderId="137" xfId="0" applyNumberFormat="1" applyFont="1" applyBorder="1" applyAlignment="1">
      <alignment horizontal="center" vertical="center"/>
    </xf>
    <xf numFmtId="170" fontId="10" fillId="0" borderId="34" xfId="0" applyNumberFormat="1" applyFont="1" applyBorder="1" applyAlignment="1">
      <alignment horizontal="center" vertical="center"/>
    </xf>
    <xf numFmtId="170" fontId="10" fillId="0" borderId="36" xfId="0" applyNumberFormat="1" applyFont="1" applyBorder="1" applyAlignment="1">
      <alignment horizontal="center" vertical="center"/>
    </xf>
    <xf numFmtId="170" fontId="10" fillId="0" borderId="67" xfId="0" applyNumberFormat="1" applyFont="1" applyBorder="1" applyAlignment="1">
      <alignment horizontal="center" vertical="center"/>
    </xf>
    <xf numFmtId="170" fontId="10" fillId="0" borderId="35" xfId="0" applyNumberFormat="1" applyFont="1" applyBorder="1" applyAlignment="1">
      <alignment horizontal="center" vertical="center"/>
    </xf>
    <xf numFmtId="20" fontId="10" fillId="0" borderId="137" xfId="0" applyNumberFormat="1" applyFont="1" applyBorder="1" applyAlignment="1">
      <alignment horizontal="center" vertical="center"/>
    </xf>
    <xf numFmtId="20" fontId="10" fillId="0" borderId="34" xfId="0" applyNumberFormat="1" applyFont="1" applyBorder="1" applyAlignment="1">
      <alignment horizontal="center" vertical="center"/>
    </xf>
    <xf numFmtId="20" fontId="10" fillId="0" borderId="35" xfId="0" applyNumberFormat="1" applyFont="1" applyBorder="1" applyAlignment="1">
      <alignment horizontal="center" vertical="center"/>
    </xf>
    <xf numFmtId="0" fontId="10" fillId="0" borderId="137" xfId="0" applyFont="1" applyBorder="1" applyAlignment="1">
      <alignment horizontal="left" vertical="center" shrinkToFit="1" indent="1"/>
    </xf>
    <xf numFmtId="0" fontId="10" fillId="0" borderId="34" xfId="0" applyFont="1" applyBorder="1" applyAlignment="1">
      <alignment horizontal="left" vertical="center" shrinkToFit="1" indent="1"/>
    </xf>
    <xf numFmtId="0" fontId="10" fillId="0" borderId="35" xfId="0" applyFont="1" applyBorder="1" applyAlignment="1">
      <alignment horizontal="left" vertical="center" shrinkToFit="1" indent="1"/>
    </xf>
    <xf numFmtId="0" fontId="10" fillId="0" borderId="0" xfId="0" applyFont="1" applyAlignment="1">
      <alignment horizontal="left" vertical="center" indent="1"/>
    </xf>
    <xf numFmtId="0" fontId="10" fillId="0" borderId="138" xfId="0" applyFont="1" applyBorder="1" applyAlignment="1">
      <alignment horizontal="center" vertical="center"/>
    </xf>
    <xf numFmtId="0" fontId="10" fillId="0" borderId="98" xfId="0" applyFont="1" applyBorder="1" applyAlignment="1">
      <alignment horizontal="center" vertical="center"/>
    </xf>
    <xf numFmtId="0" fontId="10" fillId="0" borderId="133" xfId="0" applyFont="1" applyBorder="1" applyAlignment="1">
      <alignment horizontal="center" vertical="center"/>
    </xf>
    <xf numFmtId="170" fontId="10" fillId="0" borderId="125" xfId="0" applyNumberFormat="1" applyFont="1" applyBorder="1" applyAlignment="1">
      <alignment horizontal="center" vertical="center"/>
    </xf>
    <xf numFmtId="170" fontId="10" fillId="0" borderId="2" xfId="0" applyNumberFormat="1" applyFont="1" applyBorder="1" applyAlignment="1">
      <alignment horizontal="center" vertical="center"/>
    </xf>
    <xf numFmtId="170" fontId="10" fillId="0" borderId="3" xfId="0" applyNumberFormat="1" applyFont="1" applyBorder="1" applyAlignment="1">
      <alignment horizontal="center" vertical="center"/>
    </xf>
    <xf numFmtId="170" fontId="10" fillId="0" borderId="1" xfId="0" applyNumberFormat="1" applyFont="1" applyBorder="1" applyAlignment="1">
      <alignment horizontal="center" vertical="center"/>
    </xf>
    <xf numFmtId="170" fontId="10" fillId="0" borderId="120" xfId="0" applyNumberFormat="1" applyFont="1" applyBorder="1" applyAlignment="1">
      <alignment horizontal="center" vertical="center"/>
    </xf>
    <xf numFmtId="20" fontId="10" fillId="0" borderId="125" xfId="0" applyNumberFormat="1" applyFont="1" applyBorder="1" applyAlignment="1">
      <alignment horizontal="center" vertical="center"/>
    </xf>
    <xf numFmtId="20" fontId="10" fillId="0" borderId="2" xfId="0" applyNumberFormat="1" applyFont="1" applyBorder="1" applyAlignment="1">
      <alignment horizontal="center" vertical="center"/>
    </xf>
    <xf numFmtId="20" fontId="10" fillId="0" borderId="120" xfId="0" applyNumberFormat="1" applyFont="1" applyBorder="1" applyAlignment="1">
      <alignment horizontal="center" vertical="center"/>
    </xf>
    <xf numFmtId="0" fontId="10" fillId="0" borderId="125" xfId="0" applyFont="1" applyBorder="1" applyAlignment="1">
      <alignment horizontal="left" vertical="center" shrinkToFit="1" indent="1"/>
    </xf>
    <xf numFmtId="0" fontId="10" fillId="0" borderId="2" xfId="0" applyFont="1" applyBorder="1" applyAlignment="1">
      <alignment horizontal="left" vertical="center" shrinkToFit="1" indent="1"/>
    </xf>
    <xf numFmtId="0" fontId="10" fillId="0" borderId="120" xfId="0" applyFont="1" applyBorder="1" applyAlignment="1">
      <alignment horizontal="left" vertical="center" shrinkToFit="1" indent="1"/>
    </xf>
    <xf numFmtId="0" fontId="10" fillId="0" borderId="12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120" xfId="0" applyFont="1" applyBorder="1" applyAlignment="1">
      <alignment horizontal="center" vertical="center"/>
    </xf>
    <xf numFmtId="0" fontId="10" fillId="0" borderId="89" xfId="0" applyFont="1" applyBorder="1" applyAlignment="1">
      <alignment horizontal="center" vertical="center"/>
    </xf>
    <xf numFmtId="0" fontId="10" fillId="0" borderId="90" xfId="0" applyFont="1" applyBorder="1" applyAlignment="1">
      <alignment horizontal="center" vertical="center"/>
    </xf>
    <xf numFmtId="0" fontId="10" fillId="0" borderId="91" xfId="0" applyFont="1" applyBorder="1" applyAlignment="1">
      <alignment horizontal="center" vertical="center"/>
    </xf>
    <xf numFmtId="171" fontId="23" fillId="0" borderId="89" xfId="0" applyNumberFormat="1" applyFont="1" applyBorder="1" applyAlignment="1">
      <alignment horizontal="center" vertical="center"/>
    </xf>
    <xf numFmtId="171" fontId="23" fillId="0" borderId="90" xfId="0" applyNumberFormat="1" applyFont="1" applyBorder="1" applyAlignment="1">
      <alignment horizontal="center" vertical="center"/>
    </xf>
    <xf numFmtId="171" fontId="23" fillId="0" borderId="91" xfId="0" applyNumberFormat="1" applyFont="1" applyBorder="1" applyAlignment="1">
      <alignment horizontal="center" vertical="center"/>
    </xf>
    <xf numFmtId="0" fontId="10" fillId="0" borderId="89" xfId="0" applyFont="1" applyBorder="1" applyAlignment="1">
      <alignment horizontal="left" vertical="center" shrinkToFit="1"/>
    </xf>
    <xf numFmtId="0" fontId="10" fillId="0" borderId="90" xfId="0" applyFont="1" applyBorder="1" applyAlignment="1">
      <alignment horizontal="left" vertical="center" shrinkToFit="1"/>
    </xf>
    <xf numFmtId="0" fontId="10" fillId="0" borderId="91" xfId="0" applyFont="1" applyBorder="1" applyAlignment="1">
      <alignment horizontal="left" vertical="center" shrinkToFit="1"/>
    </xf>
    <xf numFmtId="0" fontId="7" fillId="0" borderId="0" xfId="0" applyFont="1" applyAlignment="1">
      <alignment horizontal="left" vertical="center" indent="1"/>
    </xf>
    <xf numFmtId="0" fontId="24" fillId="0" borderId="0" xfId="0" applyFont="1" applyAlignment="1">
      <alignment vertical="center"/>
    </xf>
    <xf numFmtId="172" fontId="24" fillId="0" borderId="0" xfId="0" applyNumberFormat="1" applyFont="1" applyAlignment="1">
      <alignment vertical="center"/>
    </xf>
    <xf numFmtId="49" fontId="24" fillId="0" borderId="0" xfId="0" applyNumberFormat="1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horizontal="center" vertical="center"/>
    </xf>
    <xf numFmtId="49" fontId="25" fillId="0" borderId="0" xfId="0" applyNumberFormat="1" applyFont="1" applyAlignment="1">
      <alignment vertical="center"/>
    </xf>
    <xf numFmtId="164" fontId="27" fillId="0" borderId="0" xfId="0" applyNumberFormat="1" applyFont="1" applyAlignment="1">
      <alignment horizontal="center" vertical="center"/>
    </xf>
    <xf numFmtId="0" fontId="28" fillId="2" borderId="0" xfId="0" applyFont="1" applyFill="1" applyAlignment="1" applyProtection="1">
      <alignment horizontal="center" vertical="center"/>
      <protection hidden="1"/>
    </xf>
    <xf numFmtId="0" fontId="29" fillId="2" borderId="0" xfId="0" applyFont="1" applyFill="1" applyProtection="1">
      <protection hidden="1"/>
    </xf>
    <xf numFmtId="0" fontId="30" fillId="0" borderId="0" xfId="0" applyFont="1"/>
    <xf numFmtId="0" fontId="31" fillId="2" borderId="0" xfId="0" applyFont="1" applyFill="1" applyAlignment="1" applyProtection="1">
      <alignment horizontal="left"/>
      <protection locked="0"/>
    </xf>
    <xf numFmtId="0" fontId="32" fillId="2" borderId="0" xfId="0" applyFont="1" applyFill="1" applyProtection="1">
      <protection locked="0"/>
    </xf>
    <xf numFmtId="172" fontId="32" fillId="2" borderId="0" xfId="0" applyNumberFormat="1" applyFont="1" applyFill="1" applyAlignment="1" applyProtection="1">
      <alignment horizontal="left"/>
      <protection locked="0"/>
    </xf>
    <xf numFmtId="49" fontId="32" fillId="2" borderId="0" xfId="0" applyNumberFormat="1" applyFont="1" applyFill="1" applyAlignment="1" applyProtection="1">
      <alignment horizontal="left"/>
      <protection locked="0"/>
    </xf>
    <xf numFmtId="0" fontId="33" fillId="0" borderId="0" xfId="0" applyFont="1" applyAlignment="1">
      <alignment horizontal="right"/>
    </xf>
    <xf numFmtId="0" fontId="30" fillId="0" borderId="0" xfId="0" applyFont="1" applyAlignment="1">
      <alignment vertical="center"/>
    </xf>
    <xf numFmtId="49" fontId="30" fillId="0" borderId="0" xfId="0" applyNumberFormat="1" applyFont="1"/>
    <xf numFmtId="49" fontId="32" fillId="2" borderId="0" xfId="0" applyNumberFormat="1" applyFont="1" applyFill="1" applyProtection="1">
      <protection locked="0"/>
    </xf>
    <xf numFmtId="0" fontId="34" fillId="2" borderId="0" xfId="0" applyFont="1" applyFill="1" applyProtection="1">
      <protection hidden="1"/>
    </xf>
    <xf numFmtId="0" fontId="35" fillId="2" borderId="0" xfId="0" applyFont="1" applyFill="1" applyProtection="1">
      <protection hidden="1"/>
    </xf>
    <xf numFmtId="172" fontId="35" fillId="2" borderId="0" xfId="0" applyNumberFormat="1" applyFont="1" applyFill="1" applyProtection="1">
      <protection hidden="1"/>
    </xf>
    <xf numFmtId="49" fontId="35" fillId="2" borderId="0" xfId="0" applyNumberFormat="1" applyFont="1" applyFill="1" applyProtection="1">
      <protection hidden="1"/>
    </xf>
    <xf numFmtId="0" fontId="36" fillId="4" borderId="105" xfId="0" applyFont="1" applyFill="1" applyBorder="1" applyAlignment="1" applyProtection="1">
      <alignment horizontal="center" vertical="center" wrapText="1"/>
      <protection hidden="1"/>
    </xf>
    <xf numFmtId="172" fontId="36" fillId="4" borderId="105" xfId="0" applyNumberFormat="1" applyFont="1" applyFill="1" applyBorder="1" applyAlignment="1" applyProtection="1">
      <alignment horizontal="center" vertical="center" wrapText="1"/>
      <protection hidden="1"/>
    </xf>
    <xf numFmtId="49" fontId="36" fillId="4" borderId="105" xfId="0" applyNumberFormat="1" applyFont="1" applyFill="1" applyBorder="1" applyAlignment="1" applyProtection="1">
      <alignment horizontal="center" vertical="center" wrapText="1"/>
      <protection hidden="1"/>
    </xf>
    <xf numFmtId="49" fontId="30" fillId="0" borderId="0" xfId="0" applyNumberFormat="1" applyFont="1" applyAlignment="1">
      <alignment vertical="center"/>
    </xf>
    <xf numFmtId="0" fontId="35" fillId="4" borderId="105" xfId="0" applyFont="1" applyFill="1" applyBorder="1" applyProtection="1">
      <protection hidden="1"/>
    </xf>
    <xf numFmtId="172" fontId="35" fillId="4" borderId="105" xfId="0" applyNumberFormat="1" applyFont="1" applyFill="1" applyBorder="1" applyProtection="1">
      <protection hidden="1"/>
    </xf>
    <xf numFmtId="49" fontId="36" fillId="4" borderId="37" xfId="0" applyNumberFormat="1" applyFont="1" applyFill="1" applyBorder="1" applyAlignment="1" applyProtection="1">
      <alignment horizontal="center" vertical="center" wrapText="1"/>
      <protection hidden="1"/>
    </xf>
    <xf numFmtId="0" fontId="35" fillId="0" borderId="105" xfId="0" applyFont="1" applyBorder="1" applyAlignment="1" applyProtection="1">
      <alignment horizontal="center" vertical="center"/>
      <protection locked="0"/>
    </xf>
    <xf numFmtId="0" fontId="30" fillId="0" borderId="105" xfId="0" applyFont="1" applyBorder="1" applyAlignment="1">
      <alignment horizontal="center" vertical="center"/>
    </xf>
    <xf numFmtId="173" fontId="30" fillId="0" borderId="105" xfId="0" applyNumberFormat="1" applyFont="1" applyBorder="1" applyAlignment="1">
      <alignment horizontal="center" vertical="center"/>
    </xf>
    <xf numFmtId="49" fontId="30" fillId="0" borderId="10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14.xml"/><Relationship Id="rId7" Type="http://schemas.openxmlformats.org/officeDocument/2006/relationships/worksheet" Target="worksheets/sheet15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8.xml"/><Relationship Id="rId11" Type="http://schemas.openxmlformats.org/officeDocument/2006/relationships/worksheet" Target="worksheets/sheet19.xml"/><Relationship Id="rId12" Type="http://schemas.openxmlformats.org/officeDocument/2006/relationships/worksheet" Target="worksheets/sheet13.xml"/><Relationship Id="rId13" Type="http://schemas.openxmlformats.org/officeDocument/2006/relationships/worksheet" Target="worksheets/sheet20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workbookViewId="0" zoomScale="90" zoomScaleNormal="90">
      <selection activeCell="C3" sqref="C3"/>
    </sheetView>
  </sheetViews>
  <sheetFormatPr defaultRowHeight="17.25" outlineLevelRow="0" outlineLevelCol="0" x14ac:dyDescent="0" customHeight="1"/>
  <cols>
    <col min="1" max="1" width="6.125" style="3" customWidth="1"/>
    <col min="2" max="2" width="18.625" style="3" customWidth="1"/>
    <col min="3" max="3" width="9.625" style="3" customWidth="1"/>
    <col min="4" max="4" width="10.625" style="3" customWidth="1"/>
    <col min="5" max="5" width="10.75" style="3" customWidth="1"/>
    <col min="6" max="6" width="5.875" style="3" customWidth="1"/>
    <col min="7" max="7" width="9.125" style="3" customWidth="1"/>
    <col min="8" max="8" width="13.375" style="3" customWidth="1"/>
    <col min="9" max="255" width="9" style="3" customWidth="1"/>
    <col min="256" max="256" width="6.5" style="3" customWidth="1"/>
    <col min="257" max="257" width="19.125" style="3" customWidth="1"/>
    <col min="258" max="260" width="10.75" style="3" customWidth="1"/>
    <col min="261" max="261" width="5.875" style="3" customWidth="1"/>
    <col min="262" max="262" width="8.5" style="3" customWidth="1"/>
    <col min="263" max="263" width="14" style="3" customWidth="1"/>
    <col min="264" max="264" width="2" style="3" customWidth="1"/>
    <col min="265" max="511" width="9" style="3" customWidth="1"/>
    <col min="512" max="512" width="6.5" style="3" customWidth="1"/>
    <col min="513" max="513" width="19.125" style="3" customWidth="1"/>
    <col min="514" max="516" width="10.75" style="3" customWidth="1"/>
    <col min="517" max="517" width="5.875" style="3" customWidth="1"/>
    <col min="518" max="518" width="8.5" style="3" customWidth="1"/>
    <col min="519" max="519" width="14" style="3" customWidth="1"/>
    <col min="520" max="520" width="2" style="3" customWidth="1"/>
    <col min="521" max="767" width="9" style="3" customWidth="1"/>
    <col min="768" max="768" width="6.5" style="3" customWidth="1"/>
    <col min="769" max="769" width="19.125" style="3" customWidth="1"/>
    <col min="770" max="772" width="10.75" style="3" customWidth="1"/>
    <col min="773" max="773" width="5.875" style="3" customWidth="1"/>
    <col min="774" max="774" width="8.5" style="3" customWidth="1"/>
    <col min="775" max="775" width="14" style="3" customWidth="1"/>
    <col min="776" max="776" width="2" style="3" customWidth="1"/>
    <col min="777" max="1023" width="9" style="3" customWidth="1"/>
    <col min="1024" max="1024" width="6.5" style="3" customWidth="1"/>
    <col min="1025" max="1025" width="19.125" style="3" customWidth="1"/>
    <col min="1026" max="1028" width="10.75" style="3" customWidth="1"/>
    <col min="1029" max="1029" width="5.875" style="3" customWidth="1"/>
    <col min="1030" max="1030" width="8.5" style="3" customWidth="1"/>
    <col min="1031" max="1031" width="14" style="3" customWidth="1"/>
    <col min="1032" max="1032" width="2" style="3" customWidth="1"/>
    <col min="1033" max="1279" width="9" style="3" customWidth="1"/>
    <col min="1280" max="1280" width="6.5" style="3" customWidth="1"/>
    <col min="1281" max="1281" width="19.125" style="3" customWidth="1"/>
    <col min="1282" max="1284" width="10.75" style="3" customWidth="1"/>
    <col min="1285" max="1285" width="5.875" style="3" customWidth="1"/>
    <col min="1286" max="1286" width="8.5" style="3" customWidth="1"/>
    <col min="1287" max="1287" width="14" style="3" customWidth="1"/>
    <col min="1288" max="1288" width="2" style="3" customWidth="1"/>
    <col min="1289" max="1535" width="9" style="3" customWidth="1"/>
    <col min="1536" max="1536" width="6.5" style="3" customWidth="1"/>
    <col min="1537" max="1537" width="19.125" style="3" customWidth="1"/>
    <col min="1538" max="1540" width="10.75" style="3" customWidth="1"/>
    <col min="1541" max="1541" width="5.875" style="3" customWidth="1"/>
    <col min="1542" max="1542" width="8.5" style="3" customWidth="1"/>
    <col min="1543" max="1543" width="14" style="3" customWidth="1"/>
    <col min="1544" max="1544" width="2" style="3" customWidth="1"/>
    <col min="1545" max="1791" width="9" style="3" customWidth="1"/>
    <col min="1792" max="1792" width="6.5" style="3" customWidth="1"/>
    <col min="1793" max="1793" width="19.125" style="3" customWidth="1"/>
    <col min="1794" max="1796" width="10.75" style="3" customWidth="1"/>
    <col min="1797" max="1797" width="5.875" style="3" customWidth="1"/>
    <col min="1798" max="1798" width="8.5" style="3" customWidth="1"/>
    <col min="1799" max="1799" width="14" style="3" customWidth="1"/>
    <col min="1800" max="1800" width="2" style="3" customWidth="1"/>
    <col min="1801" max="2047" width="9" style="3" customWidth="1"/>
    <col min="2048" max="2048" width="6.5" style="3" customWidth="1"/>
    <col min="2049" max="2049" width="19.125" style="3" customWidth="1"/>
    <col min="2050" max="2052" width="10.75" style="3" customWidth="1"/>
    <col min="2053" max="2053" width="5.875" style="3" customWidth="1"/>
    <col min="2054" max="2054" width="8.5" style="3" customWidth="1"/>
    <col min="2055" max="2055" width="14" style="3" customWidth="1"/>
    <col min="2056" max="2056" width="2" style="3" customWidth="1"/>
    <col min="2057" max="2303" width="9" style="3" customWidth="1"/>
    <col min="2304" max="2304" width="6.5" style="3" customWidth="1"/>
    <col min="2305" max="2305" width="19.125" style="3" customWidth="1"/>
    <col min="2306" max="2308" width="10.75" style="3" customWidth="1"/>
    <col min="2309" max="2309" width="5.875" style="3" customWidth="1"/>
    <col min="2310" max="2310" width="8.5" style="3" customWidth="1"/>
    <col min="2311" max="2311" width="14" style="3" customWidth="1"/>
    <col min="2312" max="2312" width="2" style="3" customWidth="1"/>
    <col min="2313" max="2559" width="9" style="3" customWidth="1"/>
    <col min="2560" max="2560" width="6.5" style="3" customWidth="1"/>
    <col min="2561" max="2561" width="19.125" style="3" customWidth="1"/>
    <col min="2562" max="2564" width="10.75" style="3" customWidth="1"/>
    <col min="2565" max="2565" width="5.875" style="3" customWidth="1"/>
    <col min="2566" max="2566" width="8.5" style="3" customWidth="1"/>
    <col min="2567" max="2567" width="14" style="3" customWidth="1"/>
    <col min="2568" max="2568" width="2" style="3" customWidth="1"/>
    <col min="2569" max="2815" width="9" style="3" customWidth="1"/>
    <col min="2816" max="2816" width="6.5" style="3" customWidth="1"/>
    <col min="2817" max="2817" width="19.125" style="3" customWidth="1"/>
    <col min="2818" max="2820" width="10.75" style="3" customWidth="1"/>
    <col min="2821" max="2821" width="5.875" style="3" customWidth="1"/>
    <col min="2822" max="2822" width="8.5" style="3" customWidth="1"/>
    <col min="2823" max="2823" width="14" style="3" customWidth="1"/>
    <col min="2824" max="2824" width="2" style="3" customWidth="1"/>
    <col min="2825" max="3071" width="9" style="3" customWidth="1"/>
    <col min="3072" max="3072" width="6.5" style="3" customWidth="1"/>
    <col min="3073" max="3073" width="19.125" style="3" customWidth="1"/>
    <col min="3074" max="3076" width="10.75" style="3" customWidth="1"/>
    <col min="3077" max="3077" width="5.875" style="3" customWidth="1"/>
    <col min="3078" max="3078" width="8.5" style="3" customWidth="1"/>
    <col min="3079" max="3079" width="14" style="3" customWidth="1"/>
    <col min="3080" max="3080" width="2" style="3" customWidth="1"/>
    <col min="3081" max="3327" width="9" style="3" customWidth="1"/>
    <col min="3328" max="3328" width="6.5" style="3" customWidth="1"/>
    <col min="3329" max="3329" width="19.125" style="3" customWidth="1"/>
    <col min="3330" max="3332" width="10.75" style="3" customWidth="1"/>
    <col min="3333" max="3333" width="5.875" style="3" customWidth="1"/>
    <col min="3334" max="3334" width="8.5" style="3" customWidth="1"/>
    <col min="3335" max="3335" width="14" style="3" customWidth="1"/>
    <col min="3336" max="3336" width="2" style="3" customWidth="1"/>
    <col min="3337" max="3583" width="9" style="3" customWidth="1"/>
    <col min="3584" max="3584" width="6.5" style="3" customWidth="1"/>
    <col min="3585" max="3585" width="19.125" style="3" customWidth="1"/>
    <col min="3586" max="3588" width="10.75" style="3" customWidth="1"/>
    <col min="3589" max="3589" width="5.875" style="3" customWidth="1"/>
    <col min="3590" max="3590" width="8.5" style="3" customWidth="1"/>
    <col min="3591" max="3591" width="14" style="3" customWidth="1"/>
    <col min="3592" max="3592" width="2" style="3" customWidth="1"/>
    <col min="3593" max="3839" width="9" style="3" customWidth="1"/>
    <col min="3840" max="3840" width="6.5" style="3" customWidth="1"/>
    <col min="3841" max="3841" width="19.125" style="3" customWidth="1"/>
    <col min="3842" max="3844" width="10.75" style="3" customWidth="1"/>
    <col min="3845" max="3845" width="5.875" style="3" customWidth="1"/>
    <col min="3846" max="3846" width="8.5" style="3" customWidth="1"/>
    <col min="3847" max="3847" width="14" style="3" customWidth="1"/>
    <col min="3848" max="3848" width="2" style="3" customWidth="1"/>
    <col min="3849" max="4095" width="9" style="3" customWidth="1"/>
    <col min="4096" max="4096" width="6.5" style="3" customWidth="1"/>
    <col min="4097" max="4097" width="19.125" style="3" customWidth="1"/>
    <col min="4098" max="4100" width="10.75" style="3" customWidth="1"/>
    <col min="4101" max="4101" width="5.875" style="3" customWidth="1"/>
    <col min="4102" max="4102" width="8.5" style="3" customWidth="1"/>
    <col min="4103" max="4103" width="14" style="3" customWidth="1"/>
    <col min="4104" max="4104" width="2" style="3" customWidth="1"/>
    <col min="4105" max="4351" width="9" style="3" customWidth="1"/>
    <col min="4352" max="4352" width="6.5" style="3" customWidth="1"/>
    <col min="4353" max="4353" width="19.125" style="3" customWidth="1"/>
    <col min="4354" max="4356" width="10.75" style="3" customWidth="1"/>
    <col min="4357" max="4357" width="5.875" style="3" customWidth="1"/>
    <col min="4358" max="4358" width="8.5" style="3" customWidth="1"/>
    <col min="4359" max="4359" width="14" style="3" customWidth="1"/>
    <col min="4360" max="4360" width="2" style="3" customWidth="1"/>
    <col min="4361" max="4607" width="9" style="3" customWidth="1"/>
    <col min="4608" max="4608" width="6.5" style="3" customWidth="1"/>
    <col min="4609" max="4609" width="19.125" style="3" customWidth="1"/>
    <col min="4610" max="4612" width="10.75" style="3" customWidth="1"/>
    <col min="4613" max="4613" width="5.875" style="3" customWidth="1"/>
    <col min="4614" max="4614" width="8.5" style="3" customWidth="1"/>
    <col min="4615" max="4615" width="14" style="3" customWidth="1"/>
    <col min="4616" max="4616" width="2" style="3" customWidth="1"/>
    <col min="4617" max="4863" width="9" style="3" customWidth="1"/>
    <col min="4864" max="4864" width="6.5" style="3" customWidth="1"/>
    <col min="4865" max="4865" width="19.125" style="3" customWidth="1"/>
    <col min="4866" max="4868" width="10.75" style="3" customWidth="1"/>
    <col min="4869" max="4869" width="5.875" style="3" customWidth="1"/>
    <col min="4870" max="4870" width="8.5" style="3" customWidth="1"/>
    <col min="4871" max="4871" width="14" style="3" customWidth="1"/>
    <col min="4872" max="4872" width="2" style="3" customWidth="1"/>
    <col min="4873" max="5119" width="9" style="3" customWidth="1"/>
    <col min="5120" max="5120" width="6.5" style="3" customWidth="1"/>
    <col min="5121" max="5121" width="19.125" style="3" customWidth="1"/>
    <col min="5122" max="5124" width="10.75" style="3" customWidth="1"/>
    <col min="5125" max="5125" width="5.875" style="3" customWidth="1"/>
    <col min="5126" max="5126" width="8.5" style="3" customWidth="1"/>
    <col min="5127" max="5127" width="14" style="3" customWidth="1"/>
    <col min="5128" max="5128" width="2" style="3" customWidth="1"/>
    <col min="5129" max="5375" width="9" style="3" customWidth="1"/>
    <col min="5376" max="5376" width="6.5" style="3" customWidth="1"/>
    <col min="5377" max="5377" width="19.125" style="3" customWidth="1"/>
    <col min="5378" max="5380" width="10.75" style="3" customWidth="1"/>
    <col min="5381" max="5381" width="5.875" style="3" customWidth="1"/>
    <col min="5382" max="5382" width="8.5" style="3" customWidth="1"/>
    <col min="5383" max="5383" width="14" style="3" customWidth="1"/>
    <col min="5384" max="5384" width="2" style="3" customWidth="1"/>
    <col min="5385" max="5631" width="9" style="3" customWidth="1"/>
    <col min="5632" max="5632" width="6.5" style="3" customWidth="1"/>
    <col min="5633" max="5633" width="19.125" style="3" customWidth="1"/>
    <col min="5634" max="5636" width="10.75" style="3" customWidth="1"/>
    <col min="5637" max="5637" width="5.875" style="3" customWidth="1"/>
    <col min="5638" max="5638" width="8.5" style="3" customWidth="1"/>
    <col min="5639" max="5639" width="14" style="3" customWidth="1"/>
    <col min="5640" max="5640" width="2" style="3" customWidth="1"/>
    <col min="5641" max="5887" width="9" style="3" customWidth="1"/>
    <col min="5888" max="5888" width="6.5" style="3" customWidth="1"/>
    <col min="5889" max="5889" width="19.125" style="3" customWidth="1"/>
    <col min="5890" max="5892" width="10.75" style="3" customWidth="1"/>
    <col min="5893" max="5893" width="5.875" style="3" customWidth="1"/>
    <col min="5894" max="5894" width="8.5" style="3" customWidth="1"/>
    <col min="5895" max="5895" width="14" style="3" customWidth="1"/>
    <col min="5896" max="5896" width="2" style="3" customWidth="1"/>
    <col min="5897" max="6143" width="9" style="3" customWidth="1"/>
    <col min="6144" max="6144" width="6.5" style="3" customWidth="1"/>
    <col min="6145" max="6145" width="19.125" style="3" customWidth="1"/>
    <col min="6146" max="6148" width="10.75" style="3" customWidth="1"/>
    <col min="6149" max="6149" width="5.875" style="3" customWidth="1"/>
    <col min="6150" max="6150" width="8.5" style="3" customWidth="1"/>
    <col min="6151" max="6151" width="14" style="3" customWidth="1"/>
    <col min="6152" max="6152" width="2" style="3" customWidth="1"/>
    <col min="6153" max="6399" width="9" style="3" customWidth="1"/>
    <col min="6400" max="6400" width="6.5" style="3" customWidth="1"/>
    <col min="6401" max="6401" width="19.125" style="3" customWidth="1"/>
    <col min="6402" max="6404" width="10.75" style="3" customWidth="1"/>
    <col min="6405" max="6405" width="5.875" style="3" customWidth="1"/>
    <col min="6406" max="6406" width="8.5" style="3" customWidth="1"/>
    <col min="6407" max="6407" width="14" style="3" customWidth="1"/>
    <col min="6408" max="6408" width="2" style="3" customWidth="1"/>
    <col min="6409" max="6655" width="9" style="3" customWidth="1"/>
    <col min="6656" max="6656" width="6.5" style="3" customWidth="1"/>
    <col min="6657" max="6657" width="19.125" style="3" customWidth="1"/>
    <col min="6658" max="6660" width="10.75" style="3" customWidth="1"/>
    <col min="6661" max="6661" width="5.875" style="3" customWidth="1"/>
    <col min="6662" max="6662" width="8.5" style="3" customWidth="1"/>
    <col min="6663" max="6663" width="14" style="3" customWidth="1"/>
    <col min="6664" max="6664" width="2" style="3" customWidth="1"/>
    <col min="6665" max="6911" width="9" style="3" customWidth="1"/>
    <col min="6912" max="6912" width="6.5" style="3" customWidth="1"/>
    <col min="6913" max="6913" width="19.125" style="3" customWidth="1"/>
    <col min="6914" max="6916" width="10.75" style="3" customWidth="1"/>
    <col min="6917" max="6917" width="5.875" style="3" customWidth="1"/>
    <col min="6918" max="6918" width="8.5" style="3" customWidth="1"/>
    <col min="6919" max="6919" width="14" style="3" customWidth="1"/>
    <col min="6920" max="6920" width="2" style="3" customWidth="1"/>
    <col min="6921" max="7167" width="9" style="3" customWidth="1"/>
    <col min="7168" max="7168" width="6.5" style="3" customWidth="1"/>
    <col min="7169" max="7169" width="19.125" style="3" customWidth="1"/>
    <col min="7170" max="7172" width="10.75" style="3" customWidth="1"/>
    <col min="7173" max="7173" width="5.875" style="3" customWidth="1"/>
    <col min="7174" max="7174" width="8.5" style="3" customWidth="1"/>
    <col min="7175" max="7175" width="14" style="3" customWidth="1"/>
    <col min="7176" max="7176" width="2" style="3" customWidth="1"/>
    <col min="7177" max="7423" width="9" style="3" customWidth="1"/>
    <col min="7424" max="7424" width="6.5" style="3" customWidth="1"/>
    <col min="7425" max="7425" width="19.125" style="3" customWidth="1"/>
    <col min="7426" max="7428" width="10.75" style="3" customWidth="1"/>
    <col min="7429" max="7429" width="5.875" style="3" customWidth="1"/>
    <col min="7430" max="7430" width="8.5" style="3" customWidth="1"/>
    <col min="7431" max="7431" width="14" style="3" customWidth="1"/>
    <col min="7432" max="7432" width="2" style="3" customWidth="1"/>
    <col min="7433" max="7679" width="9" style="3" customWidth="1"/>
    <col min="7680" max="7680" width="6.5" style="3" customWidth="1"/>
    <col min="7681" max="7681" width="19.125" style="3" customWidth="1"/>
    <col min="7682" max="7684" width="10.75" style="3" customWidth="1"/>
    <col min="7685" max="7685" width="5.875" style="3" customWidth="1"/>
    <col min="7686" max="7686" width="8.5" style="3" customWidth="1"/>
    <col min="7687" max="7687" width="14" style="3" customWidth="1"/>
    <col min="7688" max="7688" width="2" style="3" customWidth="1"/>
    <col min="7689" max="7935" width="9" style="3" customWidth="1"/>
    <col min="7936" max="7936" width="6.5" style="3" customWidth="1"/>
    <col min="7937" max="7937" width="19.125" style="3" customWidth="1"/>
    <col min="7938" max="7940" width="10.75" style="3" customWidth="1"/>
    <col min="7941" max="7941" width="5.875" style="3" customWidth="1"/>
    <col min="7942" max="7942" width="8.5" style="3" customWidth="1"/>
    <col min="7943" max="7943" width="14" style="3" customWidth="1"/>
    <col min="7944" max="7944" width="2" style="3" customWidth="1"/>
    <col min="7945" max="8191" width="9" style="3" customWidth="1"/>
    <col min="8192" max="8192" width="6.5" style="3" customWidth="1"/>
    <col min="8193" max="8193" width="19.125" style="3" customWidth="1"/>
    <col min="8194" max="8196" width="10.75" style="3" customWidth="1"/>
    <col min="8197" max="8197" width="5.875" style="3" customWidth="1"/>
    <col min="8198" max="8198" width="8.5" style="3" customWidth="1"/>
    <col min="8199" max="8199" width="14" style="3" customWidth="1"/>
    <col min="8200" max="8200" width="2" style="3" customWidth="1"/>
    <col min="8201" max="8447" width="9" style="3" customWidth="1"/>
    <col min="8448" max="8448" width="6.5" style="3" customWidth="1"/>
    <col min="8449" max="8449" width="19.125" style="3" customWidth="1"/>
    <col min="8450" max="8452" width="10.75" style="3" customWidth="1"/>
    <col min="8453" max="8453" width="5.875" style="3" customWidth="1"/>
    <col min="8454" max="8454" width="8.5" style="3" customWidth="1"/>
    <col min="8455" max="8455" width="14" style="3" customWidth="1"/>
    <col min="8456" max="8456" width="2" style="3" customWidth="1"/>
    <col min="8457" max="8703" width="9" style="3" customWidth="1"/>
    <col min="8704" max="8704" width="6.5" style="3" customWidth="1"/>
    <col min="8705" max="8705" width="19.125" style="3" customWidth="1"/>
    <col min="8706" max="8708" width="10.75" style="3" customWidth="1"/>
    <col min="8709" max="8709" width="5.875" style="3" customWidth="1"/>
    <col min="8710" max="8710" width="8.5" style="3" customWidth="1"/>
    <col min="8711" max="8711" width="14" style="3" customWidth="1"/>
    <col min="8712" max="8712" width="2" style="3" customWidth="1"/>
    <col min="8713" max="8959" width="9" style="3" customWidth="1"/>
    <col min="8960" max="8960" width="6.5" style="3" customWidth="1"/>
    <col min="8961" max="8961" width="19.125" style="3" customWidth="1"/>
    <col min="8962" max="8964" width="10.75" style="3" customWidth="1"/>
    <col min="8965" max="8965" width="5.875" style="3" customWidth="1"/>
    <col min="8966" max="8966" width="8.5" style="3" customWidth="1"/>
    <col min="8967" max="8967" width="14" style="3" customWidth="1"/>
    <col min="8968" max="8968" width="2" style="3" customWidth="1"/>
    <col min="8969" max="9215" width="9" style="3" customWidth="1"/>
    <col min="9216" max="9216" width="6.5" style="3" customWidth="1"/>
    <col min="9217" max="9217" width="19.125" style="3" customWidth="1"/>
    <col min="9218" max="9220" width="10.75" style="3" customWidth="1"/>
    <col min="9221" max="9221" width="5.875" style="3" customWidth="1"/>
    <col min="9222" max="9222" width="8.5" style="3" customWidth="1"/>
    <col min="9223" max="9223" width="14" style="3" customWidth="1"/>
    <col min="9224" max="9224" width="2" style="3" customWidth="1"/>
    <col min="9225" max="9471" width="9" style="3" customWidth="1"/>
    <col min="9472" max="9472" width="6.5" style="3" customWidth="1"/>
    <col min="9473" max="9473" width="19.125" style="3" customWidth="1"/>
    <col min="9474" max="9476" width="10.75" style="3" customWidth="1"/>
    <col min="9477" max="9477" width="5.875" style="3" customWidth="1"/>
    <col min="9478" max="9478" width="8.5" style="3" customWidth="1"/>
    <col min="9479" max="9479" width="14" style="3" customWidth="1"/>
    <col min="9480" max="9480" width="2" style="3" customWidth="1"/>
    <col min="9481" max="9727" width="9" style="3" customWidth="1"/>
    <col min="9728" max="9728" width="6.5" style="3" customWidth="1"/>
    <col min="9729" max="9729" width="19.125" style="3" customWidth="1"/>
    <col min="9730" max="9732" width="10.75" style="3" customWidth="1"/>
    <col min="9733" max="9733" width="5.875" style="3" customWidth="1"/>
    <col min="9734" max="9734" width="8.5" style="3" customWidth="1"/>
    <col min="9735" max="9735" width="14" style="3" customWidth="1"/>
    <col min="9736" max="9736" width="2" style="3" customWidth="1"/>
    <col min="9737" max="9983" width="9" style="3" customWidth="1"/>
    <col min="9984" max="9984" width="6.5" style="3" customWidth="1"/>
    <col min="9985" max="9985" width="19.125" style="3" customWidth="1"/>
    <col min="9986" max="9988" width="10.75" style="3" customWidth="1"/>
    <col min="9989" max="9989" width="5.875" style="3" customWidth="1"/>
    <col min="9990" max="9990" width="8.5" style="3" customWidth="1"/>
    <col min="9991" max="9991" width="14" style="3" customWidth="1"/>
    <col min="9992" max="9992" width="2" style="3" customWidth="1"/>
    <col min="9993" max="10239" width="9" style="3" customWidth="1"/>
    <col min="10240" max="10240" width="6.5" style="3" customWidth="1"/>
    <col min="10241" max="10241" width="19.125" style="3" customWidth="1"/>
    <col min="10242" max="10244" width="10.75" style="3" customWidth="1"/>
    <col min="10245" max="10245" width="5.875" style="3" customWidth="1"/>
    <col min="10246" max="10246" width="8.5" style="3" customWidth="1"/>
    <col min="10247" max="10247" width="14" style="3" customWidth="1"/>
    <col min="10248" max="10248" width="2" style="3" customWidth="1"/>
    <col min="10249" max="10495" width="9" style="3" customWidth="1"/>
    <col min="10496" max="10496" width="6.5" style="3" customWidth="1"/>
    <col min="10497" max="10497" width="19.125" style="3" customWidth="1"/>
    <col min="10498" max="10500" width="10.75" style="3" customWidth="1"/>
    <col min="10501" max="10501" width="5.875" style="3" customWidth="1"/>
    <col min="10502" max="10502" width="8.5" style="3" customWidth="1"/>
    <col min="10503" max="10503" width="14" style="3" customWidth="1"/>
    <col min="10504" max="10504" width="2" style="3" customWidth="1"/>
    <col min="10505" max="10751" width="9" style="3" customWidth="1"/>
    <col min="10752" max="10752" width="6.5" style="3" customWidth="1"/>
    <col min="10753" max="10753" width="19.125" style="3" customWidth="1"/>
    <col min="10754" max="10756" width="10.75" style="3" customWidth="1"/>
    <col min="10757" max="10757" width="5.875" style="3" customWidth="1"/>
    <col min="10758" max="10758" width="8.5" style="3" customWidth="1"/>
    <col min="10759" max="10759" width="14" style="3" customWidth="1"/>
    <col min="10760" max="10760" width="2" style="3" customWidth="1"/>
    <col min="10761" max="11007" width="9" style="3" customWidth="1"/>
    <col min="11008" max="11008" width="6.5" style="3" customWidth="1"/>
    <col min="11009" max="11009" width="19.125" style="3" customWidth="1"/>
    <col min="11010" max="11012" width="10.75" style="3" customWidth="1"/>
    <col min="11013" max="11013" width="5.875" style="3" customWidth="1"/>
    <col min="11014" max="11014" width="8.5" style="3" customWidth="1"/>
    <col min="11015" max="11015" width="14" style="3" customWidth="1"/>
    <col min="11016" max="11016" width="2" style="3" customWidth="1"/>
    <col min="11017" max="11263" width="9" style="3" customWidth="1"/>
    <col min="11264" max="11264" width="6.5" style="3" customWidth="1"/>
    <col min="11265" max="11265" width="19.125" style="3" customWidth="1"/>
    <col min="11266" max="11268" width="10.75" style="3" customWidth="1"/>
    <col min="11269" max="11269" width="5.875" style="3" customWidth="1"/>
    <col min="11270" max="11270" width="8.5" style="3" customWidth="1"/>
    <col min="11271" max="11271" width="14" style="3" customWidth="1"/>
    <col min="11272" max="11272" width="2" style="3" customWidth="1"/>
    <col min="11273" max="11519" width="9" style="3" customWidth="1"/>
    <col min="11520" max="11520" width="6.5" style="3" customWidth="1"/>
    <col min="11521" max="11521" width="19.125" style="3" customWidth="1"/>
    <col min="11522" max="11524" width="10.75" style="3" customWidth="1"/>
    <col min="11525" max="11525" width="5.875" style="3" customWidth="1"/>
    <col min="11526" max="11526" width="8.5" style="3" customWidth="1"/>
    <col min="11527" max="11527" width="14" style="3" customWidth="1"/>
    <col min="11528" max="11528" width="2" style="3" customWidth="1"/>
    <col min="11529" max="11775" width="9" style="3" customWidth="1"/>
    <col min="11776" max="11776" width="6.5" style="3" customWidth="1"/>
    <col min="11777" max="11777" width="19.125" style="3" customWidth="1"/>
    <col min="11778" max="11780" width="10.75" style="3" customWidth="1"/>
    <col min="11781" max="11781" width="5.875" style="3" customWidth="1"/>
    <col min="11782" max="11782" width="8.5" style="3" customWidth="1"/>
    <col min="11783" max="11783" width="14" style="3" customWidth="1"/>
    <col min="11784" max="11784" width="2" style="3" customWidth="1"/>
    <col min="11785" max="12031" width="9" style="3" customWidth="1"/>
    <col min="12032" max="12032" width="6.5" style="3" customWidth="1"/>
    <col min="12033" max="12033" width="19.125" style="3" customWidth="1"/>
    <col min="12034" max="12036" width="10.75" style="3" customWidth="1"/>
    <col min="12037" max="12037" width="5.875" style="3" customWidth="1"/>
    <col min="12038" max="12038" width="8.5" style="3" customWidth="1"/>
    <col min="12039" max="12039" width="14" style="3" customWidth="1"/>
    <col min="12040" max="12040" width="2" style="3" customWidth="1"/>
    <col min="12041" max="12287" width="9" style="3" customWidth="1"/>
    <col min="12288" max="12288" width="6.5" style="3" customWidth="1"/>
    <col min="12289" max="12289" width="19.125" style="3" customWidth="1"/>
    <col min="12290" max="12292" width="10.75" style="3" customWidth="1"/>
    <col min="12293" max="12293" width="5.875" style="3" customWidth="1"/>
    <col min="12294" max="12294" width="8.5" style="3" customWidth="1"/>
    <col min="12295" max="12295" width="14" style="3" customWidth="1"/>
    <col min="12296" max="12296" width="2" style="3" customWidth="1"/>
    <col min="12297" max="12543" width="9" style="3" customWidth="1"/>
    <col min="12544" max="12544" width="6.5" style="3" customWidth="1"/>
    <col min="12545" max="12545" width="19.125" style="3" customWidth="1"/>
    <col min="12546" max="12548" width="10.75" style="3" customWidth="1"/>
    <col min="12549" max="12549" width="5.875" style="3" customWidth="1"/>
    <col min="12550" max="12550" width="8.5" style="3" customWidth="1"/>
    <col min="12551" max="12551" width="14" style="3" customWidth="1"/>
    <col min="12552" max="12552" width="2" style="3" customWidth="1"/>
    <col min="12553" max="12799" width="9" style="3" customWidth="1"/>
    <col min="12800" max="12800" width="6.5" style="3" customWidth="1"/>
    <col min="12801" max="12801" width="19.125" style="3" customWidth="1"/>
    <col min="12802" max="12804" width="10.75" style="3" customWidth="1"/>
    <col min="12805" max="12805" width="5.875" style="3" customWidth="1"/>
    <col min="12806" max="12806" width="8.5" style="3" customWidth="1"/>
    <col min="12807" max="12807" width="14" style="3" customWidth="1"/>
    <col min="12808" max="12808" width="2" style="3" customWidth="1"/>
    <col min="12809" max="13055" width="9" style="3" customWidth="1"/>
    <col min="13056" max="13056" width="6.5" style="3" customWidth="1"/>
    <col min="13057" max="13057" width="19.125" style="3" customWidth="1"/>
    <col min="13058" max="13060" width="10.75" style="3" customWidth="1"/>
    <col min="13061" max="13061" width="5.875" style="3" customWidth="1"/>
    <col min="13062" max="13062" width="8.5" style="3" customWidth="1"/>
    <col min="13063" max="13063" width="14" style="3" customWidth="1"/>
    <col min="13064" max="13064" width="2" style="3" customWidth="1"/>
    <col min="13065" max="13311" width="9" style="3" customWidth="1"/>
    <col min="13312" max="13312" width="6.5" style="3" customWidth="1"/>
    <col min="13313" max="13313" width="19.125" style="3" customWidth="1"/>
    <col min="13314" max="13316" width="10.75" style="3" customWidth="1"/>
    <col min="13317" max="13317" width="5.875" style="3" customWidth="1"/>
    <col min="13318" max="13318" width="8.5" style="3" customWidth="1"/>
    <col min="13319" max="13319" width="14" style="3" customWidth="1"/>
    <col min="13320" max="13320" width="2" style="3" customWidth="1"/>
    <col min="13321" max="13567" width="9" style="3" customWidth="1"/>
    <col min="13568" max="13568" width="6.5" style="3" customWidth="1"/>
    <col min="13569" max="13569" width="19.125" style="3" customWidth="1"/>
    <col min="13570" max="13572" width="10.75" style="3" customWidth="1"/>
    <col min="13573" max="13573" width="5.875" style="3" customWidth="1"/>
    <col min="13574" max="13574" width="8.5" style="3" customWidth="1"/>
    <col min="13575" max="13575" width="14" style="3" customWidth="1"/>
    <col min="13576" max="13576" width="2" style="3" customWidth="1"/>
    <col min="13577" max="13823" width="9" style="3" customWidth="1"/>
    <col min="13824" max="13824" width="6.5" style="3" customWidth="1"/>
    <col min="13825" max="13825" width="19.125" style="3" customWidth="1"/>
    <col min="13826" max="13828" width="10.75" style="3" customWidth="1"/>
    <col min="13829" max="13829" width="5.875" style="3" customWidth="1"/>
    <col min="13830" max="13830" width="8.5" style="3" customWidth="1"/>
    <col min="13831" max="13831" width="14" style="3" customWidth="1"/>
    <col min="13832" max="13832" width="2" style="3" customWidth="1"/>
    <col min="13833" max="14079" width="9" style="3" customWidth="1"/>
    <col min="14080" max="14080" width="6.5" style="3" customWidth="1"/>
    <col min="14081" max="14081" width="19.125" style="3" customWidth="1"/>
    <col min="14082" max="14084" width="10.75" style="3" customWidth="1"/>
    <col min="14085" max="14085" width="5.875" style="3" customWidth="1"/>
    <col min="14086" max="14086" width="8.5" style="3" customWidth="1"/>
    <col min="14087" max="14087" width="14" style="3" customWidth="1"/>
    <col min="14088" max="14088" width="2" style="3" customWidth="1"/>
    <col min="14089" max="14335" width="9" style="3" customWidth="1"/>
    <col min="14336" max="14336" width="6.5" style="3" customWidth="1"/>
    <col min="14337" max="14337" width="19.125" style="3" customWidth="1"/>
    <col min="14338" max="14340" width="10.75" style="3" customWidth="1"/>
    <col min="14341" max="14341" width="5.875" style="3" customWidth="1"/>
    <col min="14342" max="14342" width="8.5" style="3" customWidth="1"/>
    <col min="14343" max="14343" width="14" style="3" customWidth="1"/>
    <col min="14344" max="14344" width="2" style="3" customWidth="1"/>
    <col min="14345" max="14591" width="9" style="3" customWidth="1"/>
    <col min="14592" max="14592" width="6.5" style="3" customWidth="1"/>
    <col min="14593" max="14593" width="19.125" style="3" customWidth="1"/>
    <col min="14594" max="14596" width="10.75" style="3" customWidth="1"/>
    <col min="14597" max="14597" width="5.875" style="3" customWidth="1"/>
    <col min="14598" max="14598" width="8.5" style="3" customWidth="1"/>
    <col min="14599" max="14599" width="14" style="3" customWidth="1"/>
    <col min="14600" max="14600" width="2" style="3" customWidth="1"/>
    <col min="14601" max="14847" width="9" style="3" customWidth="1"/>
    <col min="14848" max="14848" width="6.5" style="3" customWidth="1"/>
    <col min="14849" max="14849" width="19.125" style="3" customWidth="1"/>
    <col min="14850" max="14852" width="10.75" style="3" customWidth="1"/>
    <col min="14853" max="14853" width="5.875" style="3" customWidth="1"/>
    <col min="14854" max="14854" width="8.5" style="3" customWidth="1"/>
    <col min="14855" max="14855" width="14" style="3" customWidth="1"/>
    <col min="14856" max="14856" width="2" style="3" customWidth="1"/>
    <col min="14857" max="15103" width="9" style="3" customWidth="1"/>
    <col min="15104" max="15104" width="6.5" style="3" customWidth="1"/>
    <col min="15105" max="15105" width="19.125" style="3" customWidth="1"/>
    <col min="15106" max="15108" width="10.75" style="3" customWidth="1"/>
    <col min="15109" max="15109" width="5.875" style="3" customWidth="1"/>
    <col min="15110" max="15110" width="8.5" style="3" customWidth="1"/>
    <col min="15111" max="15111" width="14" style="3" customWidth="1"/>
    <col min="15112" max="15112" width="2" style="3" customWidth="1"/>
    <col min="15113" max="15359" width="9" style="3" customWidth="1"/>
    <col min="15360" max="15360" width="6.5" style="3" customWidth="1"/>
    <col min="15361" max="15361" width="19.125" style="3" customWidth="1"/>
    <col min="15362" max="15364" width="10.75" style="3" customWidth="1"/>
    <col min="15365" max="15365" width="5.875" style="3" customWidth="1"/>
    <col min="15366" max="15366" width="8.5" style="3" customWidth="1"/>
    <col min="15367" max="15367" width="14" style="3" customWidth="1"/>
    <col min="15368" max="15368" width="2" style="3" customWidth="1"/>
    <col min="15369" max="15615" width="9" style="3" customWidth="1"/>
    <col min="15616" max="15616" width="6.5" style="3" customWidth="1"/>
    <col min="15617" max="15617" width="19.125" style="3" customWidth="1"/>
    <col min="15618" max="15620" width="10.75" style="3" customWidth="1"/>
    <col min="15621" max="15621" width="5.875" style="3" customWidth="1"/>
    <col min="15622" max="15622" width="8.5" style="3" customWidth="1"/>
    <col min="15623" max="15623" width="14" style="3" customWidth="1"/>
    <col min="15624" max="15624" width="2" style="3" customWidth="1"/>
    <col min="15625" max="15871" width="9" style="3" customWidth="1"/>
    <col min="15872" max="15872" width="6.5" style="3" customWidth="1"/>
    <col min="15873" max="15873" width="19.125" style="3" customWidth="1"/>
    <col min="15874" max="15876" width="10.75" style="3" customWidth="1"/>
    <col min="15877" max="15877" width="5.875" style="3" customWidth="1"/>
    <col min="15878" max="15878" width="8.5" style="3" customWidth="1"/>
    <col min="15879" max="15879" width="14" style="3" customWidth="1"/>
    <col min="15880" max="15880" width="2" style="3" customWidth="1"/>
    <col min="15881" max="16127" width="9" style="3" customWidth="1"/>
    <col min="16128" max="16128" width="6.5" style="3" customWidth="1"/>
    <col min="16129" max="16129" width="19.125" style="3" customWidth="1"/>
    <col min="16130" max="16132" width="10.75" style="3" customWidth="1"/>
    <col min="16133" max="16133" width="5.875" style="3" customWidth="1"/>
    <col min="16134" max="16134" width="8.5" style="3" customWidth="1"/>
    <col min="16135" max="16135" width="14" style="3" customWidth="1"/>
    <col min="16136" max="16136" width="2" style="3" customWidth="1"/>
    <col min="16137" max="16384" width="9" style="3" customWidth="1"/>
  </cols>
  <sheetData>
    <row r="1" ht="33.75" customHeight="1" spans="1:25" x14ac:dyDescent="0.25">
      <c r="A1" s="4" t="s">
        <v>24</v>
      </c>
      <c r="B1" s="4"/>
      <c r="C1" s="4"/>
      <c r="D1" s="4"/>
      <c r="E1" s="4"/>
      <c r="F1" s="4"/>
      <c r="G1" s="4"/>
      <c r="H1" s="4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x14ac:dyDescent="0.25">
      <c r="A2" s="149" t="s">
        <v>25</v>
      </c>
      <c r="B2" s="149"/>
      <c r="C2" s="149"/>
      <c r="D2" s="149"/>
      <c r="E2" s="149"/>
      <c r="F2" s="149"/>
      <c r="G2" s="149"/>
      <c r="H2" s="149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24.75" customHeight="1" spans="1:25" x14ac:dyDescent="0.25">
      <c r="A3" s="3"/>
      <c r="B3" s="3"/>
      <c r="C3" s="150" t="s">
        <v>26</v>
      </c>
      <c r="D3" s="6"/>
      <c r="E3" s="6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3" customHeight="1" spans="1:25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151"/>
      <c r="B5" s="151"/>
      <c r="C5" s="151"/>
      <c r="D5" s="151"/>
      <c r="E5" s="151"/>
      <c r="F5" s="151"/>
      <c r="G5" s="151"/>
      <c r="H5" s="151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24" customHeight="1" spans="1:25" s="9" customFormat="1" x14ac:dyDescent="0.25">
      <c r="A6" s="14" t="s">
        <v>27</v>
      </c>
      <c r="B6" s="152"/>
      <c r="C6" s="153" t="s">
        <v>4</v>
      </c>
      <c r="D6" s="14"/>
      <c r="E6" s="14"/>
      <c r="F6" s="9"/>
      <c r="G6" s="154" t="s">
        <v>5</v>
      </c>
      <c r="H6" s="155">
        <f>'Final Work'!선적종료일</f>
        <v>46222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</row>
    <row r="7" ht="11.25" customHeight="1" spans="1:25" s="9" customFormat="1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</row>
    <row r="8" ht="24" customHeight="1" spans="1:25" s="9" customFormat="1" x14ac:dyDescent="0.25">
      <c r="A8" s="14" t="s">
        <v>28</v>
      </c>
      <c r="B8" s="156"/>
      <c r="C8" s="153" t="s">
        <v>29</v>
      </c>
      <c r="D8" s="14"/>
      <c r="E8" s="14"/>
      <c r="F8" s="153"/>
      <c r="G8" s="157" t="s">
        <v>30</v>
      </c>
      <c r="H8" s="18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</row>
    <row r="9" ht="11.25" customHeight="1" spans="1:25" s="9" customForma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</row>
    <row r="10" ht="15" customHeight="1" spans="1:25" s="9" customFormat="1" x14ac:dyDescent="0.25">
      <c r="A10" s="9"/>
      <c r="B10" s="9"/>
      <c r="C10" s="9"/>
      <c r="D10" s="9"/>
      <c r="E10" s="9"/>
      <c r="F10" s="9"/>
      <c r="G10" s="9"/>
      <c r="H10" s="153" t="s">
        <v>31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</row>
    <row r="11" ht="3.75" customHeight="1" spans="1:25" s="9" customFormat="1" x14ac:dyDescent="0.2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</row>
    <row r="12" ht="24.75" customHeight="1" spans="1:25" s="9" customFormat="1" x14ac:dyDescent="0.25">
      <c r="A12" s="158" t="s">
        <v>32</v>
      </c>
      <c r="B12" s="159"/>
      <c r="C12" s="160" t="s">
        <v>33</v>
      </c>
      <c r="D12" s="160"/>
      <c r="E12" s="160"/>
      <c r="F12" s="160"/>
      <c r="G12" s="160"/>
      <c r="H12" s="15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</row>
    <row r="13" ht="18.95" customHeight="1" spans="1:25" s="9" customFormat="1" x14ac:dyDescent="0.25">
      <c r="A13" s="161"/>
      <c r="B13" s="162"/>
      <c r="C13" s="163"/>
      <c r="D13" s="163"/>
      <c r="E13" s="163"/>
      <c r="F13" s="163"/>
      <c r="G13" s="163"/>
      <c r="H13" s="163"/>
      <c r="I13" s="164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 ht="18.95" customHeight="1" spans="1:25" x14ac:dyDescent="0.25">
      <c r="A14" s="165"/>
      <c r="B14" s="166"/>
      <c r="C14" s="167"/>
      <c r="D14" s="167"/>
      <c r="E14" s="167"/>
      <c r="F14" s="167"/>
      <c r="G14" s="167"/>
      <c r="H14" s="167"/>
      <c r="I14" s="16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8.95" customHeight="1" spans="1:25" x14ac:dyDescent="0.25">
      <c r="A15" s="165"/>
      <c r="B15" s="168"/>
      <c r="C15" s="169"/>
      <c r="D15" s="170"/>
      <c r="E15" s="170"/>
      <c r="F15" s="170"/>
      <c r="G15" s="170"/>
      <c r="H15" s="171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8.95" customHeight="1" spans="1:25" x14ac:dyDescent="0.25">
      <c r="A16" s="165"/>
      <c r="B16" s="172"/>
      <c r="C16" s="169"/>
      <c r="D16" s="170"/>
      <c r="E16" s="170"/>
      <c r="F16" s="170"/>
      <c r="G16" s="170"/>
      <c r="H16" s="171"/>
      <c r="I16" s="16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8.95" customHeight="1" spans="1:25" x14ac:dyDescent="0.25">
      <c r="A17" s="173"/>
      <c r="B17" s="174"/>
      <c r="C17" s="175"/>
      <c r="D17" s="176"/>
      <c r="E17" s="176"/>
      <c r="F17" s="176"/>
      <c r="G17" s="176"/>
      <c r="H17" s="177"/>
      <c r="I17" s="16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8.95" customHeight="1" spans="1:25" x14ac:dyDescent="0.25">
      <c r="A18" s="178"/>
      <c r="B18" s="172"/>
      <c r="C18" s="179"/>
      <c r="D18" s="180"/>
      <c r="E18" s="180"/>
      <c r="F18" s="180"/>
      <c r="G18" s="180"/>
      <c r="H18" s="181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8.95" customHeight="1" spans="1:25" x14ac:dyDescent="0.25">
      <c r="A19" s="182"/>
      <c r="B19" s="172"/>
      <c r="C19" s="183"/>
      <c r="D19" s="183"/>
      <c r="E19" s="183"/>
      <c r="F19" s="183"/>
      <c r="G19" s="183"/>
      <c r="H19" s="183"/>
      <c r="I19" s="16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8.95" customHeight="1" spans="1:25" x14ac:dyDescent="0.25">
      <c r="A20" s="165"/>
      <c r="B20" s="172"/>
      <c r="C20" s="183"/>
      <c r="D20" s="183"/>
      <c r="E20" s="183"/>
      <c r="F20" s="183"/>
      <c r="G20" s="183"/>
      <c r="H20" s="183"/>
      <c r="I20" s="16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8.95" customHeight="1" spans="1:25" x14ac:dyDescent="0.25">
      <c r="A21" s="184"/>
      <c r="B21" s="172"/>
      <c r="C21" s="169"/>
      <c r="D21" s="170"/>
      <c r="E21" s="170"/>
      <c r="F21" s="170"/>
      <c r="G21" s="170"/>
      <c r="H21" s="171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8.95" customHeight="1" spans="1:25" x14ac:dyDescent="0.25">
      <c r="A22" s="185"/>
      <c r="B22" s="174"/>
      <c r="C22" s="175"/>
      <c r="D22" s="176"/>
      <c r="E22" s="176"/>
      <c r="F22" s="176"/>
      <c r="G22" s="176"/>
      <c r="H22" s="177"/>
      <c r="I22" s="16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8.95" customHeight="1" spans="1:25" x14ac:dyDescent="0.25">
      <c r="A23" s="186"/>
      <c r="B23" s="172"/>
      <c r="C23" s="179"/>
      <c r="D23" s="180"/>
      <c r="E23" s="180"/>
      <c r="F23" s="180"/>
      <c r="G23" s="180"/>
      <c r="H23" s="181"/>
      <c r="I23" s="16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8.95" customHeight="1" spans="1:25" x14ac:dyDescent="0.25">
      <c r="A24" s="187"/>
      <c r="B24" s="168"/>
      <c r="C24" s="188"/>
      <c r="D24" s="188"/>
      <c r="E24" s="188"/>
      <c r="F24" s="188"/>
      <c r="G24" s="188"/>
      <c r="H24" s="188"/>
      <c r="I24" s="3"/>
      <c r="J24" s="3"/>
      <c r="K24" s="3"/>
      <c r="L24" s="3"/>
      <c r="M24" s="18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8.95" customHeight="1" spans="1:25" x14ac:dyDescent="0.25">
      <c r="A25" s="190"/>
      <c r="B25" s="172"/>
      <c r="C25" s="169"/>
      <c r="D25" s="170"/>
      <c r="E25" s="170"/>
      <c r="F25" s="170"/>
      <c r="G25" s="170"/>
      <c r="H25" s="171"/>
      <c r="I25" s="16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8.95" customHeight="1" spans="1:25" x14ac:dyDescent="0.25">
      <c r="A26" s="165"/>
      <c r="B26" s="172"/>
      <c r="C26" s="179"/>
      <c r="D26" s="180"/>
      <c r="E26" s="180"/>
      <c r="F26" s="180"/>
      <c r="G26" s="180"/>
      <c r="H26" s="181"/>
      <c r="I26" s="164"/>
      <c r="J26" s="3"/>
      <c r="K26" s="3"/>
      <c r="L26" s="3"/>
      <c r="M26" s="189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.95" customHeight="1" spans="1:25" x14ac:dyDescent="0.25">
      <c r="A27" s="173"/>
      <c r="B27" s="191"/>
      <c r="C27" s="192"/>
      <c r="D27" s="193"/>
      <c r="E27" s="193"/>
      <c r="F27" s="193"/>
      <c r="G27" s="193"/>
      <c r="H27" s="194"/>
      <c r="I27" s="16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.95" customHeight="1" spans="1:25" x14ac:dyDescent="0.25">
      <c r="A28" s="29"/>
      <c r="B28" s="56"/>
      <c r="C28" s="183"/>
      <c r="D28" s="183"/>
      <c r="E28" s="183"/>
      <c r="F28" s="183"/>
      <c r="G28" s="183"/>
      <c r="H28" s="183"/>
      <c r="I28" s="16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.95" customHeight="1" spans="1:25" x14ac:dyDescent="0.25">
      <c r="A29" s="165"/>
      <c r="B29" s="172"/>
      <c r="C29" s="183"/>
      <c r="D29" s="183"/>
      <c r="E29" s="183"/>
      <c r="F29" s="183"/>
      <c r="G29" s="183"/>
      <c r="H29" s="183"/>
      <c r="I29" s="16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.95" customHeight="1" spans="1:25" x14ac:dyDescent="0.25">
      <c r="A30" s="165"/>
      <c r="B30" s="168"/>
      <c r="C30" s="169"/>
      <c r="D30" s="170"/>
      <c r="E30" s="170"/>
      <c r="F30" s="170"/>
      <c r="G30" s="170"/>
      <c r="H30" s="171"/>
      <c r="I30" s="16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.95" customHeight="1" spans="1:25" x14ac:dyDescent="0.25">
      <c r="A31" s="165"/>
      <c r="B31" s="168"/>
      <c r="C31" s="188"/>
      <c r="D31" s="188"/>
      <c r="E31" s="188"/>
      <c r="F31" s="188"/>
      <c r="G31" s="188"/>
      <c r="H31" s="188"/>
      <c r="I31" s="164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.95" customHeight="1" spans="1:25" x14ac:dyDescent="0.25">
      <c r="A32" s="190"/>
      <c r="B32" s="191"/>
      <c r="C32" s="195"/>
      <c r="D32" s="195"/>
      <c r="E32" s="195"/>
      <c r="F32" s="195"/>
      <c r="G32" s="195"/>
      <c r="H32" s="195"/>
      <c r="I32" s="164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.95" customHeight="1" spans="1:25" x14ac:dyDescent="0.25">
      <c r="A33" s="29"/>
      <c r="B33" s="56"/>
      <c r="C33" s="169"/>
      <c r="D33" s="170"/>
      <c r="E33" s="170"/>
      <c r="F33" s="170"/>
      <c r="G33" s="170"/>
      <c r="H33" s="171"/>
      <c r="I33" s="164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8.95" customHeight="1" spans="1:25" x14ac:dyDescent="0.25">
      <c r="A34" s="165"/>
      <c r="B34" s="172"/>
      <c r="C34" s="183"/>
      <c r="D34" s="183"/>
      <c r="E34" s="183"/>
      <c r="F34" s="183"/>
      <c r="G34" s="183"/>
      <c r="H34" s="183"/>
      <c r="I34" s="164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8.95" customHeight="1" spans="1:25" x14ac:dyDescent="0.25">
      <c r="A35" s="196"/>
      <c r="B35" s="168"/>
      <c r="C35" s="188"/>
      <c r="D35" s="188"/>
      <c r="E35" s="188"/>
      <c r="F35" s="188"/>
      <c r="G35" s="188"/>
      <c r="H35" s="188"/>
      <c r="I35" s="164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8.95" customHeight="1" spans="1:25" x14ac:dyDescent="0.25">
      <c r="A36" s="197"/>
      <c r="B36" s="56"/>
      <c r="C36" s="179"/>
      <c r="D36" s="180"/>
      <c r="E36" s="180"/>
      <c r="F36" s="180"/>
      <c r="G36" s="180"/>
      <c r="H36" s="181"/>
      <c r="I36" s="164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8.95" customHeight="1" spans="1:25" x14ac:dyDescent="0.25">
      <c r="A37" s="196"/>
      <c r="B37" s="168"/>
      <c r="C37" s="167"/>
      <c r="D37" s="167"/>
      <c r="E37" s="167"/>
      <c r="F37" s="167"/>
      <c r="G37" s="167"/>
      <c r="H37" s="167"/>
      <c r="I37" s="164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20.1" customHeight="1" hidden="1" spans="1:25" x14ac:dyDescent="0.25">
      <c r="A38" s="198"/>
      <c r="B38" s="56"/>
      <c r="C38" s="183"/>
      <c r="D38" s="183"/>
      <c r="E38" s="183"/>
      <c r="F38" s="183"/>
      <c r="G38" s="183"/>
      <c r="H38" s="183"/>
      <c r="I38" s="16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20.1" customHeight="1" hidden="1" spans="1:25" x14ac:dyDescent="0.25">
      <c r="A39" s="197"/>
      <c r="B39" s="56"/>
      <c r="C39" s="183"/>
      <c r="D39" s="183"/>
      <c r="E39" s="183"/>
      <c r="F39" s="183"/>
      <c r="G39" s="183"/>
      <c r="H39" s="183"/>
      <c r="I39" s="16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20.1" customHeight="1" hidden="1" spans="1:25" x14ac:dyDescent="0.25">
      <c r="A40" s="197"/>
      <c r="B40" s="56"/>
      <c r="C40" s="183"/>
      <c r="D40" s="183"/>
      <c r="E40" s="183"/>
      <c r="F40" s="183"/>
      <c r="G40" s="183"/>
      <c r="H40" s="18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8" customHeight="1" hidden="1" spans="1:25" x14ac:dyDescent="0.25">
      <c r="A41" s="165"/>
      <c r="B41" s="56"/>
      <c r="C41" s="183"/>
      <c r="D41" s="183"/>
      <c r="E41" s="183"/>
      <c r="F41" s="183"/>
      <c r="G41" s="183"/>
      <c r="H41" s="183"/>
      <c r="I41" s="16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8" customHeight="1" hidden="1" spans="1:25" x14ac:dyDescent="0.25">
      <c r="A42" s="165"/>
      <c r="B42" s="56"/>
      <c r="C42" s="183"/>
      <c r="D42" s="183"/>
      <c r="E42" s="183"/>
      <c r="F42" s="183"/>
      <c r="G42" s="183"/>
      <c r="H42" s="183"/>
      <c r="I42" s="164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21.95" customHeight="1" spans="1:25" x14ac:dyDescent="0.25">
      <c r="A43" s="3"/>
      <c r="B43" s="122"/>
      <c r="C43" s="40"/>
      <c r="D43" s="40"/>
      <c r="E43" s="40"/>
      <c r="F43" s="40"/>
      <c r="G43" s="40"/>
      <c r="H43" s="40"/>
      <c r="I43" s="164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21.95" customHeight="1" spans="1:25" x14ac:dyDescent="0.25">
      <c r="A44" s="3"/>
      <c r="B44" s="122"/>
      <c r="C44" s="40"/>
      <c r="D44" s="40"/>
      <c r="E44" s="40"/>
      <c r="F44" s="40"/>
      <c r="G44" s="40"/>
      <c r="H44" s="40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21.95" customHeight="1" spans="1:25" x14ac:dyDescent="0.25">
      <c r="A45" s="199"/>
      <c r="B45" s="199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x14ac:dyDescent="0.25">
      <c r="A46" s="200" t="s">
        <v>22</v>
      </c>
      <c r="B46" s="201"/>
      <c r="C46" s="9"/>
      <c r="D46" s="9"/>
      <c r="E46" s="9"/>
      <c r="F46" s="3"/>
      <c r="G46" s="189"/>
      <c r="H46" s="1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</sheetData>
  <mergeCells count="39">
    <mergeCell ref="A1:H1"/>
    <mergeCell ref="A2:H2"/>
    <mergeCell ref="C3:F3"/>
    <mergeCell ref="D6:E6"/>
    <mergeCell ref="D8:E8"/>
    <mergeCell ref="A12:B12"/>
    <mergeCell ref="C12:H12"/>
    <mergeCell ref="C13:H13"/>
    <mergeCell ref="C14:H14"/>
    <mergeCell ref="C15:H15"/>
    <mergeCell ref="C16:H16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A46:B46"/>
    <mergeCell ref="G46:H46"/>
  </mergeCells>
  <printOptions horizontalCentered="1" verticalCentered="1"/>
  <pageMargins left="0.3937007874015748" right="0.3937007874015748" top="0.3937007874015748" bottom="0.3937007874015748" header="0.5118110236220472" footer="0.35433070866141736"/>
  <pageSetup paperSize="9"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4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69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70</v>
      </c>
      <c r="B6" s="204" t="s">
        <v>3</v>
      </c>
      <c r="C6" s="3"/>
      <c r="D6" s="3"/>
      <c r="E6" s="3"/>
      <c r="F6" s="3"/>
      <c r="G6" s="3" t="s">
        <v>36</v>
      </c>
      <c r="H6" s="189"/>
      <c r="I6" s="189"/>
      <c r="J6" s="3"/>
      <c r="K6" s="3" t="s">
        <v>37</v>
      </c>
      <c r="L6" s="205"/>
      <c r="M6" s="189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4"/>
      <c r="I7" s="16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4" t="s">
        <v>71</v>
      </c>
      <c r="B8" s="3" t="s">
        <v>25</v>
      </c>
      <c r="C8" s="274"/>
      <c r="D8" s="274"/>
      <c r="E8" s="3"/>
      <c r="F8" s="3"/>
      <c r="G8" s="3" t="s">
        <v>39</v>
      </c>
      <c r="H8" s="189"/>
      <c r="I8" s="189"/>
      <c r="J8" s="3"/>
      <c r="K8" s="204" t="s">
        <v>40</v>
      </c>
      <c r="L8" s="189"/>
      <c r="M8" s="18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199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4" customHeight="1" spans="1:25" x14ac:dyDescent="0.25">
      <c r="A10" s="275" t="s">
        <v>41</v>
      </c>
      <c r="B10" s="207" t="s">
        <v>42</v>
      </c>
      <c r="C10" s="208"/>
      <c r="D10" s="275" t="s">
        <v>43</v>
      </c>
      <c r="E10" s="275"/>
      <c r="F10" s="275"/>
      <c r="G10" s="209" t="s">
        <v>44</v>
      </c>
      <c r="H10" s="264" t="s">
        <v>45</v>
      </c>
      <c r="I10" s="265"/>
      <c r="J10" s="209" t="s">
        <v>72</v>
      </c>
      <c r="K10" s="275" t="s">
        <v>47</v>
      </c>
      <c r="L10" s="275" t="s">
        <v>48</v>
      </c>
      <c r="M10" s="275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4" customHeight="1" spans="1:25" x14ac:dyDescent="0.25">
      <c r="A11" s="210"/>
      <c r="B11" s="211"/>
      <c r="C11" s="212"/>
      <c r="D11" s="210"/>
      <c r="E11" s="210"/>
      <c r="F11" s="210"/>
      <c r="G11" s="213" t="s">
        <v>50</v>
      </c>
      <c r="H11" s="266"/>
      <c r="I11" s="268"/>
      <c r="J11" s="213"/>
      <c r="K11" s="210"/>
      <c r="L11" s="210"/>
      <c r="M11" s="21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hidden="1" spans="1:25" x14ac:dyDescent="0.25">
      <c r="A12" s="276"/>
      <c r="B12" s="277"/>
      <c r="C12" s="278"/>
      <c r="D12" s="215"/>
      <c r="E12" s="279"/>
      <c r="F12" s="280"/>
      <c r="G12" s="214"/>
      <c r="H12" s="281"/>
      <c r="I12" s="282"/>
      <c r="J12" s="221"/>
      <c r="K12" s="214"/>
      <c r="L12" s="214"/>
      <c r="M12" s="276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7.95" customHeight="1" spans="1:25" x14ac:dyDescent="0.25">
      <c r="A13" s="53"/>
      <c r="B13" s="53"/>
      <c r="C13" s="53"/>
      <c r="D13" s="187"/>
      <c r="E13" s="283"/>
      <c r="F13" s="284"/>
      <c r="G13" s="53"/>
      <c r="H13" s="255"/>
      <c r="I13" s="90"/>
      <c r="J13" s="255"/>
      <c r="K13" s="53"/>
      <c r="L13" s="53"/>
      <c r="M13" s="25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7.95" customHeight="1" spans="1:25" x14ac:dyDescent="0.25">
      <c r="A14" s="53"/>
      <c r="B14" s="53"/>
      <c r="C14" s="53"/>
      <c r="D14" s="223"/>
      <c r="E14" s="285"/>
      <c r="F14" s="286"/>
      <c r="G14" s="226"/>
      <c r="H14" s="287"/>
      <c r="I14" s="288"/>
      <c r="J14" s="227"/>
      <c r="K14" s="226"/>
      <c r="L14" s="226"/>
      <c r="M14" s="256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7.95" customHeight="1" spans="1:25" x14ac:dyDescent="0.25">
      <c r="A15" s="231"/>
      <c r="B15" s="22"/>
      <c r="C15" s="22"/>
      <c r="D15" s="234" t="s">
        <v>51</v>
      </c>
      <c r="E15" s="235"/>
      <c r="F15" s="236"/>
      <c r="G15" s="237" t="s">
        <v>52</v>
      </c>
      <c r="H15" s="240">
        <f>SUM(H10:I14)</f>
        <v>216</v>
      </c>
      <c r="I15" s="240"/>
      <c r="J15" s="240">
        <f>SUM(J10:J14)</f>
        <v>216</v>
      </c>
      <c r="K15" s="237" t="s">
        <v>53</v>
      </c>
      <c r="L15" s="237" t="s">
        <v>53</v>
      </c>
      <c r="M15" s="241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95" customHeight="1" spans="1:25" x14ac:dyDescent="0.25">
      <c r="A16" s="242"/>
      <c r="B16" s="226"/>
      <c r="C16" s="226"/>
      <c r="D16" s="243"/>
      <c r="E16" s="244"/>
      <c r="F16" s="245"/>
      <c r="G16" s="246"/>
      <c r="H16" s="249"/>
      <c r="I16" s="249"/>
      <c r="J16" s="249"/>
      <c r="K16" s="246"/>
      <c r="L16" s="246"/>
      <c r="M16" s="22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7.95" customHeight="1" spans="1:25" x14ac:dyDescent="0.25">
      <c r="A17" s="242"/>
      <c r="B17" s="226"/>
      <c r="C17" s="226"/>
      <c r="D17" s="243"/>
      <c r="E17" s="244"/>
      <c r="F17" s="245"/>
      <c r="G17" s="246"/>
      <c r="H17" s="249"/>
      <c r="I17" s="249"/>
      <c r="J17" s="249"/>
      <c r="K17" s="246"/>
      <c r="L17" s="246"/>
      <c r="M17" s="22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4" customHeight="1" hidden="1" spans="1:25" x14ac:dyDescent="0.25">
      <c r="A18" s="53"/>
      <c r="B18" s="53"/>
      <c r="C18" s="53"/>
      <c r="D18" s="223"/>
      <c r="E18" s="285"/>
      <c r="F18" s="286"/>
      <c r="G18" s="226"/>
      <c r="H18" s="287"/>
      <c r="I18" s="289"/>
      <c r="J18" s="227"/>
      <c r="K18" s="226"/>
      <c r="L18" s="226"/>
      <c r="M18" s="256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hidden="1" spans="1:25" x14ac:dyDescent="0.25">
      <c r="A19" s="53"/>
      <c r="B19" s="53"/>
      <c r="C19" s="53"/>
      <c r="D19" s="223"/>
      <c r="E19" s="285"/>
      <c r="F19" s="286"/>
      <c r="G19" s="226"/>
      <c r="H19" s="287"/>
      <c r="I19" s="289"/>
      <c r="J19" s="227"/>
      <c r="K19" s="226"/>
      <c r="L19" s="226"/>
      <c r="M19" s="25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4" customHeight="1" hidden="1" spans="1:25" x14ac:dyDescent="0.25">
      <c r="A20" s="53"/>
      <c r="B20" s="53"/>
      <c r="C20" s="53"/>
      <c r="D20" s="223"/>
      <c r="E20" s="285"/>
      <c r="F20" s="286"/>
      <c r="G20" s="226"/>
      <c r="H20" s="287"/>
      <c r="I20" s="289"/>
      <c r="J20" s="227"/>
      <c r="K20" s="226"/>
      <c r="L20" s="226"/>
      <c r="M20" s="25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4" customHeight="1" hidden="1" spans="1:25" x14ac:dyDescent="0.25">
      <c r="A21" s="53"/>
      <c r="B21" s="53"/>
      <c r="C21" s="53"/>
      <c r="D21" s="223"/>
      <c r="E21" s="285"/>
      <c r="F21" s="286"/>
      <c r="G21" s="226"/>
      <c r="H21" s="287"/>
      <c r="I21" s="289"/>
      <c r="J21" s="227"/>
      <c r="K21" s="226"/>
      <c r="L21" s="226"/>
      <c r="M21" s="25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4" customHeight="1" hidden="1" spans="1:25" x14ac:dyDescent="0.25">
      <c r="A22" s="53"/>
      <c r="B22" s="53"/>
      <c r="C22" s="53"/>
      <c r="D22" s="223"/>
      <c r="E22" s="285"/>
      <c r="F22" s="286"/>
      <c r="G22" s="226"/>
      <c r="H22" s="287"/>
      <c r="I22" s="289"/>
      <c r="J22" s="227"/>
      <c r="K22" s="226"/>
      <c r="L22" s="226"/>
      <c r="M22" s="25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4" customHeight="1" hidden="1" spans="1:25" x14ac:dyDescent="0.25">
      <c r="A23" s="53"/>
      <c r="B23" s="53"/>
      <c r="C23" s="53"/>
      <c r="D23" s="223"/>
      <c r="E23" s="285"/>
      <c r="F23" s="286"/>
      <c r="G23" s="226"/>
      <c r="H23" s="287"/>
      <c r="I23" s="289"/>
      <c r="J23" s="227"/>
      <c r="K23" s="226"/>
      <c r="L23" s="226"/>
      <c r="M23" s="25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4" customHeight="1" hidden="1" spans="1:25" x14ac:dyDescent="0.25">
      <c r="A24" s="53"/>
      <c r="B24" s="53"/>
      <c r="C24" s="53"/>
      <c r="D24" s="223"/>
      <c r="E24" s="285"/>
      <c r="F24" s="286"/>
      <c r="G24" s="226"/>
      <c r="H24" s="287"/>
      <c r="I24" s="289"/>
      <c r="J24" s="227"/>
      <c r="K24" s="226"/>
      <c r="L24" s="226"/>
      <c r="M24" s="256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4" customHeight="1" hidden="1" spans="1:25" x14ac:dyDescent="0.25">
      <c r="A25" s="53"/>
      <c r="B25" s="53"/>
      <c r="C25" s="53"/>
      <c r="D25" s="223"/>
      <c r="E25" s="285"/>
      <c r="F25" s="286"/>
      <c r="G25" s="226"/>
      <c r="H25" s="287"/>
      <c r="I25" s="289"/>
      <c r="J25" s="227"/>
      <c r="K25" s="226"/>
      <c r="L25" s="226"/>
      <c r="M25" s="25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4" customHeight="1" hidden="1" spans="1:25" x14ac:dyDescent="0.25">
      <c r="A26" s="53"/>
      <c r="B26" s="53"/>
      <c r="C26" s="53"/>
      <c r="D26" s="223"/>
      <c r="E26" s="285"/>
      <c r="F26" s="286"/>
      <c r="G26" s="226"/>
      <c r="H26" s="287"/>
      <c r="I26" s="289"/>
      <c r="J26" s="227"/>
      <c r="K26" s="226"/>
      <c r="L26" s="226"/>
      <c r="M26" s="25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57" t="s">
        <v>54</v>
      </c>
      <c r="B27" s="258"/>
      <c r="C27" s="258"/>
      <c r="D27" s="258"/>
      <c r="E27" s="258"/>
      <c r="F27" s="258"/>
      <c r="G27" s="258"/>
      <c r="H27" s="258"/>
      <c r="I27" s="258"/>
      <c r="J27" s="258"/>
      <c r="K27" s="258"/>
      <c r="L27" s="258"/>
      <c r="M27" s="25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8" customHeight="1" spans="1:25" x14ac:dyDescent="0.25">
      <c r="A28" s="250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290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8" customHeight="1" spans="1:25" x14ac:dyDescent="0.25">
      <c r="A29" s="262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8" customHeight="1" spans="1:25" x14ac:dyDescent="0.25">
      <c r="A30" s="26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290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8" customHeight="1" spans="1:25" x14ac:dyDescent="0.25">
      <c r="A31" s="262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8" customHeight="1" spans="1:25" x14ac:dyDescent="0.25">
      <c r="A32" s="26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290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8" customHeight="1" spans="1:25" x14ac:dyDescent="0.25">
      <c r="A33" s="263"/>
      <c r="B33" s="251"/>
      <c r="C33" s="251"/>
      <c r="D33" s="251"/>
      <c r="E33" s="251"/>
      <c r="F33" s="251"/>
      <c r="G33" s="251"/>
      <c r="H33" s="251"/>
      <c r="I33" s="251"/>
      <c r="J33" s="251"/>
      <c r="K33" s="251"/>
      <c r="L33" s="251"/>
      <c r="M33" s="252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91"/>
      <c r="B34" s="292"/>
      <c r="C34" s="292"/>
      <c r="D34" s="292"/>
      <c r="E34" s="292"/>
      <c r="F34" s="292"/>
      <c r="G34" s="292"/>
      <c r="H34" s="292"/>
      <c r="I34" s="292"/>
      <c r="J34" s="292"/>
      <c r="K34" s="292"/>
      <c r="L34" s="292"/>
      <c r="M34" s="29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0.1" customHeight="1" spans="1:25" x14ac:dyDescent="0.25">
      <c r="A35" s="293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0.1" customHeight="1" spans="1:25" x14ac:dyDescent="0.25">
      <c r="A36" s="199"/>
      <c r="B36" s="199"/>
      <c r="C36" s="199"/>
      <c r="D36" s="3"/>
      <c r="E36" s="3"/>
      <c r="F36" s="3"/>
      <c r="G36" s="199"/>
      <c r="H36" s="199"/>
      <c r="I36" s="199"/>
      <c r="J36" s="3"/>
      <c r="K36" s="3"/>
      <c r="L36" s="199"/>
      <c r="M36" s="199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00" t="s">
        <v>22</v>
      </c>
      <c r="B37" s="200"/>
      <c r="C37" s="200"/>
      <c r="D37" s="3"/>
      <c r="E37" s="3"/>
      <c r="F37" s="3"/>
      <c r="G37" s="200" t="s">
        <v>55</v>
      </c>
      <c r="H37" s="200"/>
      <c r="I37" s="200"/>
      <c r="J37" s="3"/>
      <c r="K37" s="3"/>
      <c r="L37" s="200" t="s">
        <v>23</v>
      </c>
      <c r="M37" s="200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</sheetData>
  <mergeCells count="52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5:C15"/>
    <mergeCell ref="D15:F15"/>
    <mergeCell ref="H15:I15"/>
    <mergeCell ref="B16:C16"/>
    <mergeCell ref="D16:F16"/>
    <mergeCell ref="H16:I16"/>
    <mergeCell ref="B17:C17"/>
    <mergeCell ref="D17:F17"/>
    <mergeCell ref="H17:I17"/>
    <mergeCell ref="B18:C18"/>
    <mergeCell ref="H18:I18"/>
    <mergeCell ref="B19:C19"/>
    <mergeCell ref="H19:I19"/>
    <mergeCell ref="B20:C20"/>
    <mergeCell ref="H20:I20"/>
    <mergeCell ref="B21:C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A27:M27"/>
    <mergeCell ref="B28:M28"/>
    <mergeCell ref="B29:M29"/>
    <mergeCell ref="B30:M30"/>
    <mergeCell ref="B31:M31"/>
    <mergeCell ref="B32:M32"/>
    <mergeCell ref="B33:M33"/>
    <mergeCell ref="A37:C37"/>
    <mergeCell ref="G37:I37"/>
    <mergeCell ref="L37:M3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6.75" style="3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6.75" style="3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6.75" style="3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6.75" style="3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6.75" style="3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6.75" style="3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6.75" style="3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6.75" style="3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6.75" style="3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6.75" style="3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6.75" style="3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6.75" style="3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6.75" style="3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6.75" style="3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6.75" style="3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6.75" style="3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6.75" style="3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6.75" style="3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6.75" style="3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6.75" style="3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6.75" style="3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6.75" style="3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6.75" style="3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6.75" style="3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6.75" style="3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6.75" style="3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6.75" style="3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6.75" style="3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6.75" style="3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6.75" style="3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6.75" style="3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6.75" style="3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6.75" style="3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6.75" style="3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6.75" style="3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6.75" style="3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6.75" style="3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6.75" style="3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6.75" style="3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6.75" style="3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6.75" style="3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6.75" style="3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6.75" style="3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6.75" style="3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6.75" style="3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6.75" style="3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6.75" style="3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6.75" style="3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6.75" style="3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6.75" style="3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6.75" style="3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6.75" style="3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6.75" style="3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6.75" style="3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6.75" style="3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6.75" style="3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6.75" style="3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6.75" style="3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6.75" style="3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6.75" style="3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6.75" style="3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6.75" style="3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6.75" style="3" customWidth="1"/>
    <col min="16148" max="16384" width="9" style="3" customWidth="1"/>
  </cols>
  <sheetData>
    <row r="1" ht="27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56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3" t="s">
        <v>57</v>
      </c>
      <c r="B6" s="204" t="s">
        <v>3</v>
      </c>
      <c r="C6" s="3"/>
      <c r="D6" s="3"/>
      <c r="E6" s="3"/>
      <c r="F6" s="3"/>
      <c r="G6" s="3"/>
      <c r="H6" s="189" t="s">
        <v>58</v>
      </c>
      <c r="I6" s="189"/>
      <c r="J6" s="189" t="str">
        <f>'OS-OUT'!H6</f>
        <v>0221W</v>
      </c>
      <c r="K6" s="189"/>
      <c r="L6" s="3"/>
      <c r="M6" s="3"/>
      <c r="N6" s="3"/>
      <c r="O6" s="204" t="s">
        <v>59</v>
      </c>
      <c r="P6" s="205">
        <f>'Final Work'!L4</f>
        <v>46222</v>
      </c>
      <c r="Q6" s="189"/>
      <c r="R6" s="189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04" t="s">
        <v>60</v>
      </c>
      <c r="B8" s="204" t="s">
        <v>25</v>
      </c>
      <c r="C8" s="204"/>
      <c r="D8" s="204"/>
      <c r="E8" s="204"/>
      <c r="F8" s="3"/>
      <c r="G8" s="3"/>
      <c r="H8" s="189" t="s">
        <v>61</v>
      </c>
      <c r="I8" s="189"/>
      <c r="J8" s="189" t="s">
        <v>62</v>
      </c>
      <c r="K8" s="189"/>
      <c r="L8" s="3"/>
      <c r="M8" s="3"/>
      <c r="N8" s="3"/>
      <c r="O8" s="204" t="s">
        <v>73</v>
      </c>
      <c r="P8" s="189">
        <f>'Final Work'!G6</f>
        <v>6</v>
      </c>
      <c r="Q8" s="189"/>
      <c r="R8" s="189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9" t="s">
        <v>11</v>
      </c>
      <c r="B10" s="209" t="s">
        <v>41</v>
      </c>
      <c r="C10" s="264" t="s">
        <v>64</v>
      </c>
      <c r="D10" s="200"/>
      <c r="E10" s="265"/>
      <c r="F10" s="264" t="s">
        <v>65</v>
      </c>
      <c r="G10" s="200"/>
      <c r="H10" s="200"/>
      <c r="I10" s="265"/>
      <c r="J10" s="209" t="s">
        <v>66</v>
      </c>
      <c r="K10" s="209" t="s">
        <v>67</v>
      </c>
      <c r="L10" s="264" t="s">
        <v>74</v>
      </c>
      <c r="M10" s="200"/>
      <c r="N10" s="200"/>
      <c r="O10" s="200"/>
      <c r="P10" s="200"/>
      <c r="Q10" s="200"/>
      <c r="R10" s="265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13"/>
      <c r="B11" s="213"/>
      <c r="C11" s="266"/>
      <c r="D11" s="267"/>
      <c r="E11" s="268"/>
      <c r="F11" s="266"/>
      <c r="G11" s="267"/>
      <c r="H11" s="267"/>
      <c r="I11" s="268"/>
      <c r="J11" s="213" t="s">
        <v>50</v>
      </c>
      <c r="K11" s="213"/>
      <c r="L11" s="266"/>
      <c r="M11" s="267"/>
      <c r="N11" s="267"/>
      <c r="O11" s="267"/>
      <c r="P11" s="267"/>
      <c r="Q11" s="267"/>
      <c r="R11" s="268"/>
      <c r="S11" s="3"/>
      <c r="T11" s="3"/>
      <c r="U11" s="3"/>
      <c r="V11" s="3"/>
      <c r="W11" s="3"/>
      <c r="X11" s="3"/>
      <c r="Y11" s="3"/>
    </row>
    <row r="12" ht="18" customHeight="1" spans="1:25" x14ac:dyDescent="0.25">
      <c r="A12" s="53"/>
      <c r="B12" s="53"/>
      <c r="C12" s="215"/>
      <c r="D12" s="269"/>
      <c r="E12" s="216"/>
      <c r="F12" s="215"/>
      <c r="G12" s="269"/>
      <c r="H12" s="269"/>
      <c r="I12" s="216"/>
      <c r="J12" s="53"/>
      <c r="K12" s="53"/>
      <c r="L12" s="294"/>
      <c r="M12" s="295"/>
      <c r="N12" s="295"/>
      <c r="O12" s="295"/>
      <c r="P12" s="295"/>
      <c r="Q12" s="295"/>
      <c r="R12" s="296"/>
      <c r="S12" s="3"/>
      <c r="T12" s="3"/>
      <c r="U12" s="3"/>
      <c r="V12" s="3"/>
      <c r="W12" s="3"/>
      <c r="X12" s="3"/>
      <c r="Y12" s="3"/>
    </row>
    <row r="13" ht="18" customHeight="1" spans="1:25" x14ac:dyDescent="0.25">
      <c r="A13" s="230"/>
      <c r="B13" s="230"/>
      <c r="C13" s="165"/>
      <c r="D13" s="273"/>
      <c r="E13" s="168"/>
      <c r="F13" s="165"/>
      <c r="G13" s="273"/>
      <c r="H13" s="273"/>
      <c r="I13" s="168"/>
      <c r="J13" s="230"/>
      <c r="K13" s="230"/>
      <c r="L13" s="167"/>
      <c r="M13" s="167"/>
      <c r="N13" s="167"/>
      <c r="O13" s="167"/>
      <c r="P13" s="167"/>
      <c r="Q13" s="167"/>
      <c r="R13" s="167"/>
      <c r="S13" s="3"/>
      <c r="T13" s="3"/>
      <c r="U13" s="3"/>
      <c r="V13" s="3"/>
      <c r="W13" s="3"/>
      <c r="X13" s="3"/>
      <c r="Y13" s="3"/>
    </row>
    <row r="14" ht="18" customHeight="1" spans="1:25" x14ac:dyDescent="0.25">
      <c r="A14" s="230"/>
      <c r="B14" s="230"/>
      <c r="C14" s="165"/>
      <c r="D14" s="273"/>
      <c r="E14" s="168"/>
      <c r="F14" s="165"/>
      <c r="G14" s="273"/>
      <c r="H14" s="273"/>
      <c r="I14" s="168"/>
      <c r="J14" s="230"/>
      <c r="K14" s="230"/>
      <c r="L14" s="167"/>
      <c r="M14" s="167"/>
      <c r="N14" s="167"/>
      <c r="O14" s="167"/>
      <c r="P14" s="167"/>
      <c r="Q14" s="167"/>
      <c r="R14" s="167"/>
      <c r="S14" s="3"/>
      <c r="T14" s="3"/>
      <c r="U14" s="3"/>
      <c r="V14" s="3"/>
      <c r="W14" s="3"/>
      <c r="X14" s="3"/>
      <c r="Y14" s="3"/>
    </row>
    <row r="15" ht="18" customHeight="1" spans="1:25" x14ac:dyDescent="0.25">
      <c r="A15" s="230"/>
      <c r="B15" s="230"/>
      <c r="C15" s="165"/>
      <c r="D15" s="273"/>
      <c r="E15" s="168"/>
      <c r="F15" s="165"/>
      <c r="G15" s="273"/>
      <c r="H15" s="273"/>
      <c r="I15" s="168"/>
      <c r="J15" s="230"/>
      <c r="K15" s="230"/>
      <c r="L15" s="167"/>
      <c r="M15" s="167"/>
      <c r="N15" s="167"/>
      <c r="O15" s="167"/>
      <c r="P15" s="167"/>
      <c r="Q15" s="167"/>
      <c r="R15" s="167"/>
      <c r="S15" s="3"/>
      <c r="T15" s="3"/>
      <c r="U15" s="3"/>
      <c r="V15" s="3"/>
      <c r="W15" s="3"/>
      <c r="X15" s="3"/>
      <c r="Y15" s="3"/>
    </row>
    <row r="16" ht="18" customHeight="1" spans="1:25" x14ac:dyDescent="0.25">
      <c r="A16" s="230"/>
      <c r="B16" s="230"/>
      <c r="C16" s="165"/>
      <c r="D16" s="273"/>
      <c r="E16" s="168"/>
      <c r="F16" s="165"/>
      <c r="G16" s="273"/>
      <c r="H16" s="273"/>
      <c r="I16" s="168"/>
      <c r="J16" s="230"/>
      <c r="K16" s="230"/>
      <c r="L16" s="167"/>
      <c r="M16" s="167"/>
      <c r="N16" s="167"/>
      <c r="O16" s="167"/>
      <c r="P16" s="167"/>
      <c r="Q16" s="167"/>
      <c r="R16" s="167"/>
      <c r="S16" s="3"/>
      <c r="T16" s="3"/>
      <c r="U16" s="3"/>
      <c r="V16" s="3"/>
      <c r="W16" s="3"/>
      <c r="X16" s="3"/>
      <c r="Y16" s="3"/>
    </row>
    <row r="17" ht="18" customHeight="1" spans="1:25" x14ac:dyDescent="0.25">
      <c r="A17" s="230"/>
      <c r="B17" s="230"/>
      <c r="C17" s="165"/>
      <c r="D17" s="273"/>
      <c r="E17" s="168"/>
      <c r="F17" s="165"/>
      <c r="G17" s="273"/>
      <c r="H17" s="273"/>
      <c r="I17" s="168"/>
      <c r="J17" s="230"/>
      <c r="K17" s="230"/>
      <c r="L17" s="167"/>
      <c r="M17" s="167"/>
      <c r="N17" s="167"/>
      <c r="O17" s="167"/>
      <c r="P17" s="167"/>
      <c r="Q17" s="167"/>
      <c r="R17" s="167"/>
      <c r="S17" s="3"/>
      <c r="T17" s="3"/>
      <c r="U17" s="3"/>
      <c r="V17" s="3"/>
      <c r="W17" s="3"/>
      <c r="X17" s="3"/>
      <c r="Y17" s="3"/>
    </row>
    <row r="18" ht="18" customHeight="1" spans="1:25" x14ac:dyDescent="0.25">
      <c r="A18" s="230"/>
      <c r="B18" s="230"/>
      <c r="C18" s="165"/>
      <c r="D18" s="273"/>
      <c r="E18" s="168"/>
      <c r="F18" s="165"/>
      <c r="G18" s="273"/>
      <c r="H18" s="273"/>
      <c r="I18" s="168"/>
      <c r="J18" s="230"/>
      <c r="K18" s="230"/>
      <c r="L18" s="167"/>
      <c r="M18" s="167"/>
      <c r="N18" s="167"/>
      <c r="O18" s="167"/>
      <c r="P18" s="167"/>
      <c r="Q18" s="167"/>
      <c r="R18" s="167"/>
      <c r="S18" s="3"/>
      <c r="T18" s="3"/>
      <c r="U18" s="3"/>
      <c r="V18" s="3"/>
      <c r="W18" s="3"/>
      <c r="X18" s="3"/>
      <c r="Y18" s="3"/>
    </row>
    <row r="19" ht="18" customHeight="1" spans="1:25" x14ac:dyDescent="0.25">
      <c r="A19" s="230"/>
      <c r="B19" s="230"/>
      <c r="C19" s="165"/>
      <c r="D19" s="273"/>
      <c r="E19" s="168"/>
      <c r="F19" s="165"/>
      <c r="G19" s="273"/>
      <c r="H19" s="273"/>
      <c r="I19" s="168"/>
      <c r="J19" s="230"/>
      <c r="K19" s="230"/>
      <c r="L19" s="167"/>
      <c r="M19" s="167"/>
      <c r="N19" s="167"/>
      <c r="O19" s="167"/>
      <c r="P19" s="167"/>
      <c r="Q19" s="167"/>
      <c r="R19" s="167"/>
      <c r="S19" s="3"/>
      <c r="T19" s="3"/>
      <c r="U19" s="3"/>
      <c r="V19" s="3"/>
      <c r="W19" s="3"/>
      <c r="X19" s="3"/>
      <c r="Y19" s="3"/>
    </row>
    <row r="20" ht="18" customHeight="1" spans="1:25" x14ac:dyDescent="0.25">
      <c r="A20" s="230"/>
      <c r="B20" s="230"/>
      <c r="C20" s="165"/>
      <c r="D20" s="273"/>
      <c r="E20" s="168"/>
      <c r="F20" s="165"/>
      <c r="G20" s="273"/>
      <c r="H20" s="273"/>
      <c r="I20" s="168"/>
      <c r="J20" s="230"/>
      <c r="K20" s="230"/>
      <c r="L20" s="167"/>
      <c r="M20" s="167"/>
      <c r="N20" s="167"/>
      <c r="O20" s="167"/>
      <c r="P20" s="167"/>
      <c r="Q20" s="167"/>
      <c r="R20" s="167"/>
      <c r="S20" s="3"/>
      <c r="T20" s="3"/>
      <c r="U20" s="3"/>
      <c r="V20" s="3"/>
      <c r="W20" s="3"/>
      <c r="X20" s="3"/>
      <c r="Y20" s="3"/>
    </row>
    <row r="21" ht="18" customHeight="1" spans="1:25" x14ac:dyDescent="0.25">
      <c r="A21" s="230"/>
      <c r="B21" s="230"/>
      <c r="C21" s="165"/>
      <c r="D21" s="273"/>
      <c r="E21" s="168"/>
      <c r="F21" s="165"/>
      <c r="G21" s="273"/>
      <c r="H21" s="273"/>
      <c r="I21" s="168"/>
      <c r="J21" s="230"/>
      <c r="K21" s="230"/>
      <c r="L21" s="167"/>
      <c r="M21" s="167"/>
      <c r="N21" s="167"/>
      <c r="O21" s="167"/>
      <c r="P21" s="167"/>
      <c r="Q21" s="167"/>
      <c r="R21" s="167"/>
      <c r="S21" s="3"/>
      <c r="T21" s="3"/>
      <c r="U21" s="3"/>
      <c r="V21" s="3"/>
      <c r="W21" s="3"/>
      <c r="X21" s="3"/>
      <c r="Y21" s="3"/>
    </row>
    <row r="22" ht="18" customHeight="1" spans="1:25" x14ac:dyDescent="0.25">
      <c r="A22" s="230"/>
      <c r="B22" s="230"/>
      <c r="C22" s="165"/>
      <c r="D22" s="273"/>
      <c r="E22" s="168"/>
      <c r="F22" s="165"/>
      <c r="G22" s="273"/>
      <c r="H22" s="273"/>
      <c r="I22" s="168"/>
      <c r="J22" s="230"/>
      <c r="K22" s="230"/>
      <c r="L22" s="167"/>
      <c r="M22" s="167"/>
      <c r="N22" s="167"/>
      <c r="O22" s="167"/>
      <c r="P22" s="167"/>
      <c r="Q22" s="167"/>
      <c r="R22" s="167"/>
      <c r="S22" s="3"/>
      <c r="T22" s="3"/>
      <c r="U22" s="3"/>
      <c r="V22" s="3"/>
      <c r="W22" s="3"/>
      <c r="X22" s="3"/>
      <c r="Y22" s="3"/>
    </row>
    <row r="23" ht="18" customHeight="1" spans="1:25" x14ac:dyDescent="0.25">
      <c r="A23" s="230"/>
      <c r="B23" s="230"/>
      <c r="C23" s="165"/>
      <c r="D23" s="273"/>
      <c r="E23" s="168"/>
      <c r="F23" s="165"/>
      <c r="G23" s="273"/>
      <c r="H23" s="273"/>
      <c r="I23" s="168"/>
      <c r="J23" s="230"/>
      <c r="K23" s="230"/>
      <c r="L23" s="167"/>
      <c r="M23" s="167"/>
      <c r="N23" s="167"/>
      <c r="O23" s="167"/>
      <c r="P23" s="167"/>
      <c r="Q23" s="167"/>
      <c r="R23" s="167"/>
      <c r="S23" s="3"/>
      <c r="T23" s="3"/>
      <c r="U23" s="3"/>
      <c r="V23" s="3"/>
      <c r="W23" s="3"/>
      <c r="X23" s="3"/>
      <c r="Y23" s="3"/>
    </row>
    <row r="24" ht="18" customHeight="1" spans="1:25" x14ac:dyDescent="0.25">
      <c r="A24" s="230"/>
      <c r="B24" s="230"/>
      <c r="C24" s="165"/>
      <c r="D24" s="273"/>
      <c r="E24" s="168"/>
      <c r="F24" s="165"/>
      <c r="G24" s="273"/>
      <c r="H24" s="273"/>
      <c r="I24" s="168"/>
      <c r="J24" s="230"/>
      <c r="K24" s="230"/>
      <c r="L24" s="167"/>
      <c r="M24" s="167"/>
      <c r="N24" s="167"/>
      <c r="O24" s="167"/>
      <c r="P24" s="167"/>
      <c r="Q24" s="167"/>
      <c r="R24" s="167"/>
      <c r="S24" s="3"/>
      <c r="T24" s="3"/>
      <c r="U24" s="3"/>
      <c r="V24" s="3"/>
      <c r="W24" s="3"/>
      <c r="X24" s="3"/>
      <c r="Y24" s="3"/>
    </row>
    <row r="25" ht="18" customHeight="1" spans="1:25" x14ac:dyDescent="0.25">
      <c r="A25" s="230"/>
      <c r="B25" s="230"/>
      <c r="C25" s="165"/>
      <c r="D25" s="273"/>
      <c r="E25" s="168"/>
      <c r="F25" s="165"/>
      <c r="G25" s="273"/>
      <c r="H25" s="273"/>
      <c r="I25" s="168"/>
      <c r="J25" s="230"/>
      <c r="K25" s="230"/>
      <c r="L25" s="167"/>
      <c r="M25" s="167"/>
      <c r="N25" s="167"/>
      <c r="O25" s="167"/>
      <c r="P25" s="167"/>
      <c r="Q25" s="167"/>
      <c r="R25" s="167"/>
      <c r="S25" s="3"/>
      <c r="T25" s="3"/>
      <c r="U25" s="3"/>
      <c r="V25" s="3"/>
      <c r="W25" s="3"/>
      <c r="X25" s="3"/>
      <c r="Y25" s="3"/>
    </row>
    <row r="26" ht="18" customHeight="1" spans="1:25" x14ac:dyDescent="0.25">
      <c r="A26" s="230"/>
      <c r="B26" s="230"/>
      <c r="C26" s="165"/>
      <c r="D26" s="273"/>
      <c r="E26" s="168"/>
      <c r="F26" s="165"/>
      <c r="G26" s="273"/>
      <c r="H26" s="273"/>
      <c r="I26" s="168"/>
      <c r="J26" s="230"/>
      <c r="K26" s="230"/>
      <c r="L26" s="167"/>
      <c r="M26" s="167"/>
      <c r="N26" s="167"/>
      <c r="O26" s="167"/>
      <c r="P26" s="167"/>
      <c r="Q26" s="167"/>
      <c r="R26" s="167"/>
      <c r="S26" s="3"/>
      <c r="T26" s="3"/>
      <c r="U26" s="3"/>
      <c r="V26" s="3"/>
      <c r="W26" s="3"/>
      <c r="X26" s="3"/>
      <c r="Y26" s="3"/>
    </row>
    <row r="27" ht="18" customHeight="1" spans="1:25" x14ac:dyDescent="0.25">
      <c r="A27" s="230"/>
      <c r="B27" s="230"/>
      <c r="C27" s="165"/>
      <c r="D27" s="273"/>
      <c r="E27" s="168"/>
      <c r="F27" s="165"/>
      <c r="G27" s="273"/>
      <c r="H27" s="273"/>
      <c r="I27" s="168"/>
      <c r="J27" s="230"/>
      <c r="K27" s="230"/>
      <c r="L27" s="167"/>
      <c r="M27" s="167"/>
      <c r="N27" s="167"/>
      <c r="O27" s="167"/>
      <c r="P27" s="167"/>
      <c r="Q27" s="167"/>
      <c r="R27" s="167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x14ac:dyDescent="0.25">
      <c r="A31" s="199"/>
      <c r="B31" s="199"/>
      <c r="C31" s="199"/>
      <c r="D31" s="199"/>
      <c r="E31" s="3"/>
      <c r="F31" s="3"/>
      <c r="G31" s="3"/>
      <c r="H31" s="3"/>
      <c r="I31" s="199"/>
      <c r="J31" s="199"/>
      <c r="K31" s="199"/>
      <c r="L31" s="3"/>
      <c r="M31" s="3"/>
      <c r="N31" s="3"/>
      <c r="O31" s="199"/>
      <c r="P31" s="199"/>
      <c r="Q31" s="199"/>
      <c r="R31" s="199"/>
      <c r="S31" s="3"/>
      <c r="T31" s="3"/>
      <c r="U31" s="3"/>
      <c r="V31" s="3"/>
      <c r="W31" s="3"/>
      <c r="X31" s="3"/>
      <c r="Y31" s="3"/>
    </row>
    <row r="32" spans="1:25" x14ac:dyDescent="0.25">
      <c r="A32" s="200" t="s">
        <v>22</v>
      </c>
      <c r="B32" s="200"/>
      <c r="C32" s="200"/>
      <c r="D32" s="200"/>
      <c r="E32" s="3"/>
      <c r="F32" s="3"/>
      <c r="G32" s="3"/>
      <c r="H32" s="3"/>
      <c r="I32" s="200" t="s">
        <v>55</v>
      </c>
      <c r="J32" s="200"/>
      <c r="K32" s="200"/>
      <c r="L32" s="3"/>
      <c r="M32" s="3"/>
      <c r="N32" s="3"/>
      <c r="O32" s="200" t="s">
        <v>23</v>
      </c>
      <c r="P32" s="200"/>
      <c r="Q32" s="200"/>
      <c r="R32" s="20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59"/>
    <pageSetUpPr fitToPage="1"/>
  </sheetPr>
  <dimension ref="A1:Y92"/>
  <sheetViews>
    <sheetView workbookViewId="0" zoomScale="90" zoomScaleNormal="90">
      <selection activeCell="B2" sqref="B2"/>
    </sheetView>
  </sheetViews>
  <sheetFormatPr defaultRowHeight="17.25" outlineLevelRow="0" outlineLevelCol="0" x14ac:dyDescent="0" customHeight="1"/>
  <cols>
    <col min="1" max="2" width="7" style="1" customWidth="1"/>
    <col min="3" max="3" width="7.625" style="1" customWidth="1"/>
    <col min="4" max="4" width="5.625" style="2" customWidth="1"/>
    <col min="5" max="15" width="5.625" style="1" customWidth="1"/>
    <col min="16" max="228" width="9" style="1" customWidth="1"/>
    <col min="229" max="230" width="7" style="1" customWidth="1"/>
    <col min="231" max="231" width="9.125" style="1" customWidth="1"/>
    <col min="232" max="240" width="7.125" style="1" customWidth="1"/>
    <col min="241" max="484" width="9" style="1" customWidth="1"/>
    <col min="485" max="486" width="7" style="1" customWidth="1"/>
    <col min="487" max="487" width="9.125" style="1" customWidth="1"/>
    <col min="488" max="496" width="7.125" style="1" customWidth="1"/>
    <col min="497" max="740" width="9" style="1" customWidth="1"/>
    <col min="741" max="742" width="7" style="1" customWidth="1"/>
    <col min="743" max="743" width="9.125" style="1" customWidth="1"/>
    <col min="744" max="752" width="7.125" style="1" customWidth="1"/>
    <col min="753" max="996" width="9" style="1" customWidth="1"/>
    <col min="997" max="998" width="7" style="1" customWidth="1"/>
    <col min="999" max="999" width="9.125" style="1" customWidth="1"/>
    <col min="1000" max="1008" width="7.125" style="1" customWidth="1"/>
    <col min="1009" max="1252" width="9" style="1" customWidth="1"/>
    <col min="1253" max="1254" width="7" style="1" customWidth="1"/>
    <col min="1255" max="1255" width="9.125" style="1" customWidth="1"/>
    <col min="1256" max="1264" width="7.125" style="1" customWidth="1"/>
    <col min="1265" max="1508" width="9" style="1" customWidth="1"/>
    <col min="1509" max="1510" width="7" style="1" customWidth="1"/>
    <col min="1511" max="1511" width="9.125" style="1" customWidth="1"/>
    <col min="1512" max="1520" width="7.125" style="1" customWidth="1"/>
    <col min="1521" max="1764" width="9" style="1" customWidth="1"/>
    <col min="1765" max="1766" width="7" style="1" customWidth="1"/>
    <col min="1767" max="1767" width="9.125" style="1" customWidth="1"/>
    <col min="1768" max="1776" width="7.125" style="1" customWidth="1"/>
    <col min="1777" max="2020" width="9" style="1" customWidth="1"/>
    <col min="2021" max="2022" width="7" style="1" customWidth="1"/>
    <col min="2023" max="2023" width="9.125" style="1" customWidth="1"/>
    <col min="2024" max="2032" width="7.125" style="1" customWidth="1"/>
    <col min="2033" max="2276" width="9" style="1" customWidth="1"/>
    <col min="2277" max="2278" width="7" style="1" customWidth="1"/>
    <col min="2279" max="2279" width="9.125" style="1" customWidth="1"/>
    <col min="2280" max="2288" width="7.125" style="1" customWidth="1"/>
    <col min="2289" max="2532" width="9" style="1" customWidth="1"/>
    <col min="2533" max="2534" width="7" style="1" customWidth="1"/>
    <col min="2535" max="2535" width="9.125" style="1" customWidth="1"/>
    <col min="2536" max="2544" width="7.125" style="1" customWidth="1"/>
    <col min="2545" max="2788" width="9" style="1" customWidth="1"/>
    <col min="2789" max="2790" width="7" style="1" customWidth="1"/>
    <col min="2791" max="2791" width="9.125" style="1" customWidth="1"/>
    <col min="2792" max="2800" width="7.125" style="1" customWidth="1"/>
    <col min="2801" max="3044" width="9" style="1" customWidth="1"/>
    <col min="3045" max="3046" width="7" style="1" customWidth="1"/>
    <col min="3047" max="3047" width="9.125" style="1" customWidth="1"/>
    <col min="3048" max="3056" width="7.125" style="1" customWidth="1"/>
    <col min="3057" max="3300" width="9" style="1" customWidth="1"/>
    <col min="3301" max="3302" width="7" style="1" customWidth="1"/>
    <col min="3303" max="3303" width="9.125" style="1" customWidth="1"/>
    <col min="3304" max="3312" width="7.125" style="1" customWidth="1"/>
    <col min="3313" max="3556" width="9" style="1" customWidth="1"/>
    <col min="3557" max="3558" width="7" style="1" customWidth="1"/>
    <col min="3559" max="3559" width="9.125" style="1" customWidth="1"/>
    <col min="3560" max="3568" width="7.125" style="1" customWidth="1"/>
    <col min="3569" max="3812" width="9" style="1" customWidth="1"/>
    <col min="3813" max="3814" width="7" style="1" customWidth="1"/>
    <col min="3815" max="3815" width="9.125" style="1" customWidth="1"/>
    <col min="3816" max="3824" width="7.125" style="1" customWidth="1"/>
    <col min="3825" max="4068" width="9" style="1" customWidth="1"/>
    <col min="4069" max="4070" width="7" style="1" customWidth="1"/>
    <col min="4071" max="4071" width="9.125" style="1" customWidth="1"/>
    <col min="4072" max="4080" width="7.125" style="1" customWidth="1"/>
    <col min="4081" max="4324" width="9" style="1" customWidth="1"/>
    <col min="4325" max="4326" width="7" style="1" customWidth="1"/>
    <col min="4327" max="4327" width="9.125" style="1" customWidth="1"/>
    <col min="4328" max="4336" width="7.125" style="1" customWidth="1"/>
    <col min="4337" max="4580" width="9" style="1" customWidth="1"/>
    <col min="4581" max="4582" width="7" style="1" customWidth="1"/>
    <col min="4583" max="4583" width="9.125" style="1" customWidth="1"/>
    <col min="4584" max="4592" width="7.125" style="1" customWidth="1"/>
    <col min="4593" max="4836" width="9" style="1" customWidth="1"/>
    <col min="4837" max="4838" width="7" style="1" customWidth="1"/>
    <col min="4839" max="4839" width="9.125" style="1" customWidth="1"/>
    <col min="4840" max="4848" width="7.125" style="1" customWidth="1"/>
    <col min="4849" max="5092" width="9" style="1" customWidth="1"/>
    <col min="5093" max="5094" width="7" style="1" customWidth="1"/>
    <col min="5095" max="5095" width="9.125" style="1" customWidth="1"/>
    <col min="5096" max="5104" width="7.125" style="1" customWidth="1"/>
    <col min="5105" max="5348" width="9" style="1" customWidth="1"/>
    <col min="5349" max="5350" width="7" style="1" customWidth="1"/>
    <col min="5351" max="5351" width="9.125" style="1" customWidth="1"/>
    <col min="5352" max="5360" width="7.125" style="1" customWidth="1"/>
    <col min="5361" max="5604" width="9" style="1" customWidth="1"/>
    <col min="5605" max="5606" width="7" style="1" customWidth="1"/>
    <col min="5607" max="5607" width="9.125" style="1" customWidth="1"/>
    <col min="5608" max="5616" width="7.125" style="1" customWidth="1"/>
    <col min="5617" max="5860" width="9" style="1" customWidth="1"/>
    <col min="5861" max="5862" width="7" style="1" customWidth="1"/>
    <col min="5863" max="5863" width="9.125" style="1" customWidth="1"/>
    <col min="5864" max="5872" width="7.125" style="1" customWidth="1"/>
    <col min="5873" max="6116" width="9" style="1" customWidth="1"/>
    <col min="6117" max="6118" width="7" style="1" customWidth="1"/>
    <col min="6119" max="6119" width="9.125" style="1" customWidth="1"/>
    <col min="6120" max="6128" width="7.125" style="1" customWidth="1"/>
    <col min="6129" max="6372" width="9" style="1" customWidth="1"/>
    <col min="6373" max="6374" width="7" style="1" customWidth="1"/>
    <col min="6375" max="6375" width="9.125" style="1" customWidth="1"/>
    <col min="6376" max="6384" width="7.125" style="1" customWidth="1"/>
    <col min="6385" max="6628" width="9" style="1" customWidth="1"/>
    <col min="6629" max="6630" width="7" style="1" customWidth="1"/>
    <col min="6631" max="6631" width="9.125" style="1" customWidth="1"/>
    <col min="6632" max="6640" width="7.125" style="1" customWidth="1"/>
    <col min="6641" max="6884" width="9" style="1" customWidth="1"/>
    <col min="6885" max="6886" width="7" style="1" customWidth="1"/>
    <col min="6887" max="6887" width="9.125" style="1" customWidth="1"/>
    <col min="6888" max="6896" width="7.125" style="1" customWidth="1"/>
    <col min="6897" max="7140" width="9" style="1" customWidth="1"/>
    <col min="7141" max="7142" width="7" style="1" customWidth="1"/>
    <col min="7143" max="7143" width="9.125" style="1" customWidth="1"/>
    <col min="7144" max="7152" width="7.125" style="1" customWidth="1"/>
    <col min="7153" max="7396" width="9" style="1" customWidth="1"/>
    <col min="7397" max="7398" width="7" style="1" customWidth="1"/>
    <col min="7399" max="7399" width="9.125" style="1" customWidth="1"/>
    <col min="7400" max="7408" width="7.125" style="1" customWidth="1"/>
    <col min="7409" max="7652" width="9" style="1" customWidth="1"/>
    <col min="7653" max="7654" width="7" style="1" customWidth="1"/>
    <col min="7655" max="7655" width="9.125" style="1" customWidth="1"/>
    <col min="7656" max="7664" width="7.125" style="1" customWidth="1"/>
    <col min="7665" max="7908" width="9" style="1" customWidth="1"/>
    <col min="7909" max="7910" width="7" style="1" customWidth="1"/>
    <col min="7911" max="7911" width="9.125" style="1" customWidth="1"/>
    <col min="7912" max="7920" width="7.125" style="1" customWidth="1"/>
    <col min="7921" max="8164" width="9" style="1" customWidth="1"/>
    <col min="8165" max="8166" width="7" style="1" customWidth="1"/>
    <col min="8167" max="8167" width="9.125" style="1" customWidth="1"/>
    <col min="8168" max="8176" width="7.125" style="1" customWidth="1"/>
    <col min="8177" max="8420" width="9" style="1" customWidth="1"/>
    <col min="8421" max="8422" width="7" style="1" customWidth="1"/>
    <col min="8423" max="8423" width="9.125" style="1" customWidth="1"/>
    <col min="8424" max="8432" width="7.125" style="1" customWidth="1"/>
    <col min="8433" max="8676" width="9" style="1" customWidth="1"/>
    <col min="8677" max="8678" width="7" style="1" customWidth="1"/>
    <col min="8679" max="8679" width="9.125" style="1" customWidth="1"/>
    <col min="8680" max="8688" width="7.125" style="1" customWidth="1"/>
    <col min="8689" max="8932" width="9" style="1" customWidth="1"/>
    <col min="8933" max="8934" width="7" style="1" customWidth="1"/>
    <col min="8935" max="8935" width="9.125" style="1" customWidth="1"/>
    <col min="8936" max="8944" width="7.125" style="1" customWidth="1"/>
    <col min="8945" max="9188" width="9" style="1" customWidth="1"/>
    <col min="9189" max="9190" width="7" style="1" customWidth="1"/>
    <col min="9191" max="9191" width="9.125" style="1" customWidth="1"/>
    <col min="9192" max="9200" width="7.125" style="1" customWidth="1"/>
    <col min="9201" max="9444" width="9" style="1" customWidth="1"/>
    <col min="9445" max="9446" width="7" style="1" customWidth="1"/>
    <col min="9447" max="9447" width="9.125" style="1" customWidth="1"/>
    <col min="9448" max="9456" width="7.125" style="1" customWidth="1"/>
    <col min="9457" max="9700" width="9" style="1" customWidth="1"/>
    <col min="9701" max="9702" width="7" style="1" customWidth="1"/>
    <col min="9703" max="9703" width="9.125" style="1" customWidth="1"/>
    <col min="9704" max="9712" width="7.125" style="1" customWidth="1"/>
    <col min="9713" max="9956" width="9" style="1" customWidth="1"/>
    <col min="9957" max="9958" width="7" style="1" customWidth="1"/>
    <col min="9959" max="9959" width="9.125" style="1" customWidth="1"/>
    <col min="9960" max="9968" width="7.125" style="1" customWidth="1"/>
    <col min="9969" max="10212" width="9" style="1" customWidth="1"/>
    <col min="10213" max="10214" width="7" style="1" customWidth="1"/>
    <col min="10215" max="10215" width="9.125" style="1" customWidth="1"/>
    <col min="10216" max="10224" width="7.125" style="1" customWidth="1"/>
    <col min="10225" max="10468" width="9" style="1" customWidth="1"/>
    <col min="10469" max="10470" width="7" style="1" customWidth="1"/>
    <col min="10471" max="10471" width="9.125" style="1" customWidth="1"/>
    <col min="10472" max="10480" width="7.125" style="1" customWidth="1"/>
    <col min="10481" max="10724" width="9" style="1" customWidth="1"/>
    <col min="10725" max="10726" width="7" style="1" customWidth="1"/>
    <col min="10727" max="10727" width="9.125" style="1" customWidth="1"/>
    <col min="10728" max="10736" width="7.125" style="1" customWidth="1"/>
    <col min="10737" max="10980" width="9" style="1" customWidth="1"/>
    <col min="10981" max="10982" width="7" style="1" customWidth="1"/>
    <col min="10983" max="10983" width="9.125" style="1" customWidth="1"/>
    <col min="10984" max="10992" width="7.125" style="1" customWidth="1"/>
    <col min="10993" max="11236" width="9" style="1" customWidth="1"/>
    <col min="11237" max="11238" width="7" style="1" customWidth="1"/>
    <col min="11239" max="11239" width="9.125" style="1" customWidth="1"/>
    <col min="11240" max="11248" width="7.125" style="1" customWidth="1"/>
    <col min="11249" max="11492" width="9" style="1" customWidth="1"/>
    <col min="11493" max="11494" width="7" style="1" customWidth="1"/>
    <col min="11495" max="11495" width="9.125" style="1" customWidth="1"/>
    <col min="11496" max="11504" width="7.125" style="1" customWidth="1"/>
    <col min="11505" max="11748" width="9" style="1" customWidth="1"/>
    <col min="11749" max="11750" width="7" style="1" customWidth="1"/>
    <col min="11751" max="11751" width="9.125" style="1" customWidth="1"/>
    <col min="11752" max="11760" width="7.125" style="1" customWidth="1"/>
    <col min="11761" max="12004" width="9" style="1" customWidth="1"/>
    <col min="12005" max="12006" width="7" style="1" customWidth="1"/>
    <col min="12007" max="12007" width="9.125" style="1" customWidth="1"/>
    <col min="12008" max="12016" width="7.125" style="1" customWidth="1"/>
    <col min="12017" max="12260" width="9" style="1" customWidth="1"/>
    <col min="12261" max="12262" width="7" style="1" customWidth="1"/>
    <col min="12263" max="12263" width="9.125" style="1" customWidth="1"/>
    <col min="12264" max="12272" width="7.125" style="1" customWidth="1"/>
    <col min="12273" max="12516" width="9" style="1" customWidth="1"/>
    <col min="12517" max="12518" width="7" style="1" customWidth="1"/>
    <col min="12519" max="12519" width="9.125" style="1" customWidth="1"/>
    <col min="12520" max="12528" width="7.125" style="1" customWidth="1"/>
    <col min="12529" max="12772" width="9" style="1" customWidth="1"/>
    <col min="12773" max="12774" width="7" style="1" customWidth="1"/>
    <col min="12775" max="12775" width="9.125" style="1" customWidth="1"/>
    <col min="12776" max="12784" width="7.125" style="1" customWidth="1"/>
    <col min="12785" max="13028" width="9" style="1" customWidth="1"/>
    <col min="13029" max="13030" width="7" style="1" customWidth="1"/>
    <col min="13031" max="13031" width="9.125" style="1" customWidth="1"/>
    <col min="13032" max="13040" width="7.125" style="1" customWidth="1"/>
    <col min="13041" max="13284" width="9" style="1" customWidth="1"/>
    <col min="13285" max="13286" width="7" style="1" customWidth="1"/>
    <col min="13287" max="13287" width="9.125" style="1" customWidth="1"/>
    <col min="13288" max="13296" width="7.125" style="1" customWidth="1"/>
    <col min="13297" max="13540" width="9" style="1" customWidth="1"/>
    <col min="13541" max="13542" width="7" style="1" customWidth="1"/>
    <col min="13543" max="13543" width="9.125" style="1" customWidth="1"/>
    <col min="13544" max="13552" width="7.125" style="1" customWidth="1"/>
    <col min="13553" max="13796" width="9" style="1" customWidth="1"/>
    <col min="13797" max="13798" width="7" style="1" customWidth="1"/>
    <col min="13799" max="13799" width="9.125" style="1" customWidth="1"/>
    <col min="13800" max="13808" width="7.125" style="1" customWidth="1"/>
    <col min="13809" max="14052" width="9" style="1" customWidth="1"/>
    <col min="14053" max="14054" width="7" style="1" customWidth="1"/>
    <col min="14055" max="14055" width="9.125" style="1" customWidth="1"/>
    <col min="14056" max="14064" width="7.125" style="1" customWidth="1"/>
    <col min="14065" max="14308" width="9" style="1" customWidth="1"/>
    <col min="14309" max="14310" width="7" style="1" customWidth="1"/>
    <col min="14311" max="14311" width="9.125" style="1" customWidth="1"/>
    <col min="14312" max="14320" width="7.125" style="1" customWidth="1"/>
    <col min="14321" max="14564" width="9" style="1" customWidth="1"/>
    <col min="14565" max="14566" width="7" style="1" customWidth="1"/>
    <col min="14567" max="14567" width="9.125" style="1" customWidth="1"/>
    <col min="14568" max="14576" width="7.125" style="1" customWidth="1"/>
    <col min="14577" max="14820" width="9" style="1" customWidth="1"/>
    <col min="14821" max="14822" width="7" style="1" customWidth="1"/>
    <col min="14823" max="14823" width="9.125" style="1" customWidth="1"/>
    <col min="14824" max="14832" width="7.125" style="1" customWidth="1"/>
    <col min="14833" max="15076" width="9" style="1" customWidth="1"/>
    <col min="15077" max="15078" width="7" style="1" customWidth="1"/>
    <col min="15079" max="15079" width="9.125" style="1" customWidth="1"/>
    <col min="15080" max="15088" width="7.125" style="1" customWidth="1"/>
    <col min="15089" max="15332" width="9" style="1" customWidth="1"/>
    <col min="15333" max="15334" width="7" style="1" customWidth="1"/>
    <col min="15335" max="15335" width="9.125" style="1" customWidth="1"/>
    <col min="15336" max="15344" width="7.125" style="1" customWidth="1"/>
    <col min="15345" max="15588" width="9" style="1" customWidth="1"/>
    <col min="15589" max="15590" width="7" style="1" customWidth="1"/>
    <col min="15591" max="15591" width="9.125" style="1" customWidth="1"/>
    <col min="15592" max="15600" width="7.125" style="1" customWidth="1"/>
    <col min="15601" max="15844" width="9" style="1" customWidth="1"/>
    <col min="15845" max="15846" width="7" style="1" customWidth="1"/>
    <col min="15847" max="15847" width="9.125" style="1" customWidth="1"/>
    <col min="15848" max="15856" width="7.125" style="1" customWidth="1"/>
    <col min="15857" max="16100" width="9" style="1" customWidth="1"/>
    <col min="16101" max="16102" width="7" style="1" customWidth="1"/>
    <col min="16103" max="16103" width="9.125" style="1" customWidth="1"/>
    <col min="16104" max="16112" width="7.125" style="1" customWidth="1"/>
    <col min="16113" max="16384" width="9" style="1" customWidth="1"/>
  </cols>
  <sheetData>
    <row r="1" ht="33.75" customHeight="1" spans="1:25" s="3" customForma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</row>
    <row r="2" ht="21.75" customHeight="1" spans="1:25" x14ac:dyDescent="0.25">
      <c r="A2" s="1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0.5" customHeight="1" spans="1:25" x14ac:dyDescent="0.25">
      <c r="A3" s="1"/>
      <c r="B3" s="1"/>
      <c r="C3" s="1"/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x14ac:dyDescent="0.25">
      <c r="A4" s="8" t="s">
        <v>2</v>
      </c>
      <c r="B4" s="9" t="s">
        <v>3</v>
      </c>
      <c r="C4" s="1"/>
      <c r="D4" s="2"/>
      <c r="E4" s="10"/>
      <c r="F4" s="11" t="s">
        <v>4</v>
      </c>
      <c r="G4" s="12"/>
      <c r="H4" s="12"/>
      <c r="I4" s="12"/>
      <c r="J4" s="1"/>
      <c r="K4" s="8" t="s">
        <v>5</v>
      </c>
      <c r="L4" s="13"/>
      <c r="M4" s="14"/>
      <c r="N4" s="14"/>
      <c r="O4" s="14"/>
      <c r="P4" s="1"/>
      <c r="Q4" s="1"/>
      <c r="R4" s="1"/>
      <c r="S4" s="1"/>
      <c r="T4" s="1"/>
      <c r="U4" s="1"/>
      <c r="V4" s="1"/>
      <c r="W4" s="1"/>
      <c r="X4" s="1"/>
      <c r="Y4" s="1"/>
    </row>
    <row r="5" ht="9.75" customHeight="1" spans="1:25" x14ac:dyDescent="0.25">
      <c r="A5" s="1"/>
      <c r="B5" s="1"/>
      <c r="C5" s="1"/>
      <c r="D5" s="1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x14ac:dyDescent="0.25">
      <c r="A6" s="8" t="s">
        <v>6</v>
      </c>
      <c r="B6" s="16"/>
      <c r="C6" s="1"/>
      <c r="D6" s="2"/>
      <c r="E6" s="17"/>
      <c r="F6" s="11" t="s">
        <v>7</v>
      </c>
      <c r="G6" s="12"/>
      <c r="H6" s="12"/>
      <c r="I6" s="12"/>
      <c r="J6" s="1"/>
      <c r="K6" s="8" t="s">
        <v>8</v>
      </c>
      <c r="L6" s="18" t="s">
        <v>9</v>
      </c>
      <c r="M6" s="18"/>
      <c r="N6" s="18"/>
      <c r="O6" s="18"/>
      <c r="P6" s="1"/>
      <c r="Q6" s="1"/>
      <c r="R6" s="1"/>
      <c r="S6" s="1"/>
      <c r="T6" s="1"/>
      <c r="U6" s="1"/>
      <c r="V6" s="1"/>
      <c r="W6" s="1"/>
      <c r="X6" s="1"/>
      <c r="Y6" s="1"/>
    </row>
    <row r="7" ht="11.25" customHeight="1" spans="1:25" x14ac:dyDescent="0.25">
      <c r="A7" s="19"/>
      <c r="B7" s="19"/>
      <c r="C7" s="19"/>
      <c r="D7" s="20"/>
      <c r="E7" s="19"/>
      <c r="F7" s="19"/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14.1" customHeight="1" spans="1:25" s="16" customFormat="1" x14ac:dyDescent="0.25">
      <c r="A8" s="21" t="s">
        <v>10</v>
      </c>
      <c r="B8" s="22" t="s">
        <v>11</v>
      </c>
      <c r="C8" s="23" t="s">
        <v>12</v>
      </c>
      <c r="D8" s="24" t="str">
        <f>+"DISCH ("&amp;D74+E74+F74+G74+D75+E75+F75+G75&amp;")"</f>
        <v>DISCH (170)</v>
      </c>
      <c r="E8" s="25"/>
      <c r="F8" s="25"/>
      <c r="G8" s="25"/>
      <c r="H8" s="24" t="str">
        <f>+"LOAD ("&amp;H74+I74+J74+K74+H75+I75+J75+K75&amp;")"</f>
        <v>LOAD (216)</v>
      </c>
      <c r="I8" s="25"/>
      <c r="J8" s="25"/>
      <c r="K8" s="26"/>
      <c r="L8" s="27" t="str">
        <f>+"SHIFT ("&amp;L74+M74+N74+O74+L75+M75+N75+O75&amp;")"</f>
        <v>SHIFT (2)</v>
      </c>
      <c r="M8" s="28"/>
      <c r="N8" s="29"/>
      <c r="O8" s="30"/>
      <c r="P8" s="16"/>
      <c r="Q8" s="16"/>
      <c r="R8" s="16"/>
      <c r="S8" s="16"/>
      <c r="T8" s="16"/>
      <c r="U8" s="16"/>
      <c r="V8" s="16"/>
      <c r="W8" s="16"/>
      <c r="X8" s="16"/>
      <c r="Y8" s="16"/>
    </row>
    <row r="9" ht="14.1" customHeight="1" spans="1:25" x14ac:dyDescent="0.25">
      <c r="A9" s="31"/>
      <c r="B9" s="32"/>
      <c r="C9" s="33"/>
      <c r="D9" s="34" t="s">
        <v>13</v>
      </c>
      <c r="E9" s="35" t="s">
        <v>14</v>
      </c>
      <c r="F9" s="35" t="s">
        <v>15</v>
      </c>
      <c r="G9" s="36" t="s">
        <v>16</v>
      </c>
      <c r="H9" s="37" t="s">
        <v>13</v>
      </c>
      <c r="I9" s="35" t="s">
        <v>14</v>
      </c>
      <c r="J9" s="35" t="s">
        <v>15</v>
      </c>
      <c r="K9" s="38" t="s">
        <v>16</v>
      </c>
      <c r="L9" s="39" t="s">
        <v>13</v>
      </c>
      <c r="M9" s="35" t="s">
        <v>14</v>
      </c>
      <c r="N9" s="35" t="s">
        <v>15</v>
      </c>
      <c r="O9" s="38" t="s">
        <v>16</v>
      </c>
      <c r="P9" s="1"/>
      <c r="Q9" s="1"/>
      <c r="R9" s="1"/>
      <c r="S9" s="1"/>
      <c r="T9" s="1"/>
      <c r="U9" s="1"/>
      <c r="V9" s="1"/>
      <c r="W9" s="1"/>
      <c r="X9" s="1"/>
      <c r="Y9" s="1"/>
    </row>
    <row r="10" ht="15" customHeight="1" spans="1:25" s="40" customFormat="1" x14ac:dyDescent="0.25">
      <c r="A10" s="41"/>
      <c r="B10" s="42"/>
      <c r="C10" s="43" t="s">
        <v>17</v>
      </c>
      <c r="D10" s="44"/>
      <c r="E10" s="45"/>
      <c r="F10" s="45"/>
      <c r="G10" s="46"/>
      <c r="H10" s="44"/>
      <c r="I10" s="45"/>
      <c r="J10" s="45"/>
      <c r="K10" s="47"/>
      <c r="L10" s="48"/>
      <c r="M10" s="45"/>
      <c r="N10" s="45"/>
      <c r="O10" s="47"/>
      <c r="P10" s="40"/>
      <c r="Q10" s="40"/>
      <c r="R10" s="40"/>
      <c r="S10" s="40"/>
      <c r="T10" s="40"/>
      <c r="U10" s="40"/>
      <c r="V10" s="40"/>
      <c r="W10" s="40"/>
      <c r="X10" s="40"/>
      <c r="Y10" s="40"/>
    </row>
    <row r="11" ht="15" customHeight="1" spans="1:25" s="40" customFormat="1" x14ac:dyDescent="0.25">
      <c r="A11" s="49"/>
      <c r="B11" s="50"/>
      <c r="C11" s="51" t="s">
        <v>18</v>
      </c>
      <c r="D11" s="52"/>
      <c r="E11" s="53"/>
      <c r="F11" s="53"/>
      <c r="G11" s="54"/>
      <c r="H11" s="52"/>
      <c r="I11" s="53"/>
      <c r="J11" s="53"/>
      <c r="K11" s="55"/>
      <c r="L11" s="56"/>
      <c r="M11" s="53"/>
      <c r="N11" s="53"/>
      <c r="O11" s="55"/>
      <c r="P11" s="40"/>
      <c r="Q11" s="40"/>
      <c r="R11" s="40"/>
      <c r="S11" s="40"/>
      <c r="T11" s="40"/>
      <c r="U11" s="40"/>
      <c r="V11" s="40"/>
      <c r="W11" s="40"/>
      <c r="X11" s="40"/>
      <c r="Y11" s="40"/>
    </row>
    <row r="12" ht="15" customHeight="1" spans="1:25" s="40" customFormat="1" x14ac:dyDescent="0.25">
      <c r="A12" s="49"/>
      <c r="B12" s="57"/>
      <c r="C12" s="58" t="s">
        <v>17</v>
      </c>
      <c r="D12" s="59"/>
      <c r="E12" s="60"/>
      <c r="F12" s="60"/>
      <c r="G12" s="61"/>
      <c r="H12" s="59"/>
      <c r="I12" s="60"/>
      <c r="J12" s="60"/>
      <c r="K12" s="62"/>
      <c r="L12" s="63"/>
      <c r="M12" s="60"/>
      <c r="N12" s="60"/>
      <c r="O12" s="62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15" customHeight="1" spans="1:25" s="40" customFormat="1" x14ac:dyDescent="0.25">
      <c r="A13" s="49"/>
      <c r="B13" s="50"/>
      <c r="C13" s="51" t="s">
        <v>18</v>
      </c>
      <c r="D13" s="52"/>
      <c r="E13" s="53"/>
      <c r="F13" s="53"/>
      <c r="G13" s="54"/>
      <c r="H13" s="52"/>
      <c r="I13" s="53"/>
      <c r="J13" s="53"/>
      <c r="K13" s="55"/>
      <c r="L13" s="56"/>
      <c r="M13" s="53"/>
      <c r="N13" s="53"/>
      <c r="O13" s="55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15" customHeight="1" spans="1:25" s="40" customFormat="1" x14ac:dyDescent="0.25">
      <c r="A14" s="49"/>
      <c r="B14" s="64"/>
      <c r="C14" s="65" t="s">
        <v>17</v>
      </c>
      <c r="D14" s="59"/>
      <c r="E14" s="60"/>
      <c r="F14" s="60"/>
      <c r="G14" s="61"/>
      <c r="H14" s="59"/>
      <c r="I14" s="60"/>
      <c r="J14" s="60"/>
      <c r="K14" s="62"/>
      <c r="L14" s="63"/>
      <c r="M14" s="60"/>
      <c r="N14" s="60"/>
      <c r="O14" s="62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15" customHeight="1" spans="1:25" s="40" customFormat="1" x14ac:dyDescent="0.25">
      <c r="A15" s="66"/>
      <c r="B15" s="67"/>
      <c r="C15" s="68" t="s">
        <v>18</v>
      </c>
      <c r="D15" s="69"/>
      <c r="E15" s="70"/>
      <c r="F15" s="70"/>
      <c r="G15" s="71"/>
      <c r="H15" s="69"/>
      <c r="I15" s="70"/>
      <c r="J15" s="70"/>
      <c r="K15" s="72"/>
      <c r="L15" s="73"/>
      <c r="M15" s="70"/>
      <c r="N15" s="70"/>
      <c r="O15" s="72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15" customHeight="1" spans="1:25" s="40" customFormat="1" x14ac:dyDescent="0.25">
      <c r="A16" s="74"/>
      <c r="B16" s="75"/>
      <c r="C16" s="76" t="s">
        <v>17</v>
      </c>
      <c r="D16" s="77"/>
      <c r="E16" s="78"/>
      <c r="F16" s="78"/>
      <c r="G16" s="79"/>
      <c r="H16" s="77"/>
      <c r="I16" s="78"/>
      <c r="J16" s="78"/>
      <c r="K16" s="80"/>
      <c r="L16" s="81"/>
      <c r="M16" s="78"/>
      <c r="N16" s="78"/>
      <c r="O16" s="8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15" customHeight="1" spans="1:25" s="40" customFormat="1" x14ac:dyDescent="0.25">
      <c r="A17" s="49"/>
      <c r="B17" s="50"/>
      <c r="C17" s="82" t="s">
        <v>18</v>
      </c>
      <c r="D17" s="83"/>
      <c r="E17" s="84"/>
      <c r="F17" s="84"/>
      <c r="G17" s="85"/>
      <c r="H17" s="83"/>
      <c r="I17" s="84"/>
      <c r="J17" s="84"/>
      <c r="K17" s="86"/>
      <c r="L17" s="87"/>
      <c r="M17" s="84"/>
      <c r="N17" s="84"/>
      <c r="O17" s="86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15" customHeight="1" spans="1:25" s="40" customFormat="1" x14ac:dyDescent="0.25">
      <c r="A18" s="49"/>
      <c r="B18" s="64"/>
      <c r="C18" s="65" t="s">
        <v>17</v>
      </c>
      <c r="D18" s="59"/>
      <c r="E18" s="60"/>
      <c r="F18" s="60"/>
      <c r="G18" s="61"/>
      <c r="H18" s="59"/>
      <c r="I18" s="60"/>
      <c r="J18" s="60"/>
      <c r="K18" s="62"/>
      <c r="L18" s="63"/>
      <c r="M18" s="60"/>
      <c r="N18" s="60"/>
      <c r="O18" s="62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15" customHeight="1" spans="1:25" s="40" customFormat="1" x14ac:dyDescent="0.25">
      <c r="A19" s="49"/>
      <c r="B19" s="50"/>
      <c r="C19" s="82" t="s">
        <v>18</v>
      </c>
      <c r="D19" s="83"/>
      <c r="E19" s="84"/>
      <c r="F19" s="84"/>
      <c r="G19" s="85"/>
      <c r="H19" s="83"/>
      <c r="I19" s="84"/>
      <c r="J19" s="84"/>
      <c r="K19" s="86"/>
      <c r="L19" s="87"/>
      <c r="M19" s="84"/>
      <c r="N19" s="84"/>
      <c r="O19" s="86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15" customHeight="1" spans="1:25" s="40" customFormat="1" x14ac:dyDescent="0.25">
      <c r="A20" s="49"/>
      <c r="B20" s="57"/>
      <c r="C20" s="76" t="s">
        <v>17</v>
      </c>
      <c r="D20" s="77"/>
      <c r="E20" s="78"/>
      <c r="F20" s="78"/>
      <c r="G20" s="79"/>
      <c r="H20" s="77"/>
      <c r="I20" s="78"/>
      <c r="J20" s="78"/>
      <c r="K20" s="80"/>
      <c r="L20" s="81"/>
      <c r="M20" s="78"/>
      <c r="N20" s="78"/>
      <c r="O20" s="8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15" customHeight="1" spans="1:25" s="40" customFormat="1" x14ac:dyDescent="0.25">
      <c r="A21" s="66"/>
      <c r="B21" s="67"/>
      <c r="C21" s="68" t="s">
        <v>18</v>
      </c>
      <c r="D21" s="69"/>
      <c r="E21" s="70"/>
      <c r="F21" s="70"/>
      <c r="G21" s="71"/>
      <c r="H21" s="69"/>
      <c r="I21" s="70"/>
      <c r="J21" s="70"/>
      <c r="K21" s="72"/>
      <c r="L21" s="73"/>
      <c r="M21" s="70"/>
      <c r="N21" s="70"/>
      <c r="O21" s="72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15" customHeight="1" spans="1:25" s="40" customFormat="1" x14ac:dyDescent="0.25">
      <c r="A22" s="74"/>
      <c r="B22" s="75"/>
      <c r="C22" s="76" t="s">
        <v>17</v>
      </c>
      <c r="D22" s="77"/>
      <c r="E22" s="78"/>
      <c r="F22" s="78"/>
      <c r="G22" s="79"/>
      <c r="H22" s="77"/>
      <c r="I22" s="78"/>
      <c r="J22" s="78"/>
      <c r="K22" s="80"/>
      <c r="L22" s="81"/>
      <c r="M22" s="78"/>
      <c r="N22" s="78"/>
      <c r="O22" s="8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15" customHeight="1" spans="1:25" s="40" customFormat="1" x14ac:dyDescent="0.25">
      <c r="A23" s="49"/>
      <c r="B23" s="50"/>
      <c r="C23" s="88" t="s">
        <v>18</v>
      </c>
      <c r="D23" s="52"/>
      <c r="E23" s="53"/>
      <c r="F23" s="53"/>
      <c r="G23" s="54"/>
      <c r="H23" s="52"/>
      <c r="I23" s="53"/>
      <c r="J23" s="53"/>
      <c r="K23" s="55"/>
      <c r="L23" s="56"/>
      <c r="M23" s="53"/>
      <c r="N23" s="53"/>
      <c r="O23" s="55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15" customHeight="1" spans="1:25" s="40" customFormat="1" x14ac:dyDescent="0.25">
      <c r="A24" s="49"/>
      <c r="B24" s="89"/>
      <c r="C24" s="58" t="s">
        <v>17</v>
      </c>
      <c r="D24" s="59"/>
      <c r="E24" s="60"/>
      <c r="F24" s="60"/>
      <c r="G24" s="62"/>
      <c r="H24" s="59"/>
      <c r="I24" s="60"/>
      <c r="J24" s="60"/>
      <c r="K24" s="62"/>
      <c r="L24" s="63"/>
      <c r="M24" s="60"/>
      <c r="N24" s="60"/>
      <c r="O24" s="62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15" customHeight="1" spans="1:25" s="40" customFormat="1" x14ac:dyDescent="0.25">
      <c r="A25" s="49"/>
      <c r="B25" s="90"/>
      <c r="C25" s="51" t="s">
        <v>18</v>
      </c>
      <c r="D25" s="52"/>
      <c r="E25" s="53"/>
      <c r="F25" s="53"/>
      <c r="G25" s="55"/>
      <c r="H25" s="52"/>
      <c r="I25" s="53"/>
      <c r="J25" s="53"/>
      <c r="K25" s="55"/>
      <c r="L25" s="56"/>
      <c r="M25" s="53"/>
      <c r="N25" s="53"/>
      <c r="O25" s="55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15" customHeight="1" spans="1:25" s="40" customFormat="1" x14ac:dyDescent="0.25">
      <c r="A26" s="49"/>
      <c r="B26" s="91"/>
      <c r="C26" s="92" t="s">
        <v>17</v>
      </c>
      <c r="D26" s="93"/>
      <c r="E26" s="94"/>
      <c r="F26" s="94"/>
      <c r="G26" s="95"/>
      <c r="H26" s="93"/>
      <c r="I26" s="94"/>
      <c r="J26" s="94"/>
      <c r="K26" s="95"/>
      <c r="L26" s="96"/>
      <c r="M26" s="94"/>
      <c r="N26" s="94"/>
      <c r="O26" s="95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15" customHeight="1" spans="1:25" s="40" customFormat="1" x14ac:dyDescent="0.25">
      <c r="A27" s="66"/>
      <c r="B27" s="67"/>
      <c r="C27" s="97" t="s">
        <v>18</v>
      </c>
      <c r="D27" s="69"/>
      <c r="E27" s="70"/>
      <c r="F27" s="70"/>
      <c r="G27" s="72"/>
      <c r="H27" s="69"/>
      <c r="I27" s="70"/>
      <c r="J27" s="70"/>
      <c r="K27" s="72"/>
      <c r="L27" s="73"/>
      <c r="M27" s="70"/>
      <c r="N27" s="70"/>
      <c r="O27" s="72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15" customHeight="1" spans="1:25" s="40" customFormat="1" x14ac:dyDescent="0.25">
      <c r="A28" s="74"/>
      <c r="B28" s="98"/>
      <c r="C28" s="76" t="s">
        <v>17</v>
      </c>
      <c r="D28" s="77"/>
      <c r="E28" s="78"/>
      <c r="F28" s="78"/>
      <c r="G28" s="80"/>
      <c r="H28" s="77"/>
      <c r="I28" s="78"/>
      <c r="J28" s="78"/>
      <c r="K28" s="80"/>
      <c r="L28" s="81"/>
      <c r="M28" s="78"/>
      <c r="N28" s="78"/>
      <c r="O28" s="8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15" customHeight="1" spans="1:25" s="40" customFormat="1" x14ac:dyDescent="0.25">
      <c r="A29" s="49"/>
      <c r="B29" s="64"/>
      <c r="C29" s="88" t="s">
        <v>18</v>
      </c>
      <c r="D29" s="52"/>
      <c r="E29" s="53"/>
      <c r="F29" s="53"/>
      <c r="G29" s="55"/>
      <c r="H29" s="52"/>
      <c r="I29" s="53"/>
      <c r="J29" s="53"/>
      <c r="K29" s="55"/>
      <c r="L29" s="56"/>
      <c r="M29" s="53"/>
      <c r="N29" s="53"/>
      <c r="O29" s="55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15" customHeight="1" spans="1:25" s="40" customFormat="1" x14ac:dyDescent="0.25">
      <c r="A30" s="49"/>
      <c r="B30" s="89"/>
      <c r="C30" s="65" t="s">
        <v>17</v>
      </c>
      <c r="D30" s="59"/>
      <c r="E30" s="60"/>
      <c r="F30" s="60"/>
      <c r="G30" s="61"/>
      <c r="H30" s="59"/>
      <c r="I30" s="60"/>
      <c r="J30" s="60"/>
      <c r="K30" s="62"/>
      <c r="L30" s="63"/>
      <c r="M30" s="60"/>
      <c r="N30" s="60"/>
      <c r="O30" s="62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15" customHeight="1" spans="1:25" s="40" customFormat="1" x14ac:dyDescent="0.25">
      <c r="A31" s="49"/>
      <c r="B31" s="50"/>
      <c r="C31" s="82" t="s">
        <v>18</v>
      </c>
      <c r="D31" s="83"/>
      <c r="E31" s="84"/>
      <c r="F31" s="84"/>
      <c r="G31" s="85"/>
      <c r="H31" s="83"/>
      <c r="I31" s="84"/>
      <c r="J31" s="84"/>
      <c r="K31" s="86"/>
      <c r="L31" s="87"/>
      <c r="M31" s="84"/>
      <c r="N31" s="84"/>
      <c r="O31" s="86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15" customHeight="1" spans="1:25" s="40" customFormat="1" x14ac:dyDescent="0.25">
      <c r="A32" s="49"/>
      <c r="B32" s="91"/>
      <c r="C32" s="76" t="s">
        <v>17</v>
      </c>
      <c r="D32" s="77"/>
      <c r="E32" s="78"/>
      <c r="F32" s="78"/>
      <c r="G32" s="79"/>
      <c r="H32" s="77"/>
      <c r="I32" s="78"/>
      <c r="J32" s="78"/>
      <c r="K32" s="80"/>
      <c r="L32" s="81"/>
      <c r="M32" s="78"/>
      <c r="N32" s="78"/>
      <c r="O32" s="80"/>
      <c r="P32" s="40"/>
      <c r="Q32" s="40"/>
      <c r="R32" s="40"/>
      <c r="S32" s="40"/>
      <c r="T32" s="40"/>
      <c r="U32" s="40"/>
      <c r="V32" s="40"/>
      <c r="W32" s="40"/>
      <c r="X32" s="40"/>
      <c r="Y32" s="40"/>
    </row>
    <row r="33" ht="15" customHeight="1" spans="1:25" s="40" customFormat="1" x14ac:dyDescent="0.25">
      <c r="A33" s="66"/>
      <c r="B33" s="67"/>
      <c r="C33" s="68" t="s">
        <v>18</v>
      </c>
      <c r="D33" s="69"/>
      <c r="E33" s="70"/>
      <c r="F33" s="70"/>
      <c r="G33" s="71"/>
      <c r="H33" s="69"/>
      <c r="I33" s="70"/>
      <c r="J33" s="70"/>
      <c r="K33" s="72"/>
      <c r="L33" s="73"/>
      <c r="M33" s="70"/>
      <c r="N33" s="70"/>
      <c r="O33" s="72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5" customHeight="1" spans="1:25" s="40" customFormat="1" x14ac:dyDescent="0.25">
      <c r="A34" s="74"/>
      <c r="B34" s="64"/>
      <c r="C34" s="76" t="s">
        <v>17</v>
      </c>
      <c r="D34" s="77"/>
      <c r="E34" s="78"/>
      <c r="F34" s="78"/>
      <c r="G34" s="79"/>
      <c r="H34" s="77"/>
      <c r="I34" s="78"/>
      <c r="J34" s="78"/>
      <c r="K34" s="80"/>
      <c r="L34" s="81"/>
      <c r="M34" s="78"/>
      <c r="N34" s="78"/>
      <c r="O34" s="8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5" customHeight="1" spans="1:25" s="40" customFormat="1" x14ac:dyDescent="0.25">
      <c r="A35" s="49"/>
      <c r="B35" s="64"/>
      <c r="C35" s="82" t="s">
        <v>18</v>
      </c>
      <c r="D35" s="83"/>
      <c r="E35" s="84"/>
      <c r="F35" s="84"/>
      <c r="G35" s="85"/>
      <c r="H35" s="83"/>
      <c r="I35" s="84"/>
      <c r="J35" s="84"/>
      <c r="K35" s="86"/>
      <c r="L35" s="87"/>
      <c r="M35" s="84"/>
      <c r="N35" s="84"/>
      <c r="O35" s="86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5" customHeight="1" spans="1:25" s="40" customFormat="1" x14ac:dyDescent="0.25">
      <c r="A36" s="49"/>
      <c r="B36" s="57"/>
      <c r="C36" s="76" t="s">
        <v>17</v>
      </c>
      <c r="D36" s="77"/>
      <c r="E36" s="78"/>
      <c r="F36" s="78"/>
      <c r="G36" s="79"/>
      <c r="H36" s="77"/>
      <c r="I36" s="78"/>
      <c r="J36" s="78"/>
      <c r="K36" s="80"/>
      <c r="L36" s="81"/>
      <c r="M36" s="78"/>
      <c r="N36" s="78"/>
      <c r="O36" s="8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5" customHeight="1" spans="1:25" s="40" customFormat="1" x14ac:dyDescent="0.25">
      <c r="A37" s="49"/>
      <c r="B37" s="50"/>
      <c r="C37" s="88" t="s">
        <v>18</v>
      </c>
      <c r="D37" s="52"/>
      <c r="E37" s="53"/>
      <c r="F37" s="53"/>
      <c r="G37" s="54"/>
      <c r="H37" s="52"/>
      <c r="I37" s="53"/>
      <c r="J37" s="53"/>
      <c r="K37" s="55"/>
      <c r="L37" s="56"/>
      <c r="M37" s="53"/>
      <c r="N37" s="53"/>
      <c r="O37" s="55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5" customHeight="1" spans="1:25" s="40" customFormat="1" x14ac:dyDescent="0.25">
      <c r="A38" s="49"/>
      <c r="B38" s="57"/>
      <c r="C38" s="76" t="s">
        <v>17</v>
      </c>
      <c r="D38" s="77"/>
      <c r="E38" s="78"/>
      <c r="F38" s="78"/>
      <c r="G38" s="80"/>
      <c r="H38" s="77"/>
      <c r="I38" s="78"/>
      <c r="J38" s="78"/>
      <c r="K38" s="80"/>
      <c r="L38" s="81"/>
      <c r="M38" s="78"/>
      <c r="N38" s="78"/>
      <c r="O38" s="8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5" customHeight="1" spans="1:25" s="40" customFormat="1" x14ac:dyDescent="0.25">
      <c r="A39" s="66"/>
      <c r="B39" s="67"/>
      <c r="C39" s="68" t="s">
        <v>18</v>
      </c>
      <c r="D39" s="69"/>
      <c r="E39" s="70"/>
      <c r="F39" s="70"/>
      <c r="G39" s="72"/>
      <c r="H39" s="69"/>
      <c r="I39" s="70"/>
      <c r="J39" s="70"/>
      <c r="K39" s="72"/>
      <c r="L39" s="73"/>
      <c r="M39" s="70"/>
      <c r="N39" s="70"/>
      <c r="O39" s="72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2.6" customHeight="1" hidden="1" spans="1:25" s="40" customFormat="1" x14ac:dyDescent="0.25">
      <c r="A40" s="74"/>
      <c r="B40" s="64"/>
      <c r="C40" s="76" t="s">
        <v>17</v>
      </c>
      <c r="D40" s="77"/>
      <c r="E40" s="78"/>
      <c r="F40" s="78"/>
      <c r="G40" s="80"/>
      <c r="H40" s="77"/>
      <c r="I40" s="78"/>
      <c r="J40" s="78"/>
      <c r="K40" s="80"/>
      <c r="L40" s="81"/>
      <c r="M40" s="78"/>
      <c r="N40" s="78"/>
      <c r="O40" s="8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2.6" customHeight="1" hidden="1" spans="1:25" s="40" customFormat="1" x14ac:dyDescent="0.25">
      <c r="A41" s="49"/>
      <c r="B41" s="64"/>
      <c r="C41" s="88" t="s">
        <v>18</v>
      </c>
      <c r="D41" s="52"/>
      <c r="E41" s="53"/>
      <c r="F41" s="53"/>
      <c r="G41" s="55"/>
      <c r="H41" s="52"/>
      <c r="I41" s="53"/>
      <c r="J41" s="53"/>
      <c r="K41" s="55"/>
      <c r="L41" s="56"/>
      <c r="M41" s="53"/>
      <c r="N41" s="53"/>
      <c r="O41" s="55"/>
      <c r="P41" s="40"/>
      <c r="Q41" s="40"/>
      <c r="R41" s="40"/>
      <c r="S41" s="40"/>
      <c r="T41" s="40"/>
      <c r="U41" s="40"/>
      <c r="V41" s="40"/>
      <c r="W41" s="40"/>
      <c r="X41" s="40"/>
      <c r="Y41" s="40"/>
    </row>
    <row r="42" ht="12.6" customHeight="1" hidden="1" spans="1:25" s="40" customFormat="1" x14ac:dyDescent="0.25">
      <c r="A42" s="49"/>
      <c r="B42" s="57"/>
      <c r="C42" s="65" t="s">
        <v>17</v>
      </c>
      <c r="D42" s="59"/>
      <c r="E42" s="60"/>
      <c r="F42" s="60"/>
      <c r="G42" s="62"/>
      <c r="H42" s="59"/>
      <c r="I42" s="60"/>
      <c r="J42" s="60"/>
      <c r="K42" s="62"/>
      <c r="L42" s="63"/>
      <c r="M42" s="60"/>
      <c r="N42" s="60"/>
      <c r="O42" s="62"/>
      <c r="P42" s="40"/>
      <c r="Q42" s="40"/>
      <c r="R42" s="40"/>
      <c r="S42" s="40"/>
      <c r="T42" s="40"/>
      <c r="U42" s="40"/>
      <c r="V42" s="40"/>
      <c r="W42" s="40"/>
      <c r="X42" s="40"/>
      <c r="Y42" s="40"/>
    </row>
    <row r="43" ht="12.6" customHeight="1" hidden="1" spans="1:25" s="40" customFormat="1" x14ac:dyDescent="0.25">
      <c r="A43" s="66"/>
      <c r="B43" s="67"/>
      <c r="C43" s="68" t="s">
        <v>18</v>
      </c>
      <c r="D43" s="69"/>
      <c r="E43" s="70"/>
      <c r="F43" s="70"/>
      <c r="G43" s="72"/>
      <c r="H43" s="69"/>
      <c r="I43" s="70"/>
      <c r="J43" s="70"/>
      <c r="K43" s="72"/>
      <c r="L43" s="73"/>
      <c r="M43" s="70"/>
      <c r="N43" s="70"/>
      <c r="O43" s="72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12.6" customHeight="1" hidden="1" spans="1:25" s="40" customFormat="1" x14ac:dyDescent="0.25">
      <c r="A44" s="49"/>
      <c r="B44" s="64"/>
      <c r="C44" s="76" t="s">
        <v>17</v>
      </c>
      <c r="D44" s="77"/>
      <c r="E44" s="78"/>
      <c r="F44" s="78"/>
      <c r="G44" s="80"/>
      <c r="H44" s="77"/>
      <c r="I44" s="78"/>
      <c r="J44" s="78"/>
      <c r="K44" s="80"/>
      <c r="L44" s="81"/>
      <c r="M44" s="78"/>
      <c r="N44" s="78"/>
      <c r="O44" s="80"/>
      <c r="P44" s="40"/>
      <c r="Q44" s="40"/>
      <c r="R44" s="40"/>
      <c r="S44" s="40"/>
      <c r="T44" s="40"/>
      <c r="U44" s="40"/>
      <c r="V44" s="40"/>
      <c r="W44" s="40"/>
      <c r="X44" s="40"/>
      <c r="Y44" s="40"/>
    </row>
    <row r="45" ht="12.6" customHeight="1" hidden="1" spans="1:25" s="40" customFormat="1" x14ac:dyDescent="0.25">
      <c r="A45" s="99"/>
      <c r="B45" s="50"/>
      <c r="C45" s="88" t="s">
        <v>18</v>
      </c>
      <c r="D45" s="52"/>
      <c r="E45" s="53"/>
      <c r="F45" s="53"/>
      <c r="G45" s="55"/>
      <c r="H45" s="52"/>
      <c r="I45" s="53"/>
      <c r="J45" s="53"/>
      <c r="K45" s="55"/>
      <c r="L45" s="56"/>
      <c r="M45" s="53"/>
      <c r="N45" s="53"/>
      <c r="O45" s="55"/>
      <c r="P45" s="40"/>
      <c r="Q45" s="40"/>
      <c r="R45" s="40"/>
      <c r="S45" s="40"/>
      <c r="T45" s="40"/>
      <c r="U45" s="40"/>
      <c r="V45" s="40"/>
      <c r="W45" s="40"/>
      <c r="X45" s="40"/>
      <c r="Y45" s="40"/>
    </row>
    <row r="46" ht="12.6" customHeight="1" hidden="1" spans="1:25" s="40" customFormat="1" x14ac:dyDescent="0.25">
      <c r="A46" s="49"/>
      <c r="B46" s="64"/>
      <c r="C46" s="65" t="s">
        <v>17</v>
      </c>
      <c r="D46" s="59"/>
      <c r="E46" s="60"/>
      <c r="F46" s="60"/>
      <c r="G46" s="61"/>
      <c r="H46" s="59"/>
      <c r="I46" s="60"/>
      <c r="J46" s="60"/>
      <c r="K46" s="62"/>
      <c r="L46" s="63"/>
      <c r="M46" s="60"/>
      <c r="N46" s="60"/>
      <c r="O46" s="62"/>
      <c r="P46" s="40"/>
      <c r="Q46" s="40"/>
      <c r="R46" s="40"/>
      <c r="S46" s="40"/>
      <c r="T46" s="40"/>
      <c r="U46" s="40"/>
      <c r="V46" s="40"/>
      <c r="W46" s="40"/>
      <c r="X46" s="40"/>
      <c r="Y46" s="40"/>
    </row>
    <row r="47" ht="12.6" customHeight="1" hidden="1" spans="1:25" s="40" customFormat="1" x14ac:dyDescent="0.25">
      <c r="A47" s="99"/>
      <c r="B47" s="50"/>
      <c r="C47" s="88" t="s">
        <v>18</v>
      </c>
      <c r="D47" s="52"/>
      <c r="E47" s="53"/>
      <c r="F47" s="53"/>
      <c r="G47" s="54"/>
      <c r="H47" s="52"/>
      <c r="I47" s="53"/>
      <c r="J47" s="53"/>
      <c r="K47" s="55"/>
      <c r="L47" s="56"/>
      <c r="M47" s="53"/>
      <c r="N47" s="53"/>
      <c r="O47" s="55"/>
      <c r="P47" s="40"/>
      <c r="Q47" s="40"/>
      <c r="R47" s="40"/>
      <c r="S47" s="40"/>
      <c r="T47" s="40"/>
      <c r="U47" s="40"/>
      <c r="V47" s="40"/>
      <c r="W47" s="40"/>
      <c r="X47" s="40"/>
      <c r="Y47" s="40"/>
    </row>
    <row r="48" ht="12.6" customHeight="1" hidden="1" spans="1:25" s="40" customFormat="1" x14ac:dyDescent="0.25">
      <c r="A48" s="49"/>
      <c r="B48" s="64"/>
      <c r="C48" s="65" t="s">
        <v>17</v>
      </c>
      <c r="D48" s="59"/>
      <c r="E48" s="60"/>
      <c r="F48" s="60"/>
      <c r="G48" s="62"/>
      <c r="H48" s="59"/>
      <c r="I48" s="60"/>
      <c r="J48" s="60"/>
      <c r="K48" s="62"/>
      <c r="L48" s="63"/>
      <c r="M48" s="60"/>
      <c r="N48" s="60"/>
      <c r="O48" s="62"/>
      <c r="P48" s="40"/>
      <c r="Q48" s="40"/>
      <c r="R48" s="40"/>
      <c r="S48" s="40"/>
      <c r="T48" s="40"/>
      <c r="U48" s="40"/>
      <c r="V48" s="40"/>
      <c r="W48" s="40"/>
      <c r="X48" s="40"/>
      <c r="Y48" s="40"/>
    </row>
    <row r="49" ht="12.6" customHeight="1" hidden="1" spans="1:25" s="40" customFormat="1" x14ac:dyDescent="0.25">
      <c r="A49" s="99"/>
      <c r="B49" s="50"/>
      <c r="C49" s="88" t="s">
        <v>18</v>
      </c>
      <c r="D49" s="52"/>
      <c r="E49" s="53"/>
      <c r="F49" s="53"/>
      <c r="G49" s="55"/>
      <c r="H49" s="52"/>
      <c r="I49" s="53"/>
      <c r="J49" s="53"/>
      <c r="K49" s="55"/>
      <c r="L49" s="56"/>
      <c r="M49" s="53"/>
      <c r="N49" s="53"/>
      <c r="O49" s="55"/>
      <c r="P49" s="40"/>
      <c r="Q49" s="40"/>
      <c r="R49" s="40"/>
      <c r="S49" s="40"/>
      <c r="T49" s="40"/>
      <c r="U49" s="40"/>
      <c r="V49" s="40"/>
      <c r="W49" s="40"/>
      <c r="X49" s="40"/>
      <c r="Y49" s="40"/>
    </row>
    <row r="50" ht="12.6" customHeight="1" hidden="1" spans="1:25" s="40" customFormat="1" x14ac:dyDescent="0.25">
      <c r="A50" s="49"/>
      <c r="B50" s="64"/>
      <c r="C50" s="65" t="s">
        <v>17</v>
      </c>
      <c r="D50" s="59"/>
      <c r="E50" s="60"/>
      <c r="F50" s="60"/>
      <c r="G50" s="62"/>
      <c r="H50" s="59"/>
      <c r="I50" s="60"/>
      <c r="J50" s="60"/>
      <c r="K50" s="62"/>
      <c r="L50" s="63"/>
      <c r="M50" s="60"/>
      <c r="N50" s="60"/>
      <c r="O50" s="62"/>
      <c r="P50" s="40"/>
      <c r="Q50" s="40"/>
      <c r="R50" s="40"/>
      <c r="S50" s="40"/>
      <c r="T50" s="40"/>
      <c r="U50" s="40"/>
      <c r="V50" s="40"/>
      <c r="W50" s="40"/>
      <c r="X50" s="40"/>
      <c r="Y50" s="40"/>
    </row>
    <row r="51" ht="12.6" customHeight="1" hidden="1" spans="1:25" s="40" customFormat="1" x14ac:dyDescent="0.25">
      <c r="A51" s="99"/>
      <c r="B51" s="50"/>
      <c r="C51" s="88" t="s">
        <v>18</v>
      </c>
      <c r="D51" s="52"/>
      <c r="E51" s="53"/>
      <c r="F51" s="53"/>
      <c r="G51" s="55"/>
      <c r="H51" s="52"/>
      <c r="I51" s="53"/>
      <c r="J51" s="53"/>
      <c r="K51" s="55"/>
      <c r="L51" s="56"/>
      <c r="M51" s="53"/>
      <c r="N51" s="53"/>
      <c r="O51" s="55"/>
      <c r="P51" s="40"/>
      <c r="Q51" s="40"/>
      <c r="R51" s="40"/>
      <c r="S51" s="40"/>
      <c r="T51" s="40"/>
      <c r="U51" s="40"/>
      <c r="V51" s="40"/>
      <c r="W51" s="40"/>
      <c r="X51" s="40"/>
      <c r="Y51" s="40"/>
    </row>
    <row r="52" ht="12.6" customHeight="1" hidden="1" spans="1:25" s="40" customFormat="1" x14ac:dyDescent="0.25">
      <c r="A52" s="49"/>
      <c r="B52" s="64"/>
      <c r="C52" s="65" t="s">
        <v>17</v>
      </c>
      <c r="D52" s="59"/>
      <c r="E52" s="60"/>
      <c r="F52" s="60"/>
      <c r="G52" s="62"/>
      <c r="H52" s="59"/>
      <c r="I52" s="60"/>
      <c r="J52" s="60"/>
      <c r="K52" s="62"/>
      <c r="L52" s="63"/>
      <c r="M52" s="60"/>
      <c r="N52" s="60"/>
      <c r="O52" s="62"/>
      <c r="P52" s="40"/>
      <c r="Q52" s="40"/>
      <c r="R52" s="40"/>
      <c r="S52" s="40"/>
      <c r="T52" s="40"/>
      <c r="U52" s="40"/>
      <c r="V52" s="40"/>
      <c r="W52" s="40"/>
      <c r="X52" s="40"/>
      <c r="Y52" s="40"/>
    </row>
    <row r="53" ht="12.6" customHeight="1" hidden="1" spans="1:25" s="40" customFormat="1" x14ac:dyDescent="0.25">
      <c r="A53" s="99"/>
      <c r="B53" s="50"/>
      <c r="C53" s="88" t="s">
        <v>18</v>
      </c>
      <c r="D53" s="52"/>
      <c r="E53" s="53"/>
      <c r="F53" s="53"/>
      <c r="G53" s="55"/>
      <c r="H53" s="52"/>
      <c r="I53" s="53"/>
      <c r="J53" s="53"/>
      <c r="K53" s="55"/>
      <c r="L53" s="56"/>
      <c r="M53" s="53"/>
      <c r="N53" s="53"/>
      <c r="O53" s="55"/>
      <c r="P53" s="40"/>
      <c r="Q53" s="40"/>
      <c r="R53" s="40"/>
      <c r="S53" s="40"/>
      <c r="T53" s="40"/>
      <c r="U53" s="40"/>
      <c r="V53" s="40"/>
      <c r="W53" s="40"/>
      <c r="X53" s="40"/>
      <c r="Y53" s="40"/>
    </row>
    <row r="54" ht="12.6" customHeight="1" hidden="1" spans="1:25" s="40" customFormat="1" x14ac:dyDescent="0.25">
      <c r="A54" s="49"/>
      <c r="B54" s="64"/>
      <c r="C54" s="76" t="s">
        <v>17</v>
      </c>
      <c r="D54" s="77"/>
      <c r="E54" s="78"/>
      <c r="F54" s="78"/>
      <c r="G54" s="80"/>
      <c r="H54" s="77"/>
      <c r="I54" s="78"/>
      <c r="J54" s="78"/>
      <c r="K54" s="80"/>
      <c r="L54" s="81"/>
      <c r="M54" s="78"/>
      <c r="N54" s="78"/>
      <c r="O54" s="80"/>
      <c r="P54" s="40"/>
      <c r="Q54" s="40"/>
      <c r="R54" s="40"/>
      <c r="S54" s="40"/>
      <c r="T54" s="40"/>
      <c r="U54" s="40"/>
      <c r="V54" s="40"/>
      <c r="W54" s="40"/>
      <c r="X54" s="40"/>
      <c r="Y54" s="40"/>
    </row>
    <row r="55" ht="12.6" customHeight="1" hidden="1" spans="1:25" s="40" customFormat="1" x14ac:dyDescent="0.25">
      <c r="A55" s="99"/>
      <c r="B55" s="50"/>
      <c r="C55" s="88" t="s">
        <v>18</v>
      </c>
      <c r="D55" s="52"/>
      <c r="E55" s="53"/>
      <c r="F55" s="53"/>
      <c r="G55" s="55"/>
      <c r="H55" s="52"/>
      <c r="I55" s="53"/>
      <c r="J55" s="53"/>
      <c r="K55" s="55"/>
      <c r="L55" s="56"/>
      <c r="M55" s="53"/>
      <c r="N55" s="53"/>
      <c r="O55" s="55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12.6" customHeight="1" hidden="1" spans="1:25" s="40" customFormat="1" x14ac:dyDescent="0.25">
      <c r="A56" s="49"/>
      <c r="B56" s="64"/>
      <c r="C56" s="65" t="s">
        <v>17</v>
      </c>
      <c r="D56" s="59"/>
      <c r="E56" s="60"/>
      <c r="F56" s="60"/>
      <c r="G56" s="61"/>
      <c r="H56" s="59"/>
      <c r="I56" s="60"/>
      <c r="J56" s="60"/>
      <c r="K56" s="62"/>
      <c r="L56" s="63"/>
      <c r="M56" s="60"/>
      <c r="N56" s="60"/>
      <c r="O56" s="62"/>
      <c r="P56" s="40"/>
      <c r="Q56" s="40"/>
      <c r="R56" s="40"/>
      <c r="S56" s="40"/>
      <c r="T56" s="40"/>
      <c r="U56" s="40"/>
      <c r="V56" s="40"/>
      <c r="W56" s="40"/>
      <c r="X56" s="40"/>
      <c r="Y56" s="40"/>
    </row>
    <row r="57" ht="12.6" customHeight="1" hidden="1" spans="1:25" s="40" customFormat="1" x14ac:dyDescent="0.25">
      <c r="A57" s="99"/>
      <c r="B57" s="50"/>
      <c r="C57" s="88" t="s">
        <v>18</v>
      </c>
      <c r="D57" s="52"/>
      <c r="E57" s="53"/>
      <c r="F57" s="53"/>
      <c r="G57" s="54"/>
      <c r="H57" s="52"/>
      <c r="I57" s="53"/>
      <c r="J57" s="53"/>
      <c r="K57" s="55"/>
      <c r="L57" s="56"/>
      <c r="M57" s="53"/>
      <c r="N57" s="53"/>
      <c r="O57" s="55"/>
      <c r="P57" s="40"/>
      <c r="Q57" s="40"/>
      <c r="R57" s="40"/>
      <c r="S57" s="40"/>
      <c r="T57" s="40"/>
      <c r="U57" s="40"/>
      <c r="V57" s="40"/>
      <c r="W57" s="40"/>
      <c r="X57" s="40"/>
      <c r="Y57" s="40"/>
    </row>
    <row r="58" ht="12.6" customHeight="1" hidden="1" spans="1:25" s="40" customFormat="1" x14ac:dyDescent="0.25">
      <c r="A58" s="49"/>
      <c r="B58" s="64"/>
      <c r="C58" s="65" t="s">
        <v>17</v>
      </c>
      <c r="D58" s="59"/>
      <c r="E58" s="60"/>
      <c r="F58" s="60"/>
      <c r="G58" s="61"/>
      <c r="H58" s="59"/>
      <c r="I58" s="60"/>
      <c r="J58" s="60"/>
      <c r="K58" s="62"/>
      <c r="L58" s="63"/>
      <c r="M58" s="60"/>
      <c r="N58" s="60"/>
      <c r="O58" s="62"/>
      <c r="P58" s="40"/>
      <c r="Q58" s="40"/>
      <c r="R58" s="40"/>
      <c r="S58" s="40"/>
      <c r="T58" s="40"/>
      <c r="U58" s="40"/>
      <c r="V58" s="40"/>
      <c r="W58" s="40"/>
      <c r="X58" s="40"/>
      <c r="Y58" s="40"/>
    </row>
    <row r="59" ht="12.6" customHeight="1" hidden="1" spans="1:25" s="40" customFormat="1" x14ac:dyDescent="0.25">
      <c r="A59" s="99"/>
      <c r="B59" s="50"/>
      <c r="C59" s="88" t="s">
        <v>18</v>
      </c>
      <c r="D59" s="52"/>
      <c r="E59" s="53"/>
      <c r="F59" s="53"/>
      <c r="G59" s="54"/>
      <c r="H59" s="52"/>
      <c r="I59" s="53"/>
      <c r="J59" s="53"/>
      <c r="K59" s="55"/>
      <c r="L59" s="56"/>
      <c r="M59" s="53"/>
      <c r="N59" s="53"/>
      <c r="O59" s="55"/>
      <c r="P59" s="40"/>
      <c r="Q59" s="40"/>
      <c r="R59" s="40"/>
      <c r="S59" s="40"/>
      <c r="T59" s="40"/>
      <c r="U59" s="40"/>
      <c r="V59" s="40"/>
      <c r="W59" s="40"/>
      <c r="X59" s="40"/>
      <c r="Y59" s="40"/>
    </row>
    <row r="60" ht="12.6" customHeight="1" hidden="1" spans="1:25" s="40" customFormat="1" x14ac:dyDescent="0.25">
      <c r="A60" s="49"/>
      <c r="B60" s="64"/>
      <c r="C60" s="65" t="s">
        <v>17</v>
      </c>
      <c r="D60" s="59"/>
      <c r="E60" s="60"/>
      <c r="F60" s="60"/>
      <c r="G60" s="61"/>
      <c r="H60" s="59"/>
      <c r="I60" s="60"/>
      <c r="J60" s="60"/>
      <c r="K60" s="62"/>
      <c r="L60" s="63"/>
      <c r="M60" s="60"/>
      <c r="N60" s="60"/>
      <c r="O60" s="62"/>
      <c r="P60" s="40"/>
      <c r="Q60" s="40"/>
      <c r="R60" s="40"/>
      <c r="S60" s="40"/>
      <c r="T60" s="40"/>
      <c r="U60" s="40"/>
      <c r="V60" s="40"/>
      <c r="W60" s="40"/>
      <c r="X60" s="40"/>
      <c r="Y60" s="40"/>
    </row>
    <row r="61" ht="12.6" customHeight="1" hidden="1" spans="1:25" s="40" customFormat="1" x14ac:dyDescent="0.25">
      <c r="A61" s="99"/>
      <c r="B61" s="50"/>
      <c r="C61" s="88" t="s">
        <v>18</v>
      </c>
      <c r="D61" s="52"/>
      <c r="E61" s="53"/>
      <c r="F61" s="53"/>
      <c r="G61" s="54"/>
      <c r="H61" s="52"/>
      <c r="I61" s="53"/>
      <c r="J61" s="53"/>
      <c r="K61" s="55"/>
      <c r="L61" s="56"/>
      <c r="M61" s="53"/>
      <c r="N61" s="53"/>
      <c r="O61" s="55"/>
      <c r="P61" s="40"/>
      <c r="Q61" s="40"/>
      <c r="R61" s="40"/>
      <c r="S61" s="40"/>
      <c r="T61" s="40"/>
      <c r="U61" s="40"/>
      <c r="V61" s="40"/>
      <c r="W61" s="40"/>
      <c r="X61" s="40"/>
      <c r="Y61" s="40"/>
    </row>
    <row r="62" ht="12.6" customHeight="1" hidden="1" spans="1:25" s="40" customFormat="1" x14ac:dyDescent="0.25">
      <c r="A62" s="49"/>
      <c r="B62" s="64"/>
      <c r="C62" s="65" t="s">
        <v>17</v>
      </c>
      <c r="D62" s="59"/>
      <c r="E62" s="60"/>
      <c r="F62" s="60"/>
      <c r="G62" s="62"/>
      <c r="H62" s="59"/>
      <c r="I62" s="60"/>
      <c r="J62" s="60"/>
      <c r="K62" s="62"/>
      <c r="L62" s="63"/>
      <c r="M62" s="60"/>
      <c r="N62" s="60"/>
      <c r="O62" s="62"/>
      <c r="P62" s="40"/>
      <c r="Q62" s="40"/>
      <c r="R62" s="40"/>
      <c r="S62" s="40"/>
      <c r="T62" s="40"/>
      <c r="U62" s="40"/>
      <c r="V62" s="40"/>
      <c r="W62" s="40"/>
      <c r="X62" s="40"/>
      <c r="Y62" s="40"/>
    </row>
    <row r="63" ht="12.6" customHeight="1" hidden="1" spans="1:25" s="40" customFormat="1" x14ac:dyDescent="0.25">
      <c r="A63" s="99"/>
      <c r="B63" s="50"/>
      <c r="C63" s="88" t="s">
        <v>18</v>
      </c>
      <c r="D63" s="52"/>
      <c r="E63" s="53"/>
      <c r="F63" s="53"/>
      <c r="G63" s="55"/>
      <c r="H63" s="52"/>
      <c r="I63" s="53"/>
      <c r="J63" s="53"/>
      <c r="K63" s="55"/>
      <c r="L63" s="56"/>
      <c r="M63" s="53"/>
      <c r="N63" s="53"/>
      <c r="O63" s="55"/>
      <c r="P63" s="40"/>
      <c r="Q63" s="40"/>
      <c r="R63" s="40"/>
      <c r="S63" s="40"/>
      <c r="T63" s="40"/>
      <c r="U63" s="40"/>
      <c r="V63" s="40"/>
      <c r="W63" s="40"/>
      <c r="X63" s="40"/>
      <c r="Y63" s="40"/>
    </row>
    <row r="64" ht="12.6" customHeight="1" hidden="1" spans="1:25" s="40" customFormat="1" x14ac:dyDescent="0.25">
      <c r="A64" s="49"/>
      <c r="B64" s="64"/>
      <c r="C64" s="65" t="s">
        <v>17</v>
      </c>
      <c r="D64" s="59"/>
      <c r="E64" s="60"/>
      <c r="F64" s="60"/>
      <c r="G64" s="62"/>
      <c r="H64" s="59"/>
      <c r="I64" s="60"/>
      <c r="J64" s="60"/>
      <c r="K64" s="62"/>
      <c r="L64" s="63"/>
      <c r="M64" s="60"/>
      <c r="N64" s="60"/>
      <c r="O64" s="62"/>
      <c r="P64" s="40"/>
      <c r="Q64" s="40"/>
      <c r="R64" s="40"/>
      <c r="S64" s="40"/>
      <c r="T64" s="40"/>
      <c r="U64" s="40"/>
      <c r="V64" s="40"/>
      <c r="W64" s="40"/>
      <c r="X64" s="40"/>
      <c r="Y64" s="40"/>
    </row>
    <row r="65" ht="12.6" customHeight="1" hidden="1" spans="1:25" s="40" customFormat="1" x14ac:dyDescent="0.25">
      <c r="A65" s="99"/>
      <c r="B65" s="50"/>
      <c r="C65" s="88" t="s">
        <v>18</v>
      </c>
      <c r="D65" s="52"/>
      <c r="E65" s="53"/>
      <c r="F65" s="53"/>
      <c r="G65" s="55"/>
      <c r="H65" s="52"/>
      <c r="I65" s="53"/>
      <c r="J65" s="53"/>
      <c r="K65" s="55"/>
      <c r="L65" s="56"/>
      <c r="M65" s="53"/>
      <c r="N65" s="53"/>
      <c r="O65" s="55"/>
      <c r="P65" s="40"/>
      <c r="Q65" s="40"/>
      <c r="R65" s="40"/>
      <c r="S65" s="40"/>
      <c r="T65" s="40"/>
      <c r="U65" s="40"/>
      <c r="V65" s="40"/>
      <c r="W65" s="40"/>
      <c r="X65" s="40"/>
      <c r="Y65" s="40"/>
    </row>
    <row r="66" ht="12.6" customHeight="1" hidden="1" spans="1:25" s="40" customFormat="1" x14ac:dyDescent="0.25">
      <c r="A66" s="49"/>
      <c r="B66" s="64"/>
      <c r="C66" s="65" t="s">
        <v>17</v>
      </c>
      <c r="D66" s="59"/>
      <c r="E66" s="60"/>
      <c r="F66" s="60"/>
      <c r="G66" s="62"/>
      <c r="H66" s="59"/>
      <c r="I66" s="60"/>
      <c r="J66" s="60"/>
      <c r="K66" s="62"/>
      <c r="L66" s="63"/>
      <c r="M66" s="60"/>
      <c r="N66" s="60"/>
      <c r="O66" s="62"/>
      <c r="P66" s="40"/>
      <c r="Q66" s="40"/>
      <c r="R66" s="40"/>
      <c r="S66" s="40"/>
      <c r="T66" s="40"/>
      <c r="U66" s="40"/>
      <c r="V66" s="40"/>
      <c r="W66" s="40"/>
      <c r="X66" s="40"/>
      <c r="Y66" s="40"/>
    </row>
    <row r="67" ht="12.6" customHeight="1" hidden="1" spans="1:25" s="40" customFormat="1" x14ac:dyDescent="0.25">
      <c r="A67" s="99"/>
      <c r="B67" s="50"/>
      <c r="C67" s="88" t="s">
        <v>18</v>
      </c>
      <c r="D67" s="52"/>
      <c r="E67" s="53"/>
      <c r="F67" s="53"/>
      <c r="G67" s="55"/>
      <c r="H67" s="52"/>
      <c r="I67" s="53"/>
      <c r="J67" s="53"/>
      <c r="K67" s="55"/>
      <c r="L67" s="56"/>
      <c r="M67" s="53"/>
      <c r="N67" s="53"/>
      <c r="O67" s="55"/>
      <c r="P67" s="40"/>
      <c r="Q67" s="40"/>
      <c r="R67" s="40"/>
      <c r="S67" s="40"/>
      <c r="T67" s="40"/>
      <c r="U67" s="40"/>
      <c r="V67" s="40"/>
      <c r="W67" s="40"/>
      <c r="X67" s="40"/>
      <c r="Y67" s="40"/>
    </row>
    <row r="68" ht="12.6" customHeight="1" hidden="1" spans="1:25" s="40" customFormat="1" x14ac:dyDescent="0.25">
      <c r="A68" s="49"/>
      <c r="B68" s="64"/>
      <c r="C68" s="76" t="s">
        <v>17</v>
      </c>
      <c r="D68" s="77"/>
      <c r="E68" s="78"/>
      <c r="F68" s="78"/>
      <c r="G68" s="80"/>
      <c r="H68" s="77"/>
      <c r="I68" s="78"/>
      <c r="J68" s="78"/>
      <c r="K68" s="80"/>
      <c r="L68" s="81"/>
      <c r="M68" s="78"/>
      <c r="N68" s="78"/>
      <c r="O68" s="80"/>
      <c r="P68" s="40"/>
      <c r="Q68" s="40"/>
      <c r="R68" s="40"/>
      <c r="S68" s="40"/>
      <c r="T68" s="40"/>
      <c r="U68" s="40"/>
      <c r="V68" s="40"/>
      <c r="W68" s="40"/>
      <c r="X68" s="40"/>
      <c r="Y68" s="40"/>
    </row>
    <row r="69" ht="12.6" customHeight="1" hidden="1" spans="1:25" s="40" customFormat="1" x14ac:dyDescent="0.25">
      <c r="A69" s="99"/>
      <c r="B69" s="50"/>
      <c r="C69" s="88" t="s">
        <v>18</v>
      </c>
      <c r="D69" s="52"/>
      <c r="E69" s="53"/>
      <c r="F69" s="53"/>
      <c r="G69" s="55"/>
      <c r="H69" s="52"/>
      <c r="I69" s="53"/>
      <c r="J69" s="53"/>
      <c r="K69" s="55"/>
      <c r="L69" s="56"/>
      <c r="M69" s="53"/>
      <c r="N69" s="53"/>
      <c r="O69" s="55"/>
      <c r="P69" s="40"/>
      <c r="Q69" s="40"/>
      <c r="R69" s="40"/>
      <c r="S69" s="40"/>
      <c r="T69" s="40"/>
      <c r="U69" s="40"/>
      <c r="V69" s="40"/>
      <c r="W69" s="40"/>
      <c r="X69" s="40"/>
      <c r="Y69" s="40"/>
    </row>
    <row r="70" ht="12.6" customHeight="1" hidden="1" spans="1:25" s="40" customFormat="1" x14ac:dyDescent="0.25">
      <c r="A70" s="49"/>
      <c r="B70" s="64"/>
      <c r="C70" s="65" t="s">
        <v>17</v>
      </c>
      <c r="D70" s="59"/>
      <c r="E70" s="60"/>
      <c r="F70" s="60"/>
      <c r="G70" s="61"/>
      <c r="H70" s="59"/>
      <c r="I70" s="60"/>
      <c r="J70" s="60"/>
      <c r="K70" s="62"/>
      <c r="L70" s="63"/>
      <c r="M70" s="60"/>
      <c r="N70" s="60"/>
      <c r="O70" s="62"/>
      <c r="P70" s="40"/>
      <c r="Q70" s="40"/>
      <c r="R70" s="40"/>
      <c r="S70" s="40"/>
      <c r="T70" s="40"/>
      <c r="U70" s="40"/>
      <c r="V70" s="40"/>
      <c r="W70" s="40"/>
      <c r="X70" s="40"/>
      <c r="Y70" s="40"/>
    </row>
    <row r="71" ht="12.6" customHeight="1" hidden="1" spans="1:25" s="40" customFormat="1" x14ac:dyDescent="0.25">
      <c r="A71" s="99"/>
      <c r="B71" s="50"/>
      <c r="C71" s="88" t="s">
        <v>18</v>
      </c>
      <c r="D71" s="52"/>
      <c r="E71" s="53"/>
      <c r="F71" s="53"/>
      <c r="G71" s="54"/>
      <c r="H71" s="52"/>
      <c r="I71" s="53"/>
      <c r="J71" s="53"/>
      <c r="K71" s="55"/>
      <c r="L71" s="56"/>
      <c r="M71" s="53"/>
      <c r="N71" s="53"/>
      <c r="O71" s="55"/>
      <c r="P71" s="40"/>
      <c r="Q71" s="40"/>
      <c r="R71" s="40"/>
      <c r="S71" s="40"/>
      <c r="T71" s="40"/>
      <c r="U71" s="40"/>
      <c r="V71" s="40"/>
      <c r="W71" s="40"/>
      <c r="X71" s="40"/>
      <c r="Y71" s="40"/>
    </row>
    <row r="72" ht="12.6" customHeight="1" hidden="1" spans="1:25" s="40" customFormat="1" x14ac:dyDescent="0.25">
      <c r="A72" s="49"/>
      <c r="B72" s="64"/>
      <c r="C72" s="65" t="s">
        <v>17</v>
      </c>
      <c r="D72" s="59"/>
      <c r="E72" s="60"/>
      <c r="F72" s="60"/>
      <c r="G72" s="61"/>
      <c r="H72" s="59"/>
      <c r="I72" s="60"/>
      <c r="J72" s="60"/>
      <c r="K72" s="62"/>
      <c r="L72" s="63"/>
      <c r="M72" s="60"/>
      <c r="N72" s="60"/>
      <c r="O72" s="62"/>
      <c r="P72" s="40"/>
      <c r="Q72" s="40"/>
      <c r="R72" s="40"/>
      <c r="S72" s="40"/>
      <c r="T72" s="40"/>
      <c r="U72" s="40"/>
      <c r="V72" s="40"/>
      <c r="W72" s="40"/>
      <c r="X72" s="40"/>
      <c r="Y72" s="40"/>
    </row>
    <row r="73" ht="12.6" customHeight="1" hidden="1" spans="1:25" s="40" customFormat="1" x14ac:dyDescent="0.25">
      <c r="A73" s="99"/>
      <c r="B73" s="50"/>
      <c r="C73" s="100" t="s">
        <v>18</v>
      </c>
      <c r="D73" s="101"/>
      <c r="E73" s="32"/>
      <c r="F73" s="32"/>
      <c r="G73" s="102"/>
      <c r="H73" s="101"/>
      <c r="I73" s="32"/>
      <c r="J73" s="32"/>
      <c r="K73" s="103"/>
      <c r="L73" s="104"/>
      <c r="M73" s="32"/>
      <c r="N73" s="32"/>
      <c r="O73" s="103"/>
      <c r="P73" s="40"/>
      <c r="Q73" s="40"/>
      <c r="R73" s="40"/>
      <c r="S73" s="40"/>
      <c r="T73" s="40"/>
      <c r="U73" s="40"/>
      <c r="V73" s="40"/>
      <c r="W73" s="40"/>
      <c r="X73" s="40"/>
      <c r="Y73" s="40"/>
    </row>
    <row r="74" ht="15.95" customHeight="1" spans="1:25" s="40" customFormat="1" x14ac:dyDescent="0.25">
      <c r="A74" s="105" t="s">
        <v>19</v>
      </c>
      <c r="B74" s="106"/>
      <c r="C74" s="107"/>
      <c r="D74" s="108">
        <f>SUM(D38,D36,D34,D32,D30,D28,D26,D24,D22,D20,D18,D16,D14,D12,D10)</f>
        <v>40</v>
      </c>
      <c r="E74" s="109">
        <f t="shared" ref="E74:O74" si="0">SUM(E10,E12,E14,E16,E20,E22,E24,E28,E30,E34,E38,E40,E42,E44,E18,E36,E46,E48,E50,E52,E54,E56,E58,E60,E62,E64,E66,E68,E70,E72)</f>
        <v>0</v>
      </c>
      <c r="F74" s="109">
        <f>SUM(F38,F36,F34,F32,F30,F28,F26,F24,F22,F20,F18,F16,F14,F12,F10)</f>
        <v>110</v>
      </c>
      <c r="G74" s="110">
        <f t="shared" si="0"/>
        <v>0</v>
      </c>
      <c r="H74" s="108">
        <f>SUM(H38,H36,H34,H32,H30,H28,H26,H24,H22,H20,H18,H16,H14,H12,H10)</f>
        <v>47</v>
      </c>
      <c r="I74" s="109">
        <f t="shared" si="0"/>
        <v>0</v>
      </c>
      <c r="J74" s="109">
        <f>SUM(J38,J36,J34,J32,J30,J28,J26,J24,J22,J20,J18,J16,J14,J12,J10)</f>
        <v>169</v>
      </c>
      <c r="K74" s="111">
        <f t="shared" si="0"/>
        <v>0</v>
      </c>
      <c r="L74" s="112">
        <f t="shared" si="0"/>
        <v>2</v>
      </c>
      <c r="M74" s="109">
        <f t="shared" si="0"/>
        <v>0</v>
      </c>
      <c r="N74" s="109">
        <f t="shared" si="0"/>
        <v>0</v>
      </c>
      <c r="O74" s="111">
        <f t="shared" si="0"/>
        <v>0</v>
      </c>
      <c r="P74" s="40"/>
      <c r="Q74" s="40"/>
      <c r="R74" s="40"/>
      <c r="S74" s="40"/>
      <c r="T74" s="40"/>
      <c r="U74" s="40"/>
      <c r="V74" s="40"/>
      <c r="W74" s="40"/>
      <c r="X74" s="40"/>
      <c r="Y74" s="40"/>
    </row>
    <row r="75" ht="15.95" customHeight="1" spans="1:25" s="40" customFormat="1" x14ac:dyDescent="0.25">
      <c r="A75" s="113"/>
      <c r="B75" s="114"/>
      <c r="C75" s="115"/>
      <c r="D75" s="116">
        <f>SUM(D39,D37,D35,D33,D31,D29,D27,D25,D23,D21,D19,D17,D15,D13,D11)</f>
        <v>20</v>
      </c>
      <c r="E75" s="117">
        <f>SUM(E11,E13,E15,E17,E21,E23,E27,E29,E31,E35,E39,E41,E43,E45,E19,E37,E47,E49,E51,E53,E55,E57,E59,E61,E63,E65,E67,E69,E71,E73)</f>
        <v>0</v>
      </c>
      <c r="F75" s="117">
        <f>SUM(F39,F37,F35,F33,F31,F29,F27,F25,F23,F21,F19,F17,F15,F13,F11)</f>
        <v>0</v>
      </c>
      <c r="G75" s="118">
        <f>SUM(G11,G13,G15,G17,G21,G23,G27,G29,G31,G35,G39,G41,G43,G45,G19,G37,G47,G49,G51,G53,G55,G57,G59,G61,G63,G65,G67,G69,G71,G73)</f>
        <v>0</v>
      </c>
      <c r="H75" s="116">
        <f>SUM(H39,H37,H35,H33,H31,H29,H27,H25,H23,H21,H19,H17,H15,H13,H11)</f>
        <v>0</v>
      </c>
      <c r="I75" s="117">
        <f>SUM(I11,I13,I15,I17,I21,I23,I27,I29,I31,I35,I39,I41,I43,I45,I19,I37,I47,I49,I51,I53,I55,I57,I59,I61,I63,I65,I67,I69,I71,I73)</f>
        <v>0</v>
      </c>
      <c r="J75" s="117">
        <f>SUM(J39,J37,J35,J33,J31,J29,J27,J25,J23,J21,J19,J17,J15,J13,J11)</f>
        <v>0</v>
      </c>
      <c r="K75" s="119">
        <f>SUM(K11,K13,K15,K17,K21,K23,K27,K29,K31,K35,K39,K41,K43,K45,K19,K37,K47,K49,K51,K53,K55,K57,K59,K61,K63,K65,K67,K69,K71,K73)</f>
        <v>0</v>
      </c>
      <c r="L75" s="120">
        <f>SUM(L11,L13,L15,L17,L21,L23,L27,L29,L31,L35,L39,L41,L43,L45,L19,L37,L47,L49,L51,L53,L55,L57,L59,L61,L63,L65,L67,L69,L71,L73)</f>
        <v>0</v>
      </c>
      <c r="M75" s="117">
        <f>SUM(M11,M13,M15,M17,M21,M23,M27,M29,M31,M35,M39,M41,M43,M45,M19,M37,M47,M49,M51,M53,M55,M57,M59,M61,M63,M65,M67,M69,M71,M73)</f>
        <v>0</v>
      </c>
      <c r="N75" s="117">
        <f>SUM(N11,N13,N15,N17,N21,N23,N27,N29,N31,N35,N39,N41,N43,N45,N19,N37,N47,N49,N51,N53,N55,N57,N59,N61,N63,N65,N67,N69,N71,N73)</f>
        <v>0</v>
      </c>
      <c r="O75" s="119">
        <f>SUM(O11,O13,O15,O17,O21,O23,O27,O29,O31,O35,O39,O41,O43,O45,O19,O37,O47,O49,O51,O53,O55,O57,O59,O61,O63,O65,O67,O69,O71,O73)</f>
        <v>0</v>
      </c>
      <c r="P75" s="40"/>
      <c r="Q75" s="40"/>
      <c r="R75" s="40"/>
      <c r="S75" s="40"/>
      <c r="T75" s="40"/>
      <c r="U75" s="40"/>
      <c r="V75" s="40"/>
      <c r="W75" s="40"/>
      <c r="X75" s="40"/>
      <c r="Y75" s="40"/>
    </row>
    <row r="76" ht="9.75" customHeight="1" spans="1:25" x14ac:dyDescent="0.25">
      <c r="A76" s="121"/>
      <c r="B76" s="121"/>
      <c r="C76" s="122"/>
      <c r="D76" s="123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124" t="s">
        <v>20</v>
      </c>
      <c r="B77" s="125"/>
      <c r="C77" s="125"/>
      <c r="D77" s="125"/>
      <c r="E77" s="125"/>
      <c r="F77" s="125"/>
      <c r="G77" s="126"/>
      <c r="H77" s="127" t="s">
        <v>21</v>
      </c>
      <c r="I77" s="128"/>
      <c r="J77" s="128"/>
      <c r="K77" s="128"/>
      <c r="L77" s="128"/>
      <c r="M77" s="128"/>
      <c r="N77" s="128"/>
      <c r="O77" s="129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3.5" customHeight="1" spans="1:25" x14ac:dyDescent="0.25">
      <c r="A78" s="130"/>
      <c r="B78" s="131"/>
      <c r="C78" s="131"/>
      <c r="D78" s="131"/>
      <c r="E78" s="131"/>
      <c r="F78" s="131"/>
      <c r="G78" s="132"/>
      <c r="H78" s="130"/>
      <c r="I78" s="131"/>
      <c r="J78" s="131"/>
      <c r="K78" s="131"/>
      <c r="L78" s="131"/>
      <c r="M78" s="131"/>
      <c r="N78" s="131"/>
      <c r="O78" s="132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3.5" customHeight="1" spans="1:25" x14ac:dyDescent="0.25">
      <c r="A79" s="133"/>
      <c r="B79" s="134"/>
      <c r="C79" s="134"/>
      <c r="D79" s="134"/>
      <c r="E79" s="134"/>
      <c r="F79" s="134"/>
      <c r="G79" s="135"/>
      <c r="H79" s="133"/>
      <c r="I79" s="134"/>
      <c r="J79" s="134"/>
      <c r="K79" s="134"/>
      <c r="L79" s="134"/>
      <c r="M79" s="134"/>
      <c r="N79" s="134"/>
      <c r="O79" s="135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3.5" customHeight="1" spans="1:25" x14ac:dyDescent="0.25">
      <c r="A80" s="136"/>
      <c r="B80" s="137"/>
      <c r="C80" s="137"/>
      <c r="D80" s="137"/>
      <c r="E80" s="137"/>
      <c r="F80" s="137"/>
      <c r="G80" s="138"/>
      <c r="H80" s="136"/>
      <c r="I80" s="137"/>
      <c r="J80" s="137"/>
      <c r="K80" s="137"/>
      <c r="L80" s="137"/>
      <c r="M80" s="137"/>
      <c r="N80" s="137"/>
      <c r="O80" s="138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3.5" customHeight="1" spans="1:25" x14ac:dyDescent="0.25">
      <c r="A81" s="136"/>
      <c r="B81" s="137"/>
      <c r="C81" s="137"/>
      <c r="D81" s="137"/>
      <c r="E81" s="137"/>
      <c r="F81" s="137"/>
      <c r="G81" s="138"/>
      <c r="H81" s="139"/>
      <c r="I81" s="140"/>
      <c r="J81" s="140"/>
      <c r="K81" s="140"/>
      <c r="L81" s="140"/>
      <c r="M81" s="140"/>
      <c r="N81" s="140"/>
      <c r="O81" s="14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3.5" customHeight="1" spans="1:25" x14ac:dyDescent="0.25">
      <c r="A82" s="136"/>
      <c r="B82" s="137"/>
      <c r="C82" s="137"/>
      <c r="D82" s="137"/>
      <c r="E82" s="137"/>
      <c r="F82" s="137"/>
      <c r="G82" s="138"/>
      <c r="H82" s="136"/>
      <c r="I82" s="137"/>
      <c r="J82" s="137"/>
      <c r="K82" s="137"/>
      <c r="L82" s="137"/>
      <c r="M82" s="137"/>
      <c r="N82" s="137"/>
      <c r="O82" s="138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3.5" customHeight="1" spans="1:25" x14ac:dyDescent="0.25">
      <c r="A83" s="142"/>
      <c r="B83" s="143"/>
      <c r="C83" s="143"/>
      <c r="D83" s="143"/>
      <c r="E83" s="143"/>
      <c r="F83" s="143"/>
      <c r="G83" s="144"/>
      <c r="H83" s="142"/>
      <c r="I83" s="143"/>
      <c r="J83" s="143"/>
      <c r="K83" s="143"/>
      <c r="L83" s="143"/>
      <c r="M83" s="143"/>
      <c r="N83" s="143"/>
      <c r="O83" s="144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7.1" customHeight="1" spans="1:2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7.1" customHeight="1" spans="1:25" x14ac:dyDescent="0.25">
      <c r="A85" s="1"/>
      <c r="B85" s="1"/>
      <c r="C85" s="1"/>
      <c r="D85" s="2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7.1" customHeight="1" spans="1:25" x14ac:dyDescent="0.25">
      <c r="A86" s="145"/>
      <c r="B86" s="145"/>
      <c r="C86" s="145"/>
      <c r="D86" s="146"/>
      <c r="E86" s="1"/>
      <c r="F86" s="1"/>
      <c r="G86" s="1"/>
      <c r="H86" s="1"/>
      <c r="I86" s="1"/>
      <c r="J86" s="145"/>
      <c r="K86" s="145"/>
      <c r="L86" s="145"/>
      <c r="M86" s="145"/>
      <c r="N86" s="145"/>
      <c r="O86" s="145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9.5" customHeight="1" spans="1:25" x14ac:dyDescent="0.25">
      <c r="A87" s="147" t="s">
        <v>22</v>
      </c>
      <c r="B87" s="147"/>
      <c r="C87" s="147"/>
      <c r="D87" s="147"/>
      <c r="E87" s="148"/>
      <c r="F87" s="148"/>
      <c r="G87" s="148"/>
      <c r="H87" s="148"/>
      <c r="I87" s="1"/>
      <c r="J87" s="1"/>
      <c r="K87" s="147" t="s">
        <v>23</v>
      </c>
      <c r="L87" s="147"/>
      <c r="M87" s="147"/>
      <c r="N87" s="147"/>
      <c r="O87" s="147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x14ac:dyDescent="0.25">
      <c r="A88" s="1"/>
      <c r="B88" s="1"/>
      <c r="C88" s="1"/>
      <c r="D88" s="2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x14ac:dyDescent="0.25">
      <c r="A89" s="1"/>
      <c r="B89" s="1"/>
      <c r="C89" s="1"/>
      <c r="D89" s="2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x14ac:dyDescent="0.25">
      <c r="A90" s="1"/>
      <c r="B90" s="1"/>
      <c r="C90" s="1"/>
      <c r="D90" s="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x14ac:dyDescent="0.25">
      <c r="A91" s="1"/>
      <c r="B91" s="1"/>
      <c r="C91" s="1"/>
      <c r="D91" s="2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x14ac:dyDescent="0.25">
      <c r="A92" s="1"/>
      <c r="B92" s="1"/>
      <c r="C92" s="1"/>
      <c r="D92" s="2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</sheetData>
  <mergeCells count="29">
    <mergeCell ref="A1:O1"/>
    <mergeCell ref="B2:M2"/>
    <mergeCell ref="G4:I4"/>
    <mergeCell ref="L4:O4"/>
    <mergeCell ref="G6:I6"/>
    <mergeCell ref="L6:O6"/>
    <mergeCell ref="D8:G8"/>
    <mergeCell ref="H8:K8"/>
    <mergeCell ref="L8:O8"/>
    <mergeCell ref="A8:A9"/>
    <mergeCell ref="B8:B9"/>
    <mergeCell ref="C8:C9"/>
    <mergeCell ref="A74:C75"/>
    <mergeCell ref="A77:G77"/>
    <mergeCell ref="H77:O77"/>
    <mergeCell ref="A78:G78"/>
    <mergeCell ref="H78:O78"/>
    <mergeCell ref="A79:G79"/>
    <mergeCell ref="H79:O79"/>
    <mergeCell ref="A80:G80"/>
    <mergeCell ref="H80:O80"/>
    <mergeCell ref="A81:G81"/>
    <mergeCell ref="H81:O81"/>
    <mergeCell ref="A82:G82"/>
    <mergeCell ref="H82:O82"/>
    <mergeCell ref="A83:G83"/>
    <mergeCell ref="H83:O83"/>
    <mergeCell ref="A87:D87"/>
    <mergeCell ref="K87:O87"/>
  </mergeCells>
  <printOptions horizontalCentered="1" verticalCentered="1"/>
  <pageMargins left="0.3937007874015748" right="0.3937007874015748" top="0.3937007874015748" bottom="0.3937007874015748" header="0.31496062992125984" footer="0.31496062992125984"/>
  <pageSetup paperSize="9" orientation="portrait" horizontalDpi="4294967295" verticalDpi="4294967295" scale="96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0.499984740745262"/>
  </sheetPr>
  <dimension ref="A1:AK68"/>
  <sheetViews>
    <sheetView workbookViewId="0" zoomScale="100" zoomScaleNormal="100">
      <selection activeCell="A4" sqref="A4"/>
    </sheetView>
  </sheetViews>
  <sheetFormatPr defaultRowHeight="16.5" outlineLevelRow="0" outlineLevelCol="0" x14ac:dyDescent="0" customHeight="1"/>
  <cols>
    <col min="1" max="2" width="2.5" style="9" customWidth="1"/>
    <col min="3" max="3" width="2.375" style="9" customWidth="1"/>
    <col min="4" max="7" width="2.125" style="9" customWidth="1"/>
    <col min="8" max="23" width="2.5" style="9" customWidth="1"/>
    <col min="24" max="26" width="2" style="9" customWidth="1"/>
    <col min="27" max="32" width="2.5" style="9" customWidth="1"/>
    <col min="33" max="33" width="1.625" style="9" customWidth="1"/>
    <col min="34" max="35" width="2.625" style="9" customWidth="1"/>
    <col min="36" max="36" width="5.125" style="9" customWidth="1"/>
    <col min="37" max="256" width="9" style="9" customWidth="1"/>
    <col min="257" max="258" width="2.5" style="9" customWidth="1"/>
    <col min="259" max="259" width="2.375" style="9" customWidth="1"/>
    <col min="260" max="288" width="2.5" style="9" customWidth="1"/>
    <col min="289" max="289" width="1.625" style="9" customWidth="1"/>
    <col min="290" max="291" width="2.625" style="9" customWidth="1"/>
    <col min="292" max="292" width="3.875" style="9" customWidth="1"/>
    <col min="293" max="512" width="9" style="9" customWidth="1"/>
    <col min="513" max="514" width="2.5" style="9" customWidth="1"/>
    <col min="515" max="515" width="2.375" style="9" customWidth="1"/>
    <col min="516" max="544" width="2.5" style="9" customWidth="1"/>
    <col min="545" max="545" width="1.625" style="9" customWidth="1"/>
    <col min="546" max="547" width="2.625" style="9" customWidth="1"/>
    <col min="548" max="548" width="3.875" style="9" customWidth="1"/>
    <col min="549" max="768" width="9" style="9" customWidth="1"/>
    <col min="769" max="770" width="2.5" style="9" customWidth="1"/>
    <col min="771" max="771" width="2.375" style="9" customWidth="1"/>
    <col min="772" max="800" width="2.5" style="9" customWidth="1"/>
    <col min="801" max="801" width="1.625" style="9" customWidth="1"/>
    <col min="802" max="803" width="2.625" style="9" customWidth="1"/>
    <col min="804" max="804" width="3.875" style="9" customWidth="1"/>
    <col min="805" max="1024" width="9" style="9" customWidth="1"/>
    <col min="1025" max="1026" width="2.5" style="9" customWidth="1"/>
    <col min="1027" max="1027" width="2.375" style="9" customWidth="1"/>
    <col min="1028" max="1056" width="2.5" style="9" customWidth="1"/>
    <col min="1057" max="1057" width="1.625" style="9" customWidth="1"/>
    <col min="1058" max="1059" width="2.625" style="9" customWidth="1"/>
    <col min="1060" max="1060" width="3.875" style="9" customWidth="1"/>
    <col min="1061" max="1280" width="9" style="9" customWidth="1"/>
    <col min="1281" max="1282" width="2.5" style="9" customWidth="1"/>
    <col min="1283" max="1283" width="2.375" style="9" customWidth="1"/>
    <col min="1284" max="1312" width="2.5" style="9" customWidth="1"/>
    <col min="1313" max="1313" width="1.625" style="9" customWidth="1"/>
    <col min="1314" max="1315" width="2.625" style="9" customWidth="1"/>
    <col min="1316" max="1316" width="3.875" style="9" customWidth="1"/>
    <col min="1317" max="1536" width="9" style="9" customWidth="1"/>
    <col min="1537" max="1538" width="2.5" style="9" customWidth="1"/>
    <col min="1539" max="1539" width="2.375" style="9" customWidth="1"/>
    <col min="1540" max="1568" width="2.5" style="9" customWidth="1"/>
    <col min="1569" max="1569" width="1.625" style="9" customWidth="1"/>
    <col min="1570" max="1571" width="2.625" style="9" customWidth="1"/>
    <col min="1572" max="1572" width="3.875" style="9" customWidth="1"/>
    <col min="1573" max="1792" width="9" style="9" customWidth="1"/>
    <col min="1793" max="1794" width="2.5" style="9" customWidth="1"/>
    <col min="1795" max="1795" width="2.375" style="9" customWidth="1"/>
    <col min="1796" max="1824" width="2.5" style="9" customWidth="1"/>
    <col min="1825" max="1825" width="1.625" style="9" customWidth="1"/>
    <col min="1826" max="1827" width="2.625" style="9" customWidth="1"/>
    <col min="1828" max="1828" width="3.875" style="9" customWidth="1"/>
    <col min="1829" max="2048" width="9" style="9" customWidth="1"/>
    <col min="2049" max="2050" width="2.5" style="9" customWidth="1"/>
    <col min="2051" max="2051" width="2.375" style="9" customWidth="1"/>
    <col min="2052" max="2080" width="2.5" style="9" customWidth="1"/>
    <col min="2081" max="2081" width="1.625" style="9" customWidth="1"/>
    <col min="2082" max="2083" width="2.625" style="9" customWidth="1"/>
    <col min="2084" max="2084" width="3.875" style="9" customWidth="1"/>
    <col min="2085" max="2304" width="9" style="9" customWidth="1"/>
    <col min="2305" max="2306" width="2.5" style="9" customWidth="1"/>
    <col min="2307" max="2307" width="2.375" style="9" customWidth="1"/>
    <col min="2308" max="2336" width="2.5" style="9" customWidth="1"/>
    <col min="2337" max="2337" width="1.625" style="9" customWidth="1"/>
    <col min="2338" max="2339" width="2.625" style="9" customWidth="1"/>
    <col min="2340" max="2340" width="3.875" style="9" customWidth="1"/>
    <col min="2341" max="2560" width="9" style="9" customWidth="1"/>
    <col min="2561" max="2562" width="2.5" style="9" customWidth="1"/>
    <col min="2563" max="2563" width="2.375" style="9" customWidth="1"/>
    <col min="2564" max="2592" width="2.5" style="9" customWidth="1"/>
    <col min="2593" max="2593" width="1.625" style="9" customWidth="1"/>
    <col min="2594" max="2595" width="2.625" style="9" customWidth="1"/>
    <col min="2596" max="2596" width="3.875" style="9" customWidth="1"/>
    <col min="2597" max="2816" width="9" style="9" customWidth="1"/>
    <col min="2817" max="2818" width="2.5" style="9" customWidth="1"/>
    <col min="2819" max="2819" width="2.375" style="9" customWidth="1"/>
    <col min="2820" max="2848" width="2.5" style="9" customWidth="1"/>
    <col min="2849" max="2849" width="1.625" style="9" customWidth="1"/>
    <col min="2850" max="2851" width="2.625" style="9" customWidth="1"/>
    <col min="2852" max="2852" width="3.875" style="9" customWidth="1"/>
    <col min="2853" max="3072" width="9" style="9" customWidth="1"/>
    <col min="3073" max="3074" width="2.5" style="9" customWidth="1"/>
    <col min="3075" max="3075" width="2.375" style="9" customWidth="1"/>
    <col min="3076" max="3104" width="2.5" style="9" customWidth="1"/>
    <col min="3105" max="3105" width="1.625" style="9" customWidth="1"/>
    <col min="3106" max="3107" width="2.625" style="9" customWidth="1"/>
    <col min="3108" max="3108" width="3.875" style="9" customWidth="1"/>
    <col min="3109" max="3328" width="9" style="9" customWidth="1"/>
    <col min="3329" max="3330" width="2.5" style="9" customWidth="1"/>
    <col min="3331" max="3331" width="2.375" style="9" customWidth="1"/>
    <col min="3332" max="3360" width="2.5" style="9" customWidth="1"/>
    <col min="3361" max="3361" width="1.625" style="9" customWidth="1"/>
    <col min="3362" max="3363" width="2.625" style="9" customWidth="1"/>
    <col min="3364" max="3364" width="3.875" style="9" customWidth="1"/>
    <col min="3365" max="3584" width="9" style="9" customWidth="1"/>
    <col min="3585" max="3586" width="2.5" style="9" customWidth="1"/>
    <col min="3587" max="3587" width="2.375" style="9" customWidth="1"/>
    <col min="3588" max="3616" width="2.5" style="9" customWidth="1"/>
    <col min="3617" max="3617" width="1.625" style="9" customWidth="1"/>
    <col min="3618" max="3619" width="2.625" style="9" customWidth="1"/>
    <col min="3620" max="3620" width="3.875" style="9" customWidth="1"/>
    <col min="3621" max="3840" width="9" style="9" customWidth="1"/>
    <col min="3841" max="3842" width="2.5" style="9" customWidth="1"/>
    <col min="3843" max="3843" width="2.375" style="9" customWidth="1"/>
    <col min="3844" max="3872" width="2.5" style="9" customWidth="1"/>
    <col min="3873" max="3873" width="1.625" style="9" customWidth="1"/>
    <col min="3874" max="3875" width="2.625" style="9" customWidth="1"/>
    <col min="3876" max="3876" width="3.875" style="9" customWidth="1"/>
    <col min="3877" max="4096" width="9" style="9" customWidth="1"/>
    <col min="4097" max="4098" width="2.5" style="9" customWidth="1"/>
    <col min="4099" max="4099" width="2.375" style="9" customWidth="1"/>
    <col min="4100" max="4128" width="2.5" style="9" customWidth="1"/>
    <col min="4129" max="4129" width="1.625" style="9" customWidth="1"/>
    <col min="4130" max="4131" width="2.625" style="9" customWidth="1"/>
    <col min="4132" max="4132" width="3.875" style="9" customWidth="1"/>
    <col min="4133" max="4352" width="9" style="9" customWidth="1"/>
    <col min="4353" max="4354" width="2.5" style="9" customWidth="1"/>
    <col min="4355" max="4355" width="2.375" style="9" customWidth="1"/>
    <col min="4356" max="4384" width="2.5" style="9" customWidth="1"/>
    <col min="4385" max="4385" width="1.625" style="9" customWidth="1"/>
    <col min="4386" max="4387" width="2.625" style="9" customWidth="1"/>
    <col min="4388" max="4388" width="3.875" style="9" customWidth="1"/>
    <col min="4389" max="4608" width="9" style="9" customWidth="1"/>
    <col min="4609" max="4610" width="2.5" style="9" customWidth="1"/>
    <col min="4611" max="4611" width="2.375" style="9" customWidth="1"/>
    <col min="4612" max="4640" width="2.5" style="9" customWidth="1"/>
    <col min="4641" max="4641" width="1.625" style="9" customWidth="1"/>
    <col min="4642" max="4643" width="2.625" style="9" customWidth="1"/>
    <col min="4644" max="4644" width="3.875" style="9" customWidth="1"/>
    <col min="4645" max="4864" width="9" style="9" customWidth="1"/>
    <col min="4865" max="4866" width="2.5" style="9" customWidth="1"/>
    <col min="4867" max="4867" width="2.375" style="9" customWidth="1"/>
    <col min="4868" max="4896" width="2.5" style="9" customWidth="1"/>
    <col min="4897" max="4897" width="1.625" style="9" customWidth="1"/>
    <col min="4898" max="4899" width="2.625" style="9" customWidth="1"/>
    <col min="4900" max="4900" width="3.875" style="9" customWidth="1"/>
    <col min="4901" max="5120" width="9" style="9" customWidth="1"/>
    <col min="5121" max="5122" width="2.5" style="9" customWidth="1"/>
    <col min="5123" max="5123" width="2.375" style="9" customWidth="1"/>
    <col min="5124" max="5152" width="2.5" style="9" customWidth="1"/>
    <col min="5153" max="5153" width="1.625" style="9" customWidth="1"/>
    <col min="5154" max="5155" width="2.625" style="9" customWidth="1"/>
    <col min="5156" max="5156" width="3.875" style="9" customWidth="1"/>
    <col min="5157" max="5376" width="9" style="9" customWidth="1"/>
    <col min="5377" max="5378" width="2.5" style="9" customWidth="1"/>
    <col min="5379" max="5379" width="2.375" style="9" customWidth="1"/>
    <col min="5380" max="5408" width="2.5" style="9" customWidth="1"/>
    <col min="5409" max="5409" width="1.625" style="9" customWidth="1"/>
    <col min="5410" max="5411" width="2.625" style="9" customWidth="1"/>
    <col min="5412" max="5412" width="3.875" style="9" customWidth="1"/>
    <col min="5413" max="5632" width="9" style="9" customWidth="1"/>
    <col min="5633" max="5634" width="2.5" style="9" customWidth="1"/>
    <col min="5635" max="5635" width="2.375" style="9" customWidth="1"/>
    <col min="5636" max="5664" width="2.5" style="9" customWidth="1"/>
    <col min="5665" max="5665" width="1.625" style="9" customWidth="1"/>
    <col min="5666" max="5667" width="2.625" style="9" customWidth="1"/>
    <col min="5668" max="5668" width="3.875" style="9" customWidth="1"/>
    <col min="5669" max="5888" width="9" style="9" customWidth="1"/>
    <col min="5889" max="5890" width="2.5" style="9" customWidth="1"/>
    <col min="5891" max="5891" width="2.375" style="9" customWidth="1"/>
    <col min="5892" max="5920" width="2.5" style="9" customWidth="1"/>
    <col min="5921" max="5921" width="1.625" style="9" customWidth="1"/>
    <col min="5922" max="5923" width="2.625" style="9" customWidth="1"/>
    <col min="5924" max="5924" width="3.875" style="9" customWidth="1"/>
    <col min="5925" max="6144" width="9" style="9" customWidth="1"/>
    <col min="6145" max="6146" width="2.5" style="9" customWidth="1"/>
    <col min="6147" max="6147" width="2.375" style="9" customWidth="1"/>
    <col min="6148" max="6176" width="2.5" style="9" customWidth="1"/>
    <col min="6177" max="6177" width="1.625" style="9" customWidth="1"/>
    <col min="6178" max="6179" width="2.625" style="9" customWidth="1"/>
    <col min="6180" max="6180" width="3.875" style="9" customWidth="1"/>
    <col min="6181" max="6400" width="9" style="9" customWidth="1"/>
    <col min="6401" max="6402" width="2.5" style="9" customWidth="1"/>
    <col min="6403" max="6403" width="2.375" style="9" customWidth="1"/>
    <col min="6404" max="6432" width="2.5" style="9" customWidth="1"/>
    <col min="6433" max="6433" width="1.625" style="9" customWidth="1"/>
    <col min="6434" max="6435" width="2.625" style="9" customWidth="1"/>
    <col min="6436" max="6436" width="3.875" style="9" customWidth="1"/>
    <col min="6437" max="6656" width="9" style="9" customWidth="1"/>
    <col min="6657" max="6658" width="2.5" style="9" customWidth="1"/>
    <col min="6659" max="6659" width="2.375" style="9" customWidth="1"/>
    <col min="6660" max="6688" width="2.5" style="9" customWidth="1"/>
    <col min="6689" max="6689" width="1.625" style="9" customWidth="1"/>
    <col min="6690" max="6691" width="2.625" style="9" customWidth="1"/>
    <col min="6692" max="6692" width="3.875" style="9" customWidth="1"/>
    <col min="6693" max="6912" width="9" style="9" customWidth="1"/>
    <col min="6913" max="6914" width="2.5" style="9" customWidth="1"/>
    <col min="6915" max="6915" width="2.375" style="9" customWidth="1"/>
    <col min="6916" max="6944" width="2.5" style="9" customWidth="1"/>
    <col min="6945" max="6945" width="1.625" style="9" customWidth="1"/>
    <col min="6946" max="6947" width="2.625" style="9" customWidth="1"/>
    <col min="6948" max="6948" width="3.875" style="9" customWidth="1"/>
    <col min="6949" max="7168" width="9" style="9" customWidth="1"/>
    <col min="7169" max="7170" width="2.5" style="9" customWidth="1"/>
    <col min="7171" max="7171" width="2.375" style="9" customWidth="1"/>
    <col min="7172" max="7200" width="2.5" style="9" customWidth="1"/>
    <col min="7201" max="7201" width="1.625" style="9" customWidth="1"/>
    <col min="7202" max="7203" width="2.625" style="9" customWidth="1"/>
    <col min="7204" max="7204" width="3.875" style="9" customWidth="1"/>
    <col min="7205" max="7424" width="9" style="9" customWidth="1"/>
    <col min="7425" max="7426" width="2.5" style="9" customWidth="1"/>
    <col min="7427" max="7427" width="2.375" style="9" customWidth="1"/>
    <col min="7428" max="7456" width="2.5" style="9" customWidth="1"/>
    <col min="7457" max="7457" width="1.625" style="9" customWidth="1"/>
    <col min="7458" max="7459" width="2.625" style="9" customWidth="1"/>
    <col min="7460" max="7460" width="3.875" style="9" customWidth="1"/>
    <col min="7461" max="7680" width="9" style="9" customWidth="1"/>
    <col min="7681" max="7682" width="2.5" style="9" customWidth="1"/>
    <col min="7683" max="7683" width="2.375" style="9" customWidth="1"/>
    <col min="7684" max="7712" width="2.5" style="9" customWidth="1"/>
    <col min="7713" max="7713" width="1.625" style="9" customWidth="1"/>
    <col min="7714" max="7715" width="2.625" style="9" customWidth="1"/>
    <col min="7716" max="7716" width="3.875" style="9" customWidth="1"/>
    <col min="7717" max="7936" width="9" style="9" customWidth="1"/>
    <col min="7937" max="7938" width="2.5" style="9" customWidth="1"/>
    <col min="7939" max="7939" width="2.375" style="9" customWidth="1"/>
    <col min="7940" max="7968" width="2.5" style="9" customWidth="1"/>
    <col min="7969" max="7969" width="1.625" style="9" customWidth="1"/>
    <col min="7970" max="7971" width="2.625" style="9" customWidth="1"/>
    <col min="7972" max="7972" width="3.875" style="9" customWidth="1"/>
    <col min="7973" max="8192" width="9" style="9" customWidth="1"/>
    <col min="8193" max="8194" width="2.5" style="9" customWidth="1"/>
    <col min="8195" max="8195" width="2.375" style="9" customWidth="1"/>
    <col min="8196" max="8224" width="2.5" style="9" customWidth="1"/>
    <col min="8225" max="8225" width="1.625" style="9" customWidth="1"/>
    <col min="8226" max="8227" width="2.625" style="9" customWidth="1"/>
    <col min="8228" max="8228" width="3.875" style="9" customWidth="1"/>
    <col min="8229" max="8448" width="9" style="9" customWidth="1"/>
    <col min="8449" max="8450" width="2.5" style="9" customWidth="1"/>
    <col min="8451" max="8451" width="2.375" style="9" customWidth="1"/>
    <col min="8452" max="8480" width="2.5" style="9" customWidth="1"/>
    <col min="8481" max="8481" width="1.625" style="9" customWidth="1"/>
    <col min="8482" max="8483" width="2.625" style="9" customWidth="1"/>
    <col min="8484" max="8484" width="3.875" style="9" customWidth="1"/>
    <col min="8485" max="8704" width="9" style="9" customWidth="1"/>
    <col min="8705" max="8706" width="2.5" style="9" customWidth="1"/>
    <col min="8707" max="8707" width="2.375" style="9" customWidth="1"/>
    <col min="8708" max="8736" width="2.5" style="9" customWidth="1"/>
    <col min="8737" max="8737" width="1.625" style="9" customWidth="1"/>
    <col min="8738" max="8739" width="2.625" style="9" customWidth="1"/>
    <col min="8740" max="8740" width="3.875" style="9" customWidth="1"/>
    <col min="8741" max="8960" width="9" style="9" customWidth="1"/>
    <col min="8961" max="8962" width="2.5" style="9" customWidth="1"/>
    <col min="8963" max="8963" width="2.375" style="9" customWidth="1"/>
    <col min="8964" max="8992" width="2.5" style="9" customWidth="1"/>
    <col min="8993" max="8993" width="1.625" style="9" customWidth="1"/>
    <col min="8994" max="8995" width="2.625" style="9" customWidth="1"/>
    <col min="8996" max="8996" width="3.875" style="9" customWidth="1"/>
    <col min="8997" max="9216" width="9" style="9" customWidth="1"/>
    <col min="9217" max="9218" width="2.5" style="9" customWidth="1"/>
    <col min="9219" max="9219" width="2.375" style="9" customWidth="1"/>
    <col min="9220" max="9248" width="2.5" style="9" customWidth="1"/>
    <col min="9249" max="9249" width="1.625" style="9" customWidth="1"/>
    <col min="9250" max="9251" width="2.625" style="9" customWidth="1"/>
    <col min="9252" max="9252" width="3.875" style="9" customWidth="1"/>
    <col min="9253" max="9472" width="9" style="9" customWidth="1"/>
    <col min="9473" max="9474" width="2.5" style="9" customWidth="1"/>
    <col min="9475" max="9475" width="2.375" style="9" customWidth="1"/>
    <col min="9476" max="9504" width="2.5" style="9" customWidth="1"/>
    <col min="9505" max="9505" width="1.625" style="9" customWidth="1"/>
    <col min="9506" max="9507" width="2.625" style="9" customWidth="1"/>
    <col min="9508" max="9508" width="3.875" style="9" customWidth="1"/>
    <col min="9509" max="9728" width="9" style="9" customWidth="1"/>
    <col min="9729" max="9730" width="2.5" style="9" customWidth="1"/>
    <col min="9731" max="9731" width="2.375" style="9" customWidth="1"/>
    <col min="9732" max="9760" width="2.5" style="9" customWidth="1"/>
    <col min="9761" max="9761" width="1.625" style="9" customWidth="1"/>
    <col min="9762" max="9763" width="2.625" style="9" customWidth="1"/>
    <col min="9764" max="9764" width="3.875" style="9" customWidth="1"/>
    <col min="9765" max="9984" width="9" style="9" customWidth="1"/>
    <col min="9985" max="9986" width="2.5" style="9" customWidth="1"/>
    <col min="9987" max="9987" width="2.375" style="9" customWidth="1"/>
    <col min="9988" max="10016" width="2.5" style="9" customWidth="1"/>
    <col min="10017" max="10017" width="1.625" style="9" customWidth="1"/>
    <col min="10018" max="10019" width="2.625" style="9" customWidth="1"/>
    <col min="10020" max="10020" width="3.875" style="9" customWidth="1"/>
    <col min="10021" max="10240" width="9" style="9" customWidth="1"/>
    <col min="10241" max="10242" width="2.5" style="9" customWidth="1"/>
    <col min="10243" max="10243" width="2.375" style="9" customWidth="1"/>
    <col min="10244" max="10272" width="2.5" style="9" customWidth="1"/>
    <col min="10273" max="10273" width="1.625" style="9" customWidth="1"/>
    <col min="10274" max="10275" width="2.625" style="9" customWidth="1"/>
    <col min="10276" max="10276" width="3.875" style="9" customWidth="1"/>
    <col min="10277" max="10496" width="9" style="9" customWidth="1"/>
    <col min="10497" max="10498" width="2.5" style="9" customWidth="1"/>
    <col min="10499" max="10499" width="2.375" style="9" customWidth="1"/>
    <col min="10500" max="10528" width="2.5" style="9" customWidth="1"/>
    <col min="10529" max="10529" width="1.625" style="9" customWidth="1"/>
    <col min="10530" max="10531" width="2.625" style="9" customWidth="1"/>
    <col min="10532" max="10532" width="3.875" style="9" customWidth="1"/>
    <col min="10533" max="10752" width="9" style="9" customWidth="1"/>
    <col min="10753" max="10754" width="2.5" style="9" customWidth="1"/>
    <col min="10755" max="10755" width="2.375" style="9" customWidth="1"/>
    <col min="10756" max="10784" width="2.5" style="9" customWidth="1"/>
    <col min="10785" max="10785" width="1.625" style="9" customWidth="1"/>
    <col min="10786" max="10787" width="2.625" style="9" customWidth="1"/>
    <col min="10788" max="10788" width="3.875" style="9" customWidth="1"/>
    <col min="10789" max="11008" width="9" style="9" customWidth="1"/>
    <col min="11009" max="11010" width="2.5" style="9" customWidth="1"/>
    <col min="11011" max="11011" width="2.375" style="9" customWidth="1"/>
    <col min="11012" max="11040" width="2.5" style="9" customWidth="1"/>
    <col min="11041" max="11041" width="1.625" style="9" customWidth="1"/>
    <col min="11042" max="11043" width="2.625" style="9" customWidth="1"/>
    <col min="11044" max="11044" width="3.875" style="9" customWidth="1"/>
    <col min="11045" max="11264" width="9" style="9" customWidth="1"/>
    <col min="11265" max="11266" width="2.5" style="9" customWidth="1"/>
    <col min="11267" max="11267" width="2.375" style="9" customWidth="1"/>
    <col min="11268" max="11296" width="2.5" style="9" customWidth="1"/>
    <col min="11297" max="11297" width="1.625" style="9" customWidth="1"/>
    <col min="11298" max="11299" width="2.625" style="9" customWidth="1"/>
    <col min="11300" max="11300" width="3.875" style="9" customWidth="1"/>
    <col min="11301" max="11520" width="9" style="9" customWidth="1"/>
    <col min="11521" max="11522" width="2.5" style="9" customWidth="1"/>
    <col min="11523" max="11523" width="2.375" style="9" customWidth="1"/>
    <col min="11524" max="11552" width="2.5" style="9" customWidth="1"/>
    <col min="11553" max="11553" width="1.625" style="9" customWidth="1"/>
    <col min="11554" max="11555" width="2.625" style="9" customWidth="1"/>
    <col min="11556" max="11556" width="3.875" style="9" customWidth="1"/>
    <col min="11557" max="11776" width="9" style="9" customWidth="1"/>
    <col min="11777" max="11778" width="2.5" style="9" customWidth="1"/>
    <col min="11779" max="11779" width="2.375" style="9" customWidth="1"/>
    <col min="11780" max="11808" width="2.5" style="9" customWidth="1"/>
    <col min="11809" max="11809" width="1.625" style="9" customWidth="1"/>
    <col min="11810" max="11811" width="2.625" style="9" customWidth="1"/>
    <col min="11812" max="11812" width="3.875" style="9" customWidth="1"/>
    <col min="11813" max="12032" width="9" style="9" customWidth="1"/>
    <col min="12033" max="12034" width="2.5" style="9" customWidth="1"/>
    <col min="12035" max="12035" width="2.375" style="9" customWidth="1"/>
    <col min="12036" max="12064" width="2.5" style="9" customWidth="1"/>
    <col min="12065" max="12065" width="1.625" style="9" customWidth="1"/>
    <col min="12066" max="12067" width="2.625" style="9" customWidth="1"/>
    <col min="12068" max="12068" width="3.875" style="9" customWidth="1"/>
    <col min="12069" max="12288" width="9" style="9" customWidth="1"/>
    <col min="12289" max="12290" width="2.5" style="9" customWidth="1"/>
    <col min="12291" max="12291" width="2.375" style="9" customWidth="1"/>
    <col min="12292" max="12320" width="2.5" style="9" customWidth="1"/>
    <col min="12321" max="12321" width="1.625" style="9" customWidth="1"/>
    <col min="12322" max="12323" width="2.625" style="9" customWidth="1"/>
    <col min="12324" max="12324" width="3.875" style="9" customWidth="1"/>
    <col min="12325" max="12544" width="9" style="9" customWidth="1"/>
    <col min="12545" max="12546" width="2.5" style="9" customWidth="1"/>
    <col min="12547" max="12547" width="2.375" style="9" customWidth="1"/>
    <col min="12548" max="12576" width="2.5" style="9" customWidth="1"/>
    <col min="12577" max="12577" width="1.625" style="9" customWidth="1"/>
    <col min="12578" max="12579" width="2.625" style="9" customWidth="1"/>
    <col min="12580" max="12580" width="3.875" style="9" customWidth="1"/>
    <col min="12581" max="12800" width="9" style="9" customWidth="1"/>
    <col min="12801" max="12802" width="2.5" style="9" customWidth="1"/>
    <col min="12803" max="12803" width="2.375" style="9" customWidth="1"/>
    <col min="12804" max="12832" width="2.5" style="9" customWidth="1"/>
    <col min="12833" max="12833" width="1.625" style="9" customWidth="1"/>
    <col min="12834" max="12835" width="2.625" style="9" customWidth="1"/>
    <col min="12836" max="12836" width="3.875" style="9" customWidth="1"/>
    <col min="12837" max="13056" width="9" style="9" customWidth="1"/>
    <col min="13057" max="13058" width="2.5" style="9" customWidth="1"/>
    <col min="13059" max="13059" width="2.375" style="9" customWidth="1"/>
    <col min="13060" max="13088" width="2.5" style="9" customWidth="1"/>
    <col min="13089" max="13089" width="1.625" style="9" customWidth="1"/>
    <col min="13090" max="13091" width="2.625" style="9" customWidth="1"/>
    <col min="13092" max="13092" width="3.875" style="9" customWidth="1"/>
    <col min="13093" max="13312" width="9" style="9" customWidth="1"/>
    <col min="13313" max="13314" width="2.5" style="9" customWidth="1"/>
    <col min="13315" max="13315" width="2.375" style="9" customWidth="1"/>
    <col min="13316" max="13344" width="2.5" style="9" customWidth="1"/>
    <col min="13345" max="13345" width="1.625" style="9" customWidth="1"/>
    <col min="13346" max="13347" width="2.625" style="9" customWidth="1"/>
    <col min="13348" max="13348" width="3.875" style="9" customWidth="1"/>
    <col min="13349" max="13568" width="9" style="9" customWidth="1"/>
    <col min="13569" max="13570" width="2.5" style="9" customWidth="1"/>
    <col min="13571" max="13571" width="2.375" style="9" customWidth="1"/>
    <col min="13572" max="13600" width="2.5" style="9" customWidth="1"/>
    <col min="13601" max="13601" width="1.625" style="9" customWidth="1"/>
    <col min="13602" max="13603" width="2.625" style="9" customWidth="1"/>
    <col min="13604" max="13604" width="3.875" style="9" customWidth="1"/>
    <col min="13605" max="13824" width="9" style="9" customWidth="1"/>
    <col min="13825" max="13826" width="2.5" style="9" customWidth="1"/>
    <col min="13827" max="13827" width="2.375" style="9" customWidth="1"/>
    <col min="13828" max="13856" width="2.5" style="9" customWidth="1"/>
    <col min="13857" max="13857" width="1.625" style="9" customWidth="1"/>
    <col min="13858" max="13859" width="2.625" style="9" customWidth="1"/>
    <col min="13860" max="13860" width="3.875" style="9" customWidth="1"/>
    <col min="13861" max="14080" width="9" style="9" customWidth="1"/>
    <col min="14081" max="14082" width="2.5" style="9" customWidth="1"/>
    <col min="14083" max="14083" width="2.375" style="9" customWidth="1"/>
    <col min="14084" max="14112" width="2.5" style="9" customWidth="1"/>
    <col min="14113" max="14113" width="1.625" style="9" customWidth="1"/>
    <col min="14114" max="14115" width="2.625" style="9" customWidth="1"/>
    <col min="14116" max="14116" width="3.875" style="9" customWidth="1"/>
    <col min="14117" max="14336" width="9" style="9" customWidth="1"/>
    <col min="14337" max="14338" width="2.5" style="9" customWidth="1"/>
    <col min="14339" max="14339" width="2.375" style="9" customWidth="1"/>
    <col min="14340" max="14368" width="2.5" style="9" customWidth="1"/>
    <col min="14369" max="14369" width="1.625" style="9" customWidth="1"/>
    <col min="14370" max="14371" width="2.625" style="9" customWidth="1"/>
    <col min="14372" max="14372" width="3.875" style="9" customWidth="1"/>
    <col min="14373" max="14592" width="9" style="9" customWidth="1"/>
    <col min="14593" max="14594" width="2.5" style="9" customWidth="1"/>
    <col min="14595" max="14595" width="2.375" style="9" customWidth="1"/>
    <col min="14596" max="14624" width="2.5" style="9" customWidth="1"/>
    <col min="14625" max="14625" width="1.625" style="9" customWidth="1"/>
    <col min="14626" max="14627" width="2.625" style="9" customWidth="1"/>
    <col min="14628" max="14628" width="3.875" style="9" customWidth="1"/>
    <col min="14629" max="14848" width="9" style="9" customWidth="1"/>
    <col min="14849" max="14850" width="2.5" style="9" customWidth="1"/>
    <col min="14851" max="14851" width="2.375" style="9" customWidth="1"/>
    <col min="14852" max="14880" width="2.5" style="9" customWidth="1"/>
    <col min="14881" max="14881" width="1.625" style="9" customWidth="1"/>
    <col min="14882" max="14883" width="2.625" style="9" customWidth="1"/>
    <col min="14884" max="14884" width="3.875" style="9" customWidth="1"/>
    <col min="14885" max="15104" width="9" style="9" customWidth="1"/>
    <col min="15105" max="15106" width="2.5" style="9" customWidth="1"/>
    <col min="15107" max="15107" width="2.375" style="9" customWidth="1"/>
    <col min="15108" max="15136" width="2.5" style="9" customWidth="1"/>
    <col min="15137" max="15137" width="1.625" style="9" customWidth="1"/>
    <col min="15138" max="15139" width="2.625" style="9" customWidth="1"/>
    <col min="15140" max="15140" width="3.875" style="9" customWidth="1"/>
    <col min="15141" max="15360" width="9" style="9" customWidth="1"/>
    <col min="15361" max="15362" width="2.5" style="9" customWidth="1"/>
    <col min="15363" max="15363" width="2.375" style="9" customWidth="1"/>
    <col min="15364" max="15392" width="2.5" style="9" customWidth="1"/>
    <col min="15393" max="15393" width="1.625" style="9" customWidth="1"/>
    <col min="15394" max="15395" width="2.625" style="9" customWidth="1"/>
    <col min="15396" max="15396" width="3.875" style="9" customWidth="1"/>
    <col min="15397" max="15616" width="9" style="9" customWidth="1"/>
    <col min="15617" max="15618" width="2.5" style="9" customWidth="1"/>
    <col min="15619" max="15619" width="2.375" style="9" customWidth="1"/>
    <col min="15620" max="15648" width="2.5" style="9" customWidth="1"/>
    <col min="15649" max="15649" width="1.625" style="9" customWidth="1"/>
    <col min="15650" max="15651" width="2.625" style="9" customWidth="1"/>
    <col min="15652" max="15652" width="3.875" style="9" customWidth="1"/>
    <col min="15653" max="15872" width="9" style="9" customWidth="1"/>
    <col min="15873" max="15874" width="2.5" style="9" customWidth="1"/>
    <col min="15875" max="15875" width="2.375" style="9" customWidth="1"/>
    <col min="15876" max="15904" width="2.5" style="9" customWidth="1"/>
    <col min="15905" max="15905" width="1.625" style="9" customWidth="1"/>
    <col min="15906" max="15907" width="2.625" style="9" customWidth="1"/>
    <col min="15908" max="15908" width="3.875" style="9" customWidth="1"/>
    <col min="15909" max="16128" width="9" style="9" customWidth="1"/>
    <col min="16129" max="16130" width="2.5" style="9" customWidth="1"/>
    <col min="16131" max="16131" width="2.375" style="9" customWidth="1"/>
    <col min="16132" max="16160" width="2.5" style="9" customWidth="1"/>
    <col min="16161" max="16161" width="1.625" style="9" customWidth="1"/>
    <col min="16162" max="16163" width="2.625" style="9" customWidth="1"/>
    <col min="16164" max="16164" width="3.875" style="9" customWidth="1"/>
    <col min="16165" max="16384" width="9" style="9" customWidth="1"/>
  </cols>
  <sheetData>
    <row r="1" ht="27" customHeight="1" spans="1:36" x14ac:dyDescent="0.25">
      <c r="A1" s="338" t="s">
        <v>160</v>
      </c>
      <c r="B1" s="338"/>
      <c r="C1" s="338"/>
      <c r="D1" s="338"/>
      <c r="E1" s="338"/>
      <c r="F1" s="338"/>
      <c r="G1" s="338"/>
      <c r="H1" s="338"/>
      <c r="I1" s="338"/>
      <c r="J1" s="338"/>
      <c r="K1" s="338"/>
      <c r="L1" s="338"/>
      <c r="M1" s="338"/>
      <c r="N1" s="338"/>
      <c r="O1" s="338"/>
      <c r="P1" s="338"/>
      <c r="Q1" s="338"/>
      <c r="R1" s="338"/>
      <c r="S1" s="338"/>
      <c r="T1" s="338"/>
      <c r="U1" s="338"/>
      <c r="V1" s="338"/>
      <c r="W1" s="338"/>
      <c r="X1" s="338"/>
      <c r="Y1" s="338"/>
      <c r="Z1" s="338"/>
      <c r="AA1" s="338"/>
      <c r="AB1" s="338"/>
      <c r="AC1" s="338"/>
      <c r="AD1" s="338"/>
      <c r="AE1" s="338"/>
      <c r="AF1" s="338"/>
      <c r="AG1" s="338"/>
      <c r="AH1" s="338"/>
      <c r="AI1" s="338"/>
      <c r="AJ1" s="338"/>
    </row>
    <row r="2" ht="12" customHeight="1" spans="1:36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189"/>
      <c r="T2" s="189"/>
      <c r="U2" s="189"/>
      <c r="V2" s="189"/>
      <c r="W2" s="189"/>
      <c r="X2" s="189"/>
      <c r="Y2" s="189"/>
      <c r="Z2" s="189"/>
      <c r="AA2" s="189"/>
      <c r="AB2" s="189"/>
      <c r="AC2" s="189"/>
      <c r="AD2" s="189"/>
      <c r="AE2" s="189"/>
      <c r="AF2" s="189"/>
      <c r="AG2" s="189"/>
      <c r="AH2" s="189"/>
      <c r="AI2" s="189"/>
      <c r="AJ2" s="189"/>
    </row>
    <row r="3" ht="4.5" customHeight="1" spans="1:36" x14ac:dyDescent="0.25">
      <c r="A3" s="189"/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89"/>
      <c r="U3" s="189"/>
      <c r="V3" s="189"/>
      <c r="W3" s="189"/>
      <c r="X3" s="189"/>
      <c r="Y3" s="189"/>
      <c r="Z3" s="189"/>
      <c r="AA3" s="189"/>
      <c r="AB3" s="189"/>
      <c r="AC3" s="189"/>
      <c r="AD3" s="189"/>
      <c r="AE3" s="189"/>
      <c r="AF3" s="189"/>
      <c r="AG3" s="189"/>
      <c r="AH3" s="189"/>
      <c r="AI3" s="189"/>
      <c r="AJ3" s="189"/>
    </row>
    <row r="4" ht="26.25" customHeight="1" spans="1:36" x14ac:dyDescent="0.25">
      <c r="A4" s="203" t="s">
        <v>161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3"/>
      <c r="U4" s="203"/>
      <c r="V4" s="203"/>
      <c r="W4" s="203"/>
      <c r="X4" s="203"/>
      <c r="Y4" s="203"/>
      <c r="Z4" s="203"/>
      <c r="AA4" s="203"/>
      <c r="AB4" s="203"/>
      <c r="AC4" s="203"/>
      <c r="AD4" s="203"/>
      <c r="AE4" s="203"/>
      <c r="AF4" s="203"/>
      <c r="AG4" s="203"/>
      <c r="AH4" s="203"/>
      <c r="AI4" s="203"/>
      <c r="AJ4" s="203"/>
    </row>
    <row r="5" ht="6" customHeight="1" spans="1:36" x14ac:dyDescent="0.25">
      <c r="A5" s="387"/>
      <c r="B5" s="387"/>
      <c r="C5" s="387"/>
      <c r="D5" s="387"/>
      <c r="E5" s="387"/>
      <c r="F5" s="387"/>
      <c r="G5" s="387"/>
      <c r="H5" s="387"/>
      <c r="I5" s="387"/>
      <c r="J5" s="387"/>
      <c r="K5" s="387"/>
      <c r="L5" s="387"/>
      <c r="M5" s="387"/>
      <c r="N5" s="387"/>
      <c r="O5" s="387"/>
      <c r="P5" s="387"/>
      <c r="Q5" s="387"/>
      <c r="R5" s="387"/>
      <c r="S5" s="387"/>
      <c r="T5" s="387"/>
      <c r="U5" s="387"/>
      <c r="V5" s="387"/>
      <c r="W5" s="387"/>
      <c r="X5" s="387"/>
      <c r="Y5" s="387"/>
      <c r="Z5" s="387"/>
      <c r="AA5" s="387"/>
      <c r="AB5" s="387"/>
      <c r="AC5" s="387"/>
      <c r="AD5" s="387"/>
      <c r="AE5" s="387"/>
      <c r="AF5" s="387"/>
      <c r="AG5" s="387"/>
      <c r="AH5" s="387"/>
      <c r="AI5" s="387"/>
      <c r="AJ5" s="387"/>
    </row>
    <row r="6" ht="13.5" customHeight="1" spans="1:36" s="16" customFormat="1" x14ac:dyDescent="0.25">
      <c r="A6" s="260" t="s">
        <v>162</v>
      </c>
      <c r="B6" s="260"/>
      <c r="C6" s="260"/>
      <c r="D6" s="260" t="s">
        <v>3</v>
      </c>
      <c r="E6" s="260"/>
      <c r="F6" s="260"/>
      <c r="G6" s="260"/>
      <c r="H6" s="260"/>
      <c r="I6" s="260"/>
      <c r="J6" s="260"/>
      <c r="K6" s="260"/>
      <c r="L6" s="260"/>
      <c r="M6" s="260"/>
      <c r="N6" s="260"/>
      <c r="O6" s="260" t="s">
        <v>4</v>
      </c>
      <c r="P6" s="40"/>
      <c r="Q6" s="40"/>
      <c r="R6" s="122" t="str">
        <f>'Final Work'!G4</f>
        <v>0220E &amp; 0221W</v>
      </c>
      <c r="S6" s="122"/>
      <c r="T6" s="122"/>
      <c r="U6" s="122"/>
      <c r="V6" s="122"/>
      <c r="W6" s="122"/>
      <c r="X6" s="40"/>
      <c r="Y6" s="122" t="s">
        <v>5</v>
      </c>
      <c r="Z6" s="122"/>
      <c r="AA6" s="122"/>
      <c r="AB6" s="388">
        <f>'Final Work'!L4</f>
        <v>46222</v>
      </c>
      <c r="AC6" s="293"/>
      <c r="AD6" s="293"/>
      <c r="AE6" s="293"/>
      <c r="AF6" s="293"/>
      <c r="AG6" s="293"/>
      <c r="AH6" s="293"/>
      <c r="AI6" s="293"/>
      <c r="AJ6" s="293"/>
    </row>
    <row r="7" ht="6" customHeight="1" spans="1:36" s="16" customFormat="1" x14ac:dyDescent="0.25">
      <c r="A7" s="389"/>
      <c r="B7" s="389"/>
      <c r="C7" s="389"/>
      <c r="D7" s="389"/>
      <c r="E7" s="389"/>
      <c r="F7" s="389"/>
      <c r="G7" s="389"/>
      <c r="H7" s="389"/>
      <c r="I7" s="389"/>
      <c r="J7" s="389"/>
      <c r="K7" s="389"/>
      <c r="L7" s="389"/>
      <c r="M7" s="389"/>
      <c r="N7" s="389"/>
      <c r="O7" s="389"/>
      <c r="P7" s="389"/>
      <c r="Q7" s="389"/>
      <c r="R7" s="389"/>
      <c r="S7" s="389"/>
      <c r="T7" s="389"/>
      <c r="U7" s="389"/>
      <c r="V7" s="389"/>
      <c r="W7" s="389"/>
      <c r="X7" s="389"/>
      <c r="Y7" s="389"/>
      <c r="Z7" s="389"/>
      <c r="AA7" s="389"/>
      <c r="AB7" s="389"/>
      <c r="AC7" s="389"/>
      <c r="AD7" s="389"/>
      <c r="AE7" s="389"/>
      <c r="AF7" s="389"/>
      <c r="AG7" s="389"/>
      <c r="AH7" s="389"/>
      <c r="AI7" s="389"/>
      <c r="AJ7" s="389"/>
    </row>
    <row r="8" ht="13.5" customHeight="1" spans="1:36" s="16" customFormat="1" x14ac:dyDescent="0.25">
      <c r="A8" s="148" t="s">
        <v>163</v>
      </c>
      <c r="B8" s="148"/>
      <c r="C8" s="148"/>
      <c r="D8" s="390" t="s">
        <v>62</v>
      </c>
      <c r="E8" s="390"/>
      <c r="F8" s="390"/>
      <c r="G8" s="390"/>
      <c r="H8" s="390"/>
      <c r="I8" s="390"/>
      <c r="J8" s="148"/>
      <c r="K8" s="148"/>
      <c r="L8" s="40"/>
      <c r="M8" s="40"/>
      <c r="N8" s="40"/>
      <c r="O8" s="390" t="s">
        <v>7</v>
      </c>
      <c r="P8" s="148"/>
      <c r="Q8" s="148"/>
      <c r="R8" s="389">
        <f>'Final Work'!G6</f>
        <v>6</v>
      </c>
      <c r="S8" s="389"/>
      <c r="T8" s="389"/>
      <c r="U8" s="389"/>
      <c r="V8" s="389"/>
      <c r="W8" s="389"/>
      <c r="X8" s="148"/>
      <c r="Y8" s="389" t="s">
        <v>164</v>
      </c>
      <c r="Z8" s="389"/>
      <c r="AA8" s="389"/>
      <c r="AB8" s="389" t="s">
        <v>25</v>
      </c>
      <c r="AC8" s="389"/>
      <c r="AD8" s="389"/>
      <c r="AE8" s="389"/>
      <c r="AF8" s="389"/>
      <c r="AG8" s="389"/>
      <c r="AH8" s="389"/>
      <c r="AI8" s="389"/>
      <c r="AJ8" s="389"/>
    </row>
    <row r="9" ht="4.5" customHeight="1" spans="1:36" x14ac:dyDescent="0.25">
      <c r="A9" s="391"/>
      <c r="B9" s="391"/>
      <c r="C9" s="391"/>
      <c r="D9" s="391"/>
      <c r="E9" s="391"/>
      <c r="F9" s="391"/>
      <c r="G9" s="391"/>
      <c r="H9" s="391"/>
      <c r="I9" s="391"/>
      <c r="J9" s="391"/>
      <c r="K9" s="391"/>
      <c r="L9" s="391"/>
      <c r="M9" s="391"/>
      <c r="N9" s="391"/>
      <c r="O9" s="391"/>
      <c r="P9" s="391"/>
      <c r="Q9" s="391"/>
      <c r="R9" s="391"/>
      <c r="S9" s="391"/>
      <c r="T9" s="391"/>
      <c r="U9" s="391"/>
      <c r="V9" s="391"/>
      <c r="W9" s="391"/>
      <c r="X9" s="391"/>
      <c r="Y9" s="391"/>
      <c r="Z9" s="391"/>
      <c r="AA9" s="391"/>
      <c r="AB9" s="391"/>
      <c r="AC9" s="391"/>
      <c r="AD9" s="391"/>
      <c r="AE9" s="391"/>
      <c r="AF9" s="391"/>
      <c r="AG9" s="391"/>
      <c r="AH9" s="391"/>
      <c r="AI9" s="391"/>
      <c r="AJ9" s="391"/>
    </row>
    <row r="10" ht="17.1" customHeight="1" spans="1:36" s="40" customFormat="1" x14ac:dyDescent="0.25">
      <c r="A10" s="392" t="s">
        <v>165</v>
      </c>
      <c r="B10" s="393"/>
      <c r="C10" s="393"/>
      <c r="D10" s="393"/>
      <c r="E10" s="393"/>
      <c r="F10" s="393"/>
      <c r="G10" s="393"/>
      <c r="H10" s="394" t="s">
        <v>90</v>
      </c>
      <c r="I10" s="28"/>
      <c r="J10" s="28"/>
      <c r="K10" s="28"/>
      <c r="L10" s="28"/>
      <c r="M10" s="28"/>
      <c r="N10" s="28"/>
      <c r="O10" s="30"/>
      <c r="P10" s="394" t="s">
        <v>89</v>
      </c>
      <c r="Q10" s="28"/>
      <c r="R10" s="28"/>
      <c r="S10" s="28"/>
      <c r="T10" s="28"/>
      <c r="U10" s="28"/>
      <c r="V10" s="28"/>
      <c r="W10" s="30"/>
      <c r="X10" s="27" t="s">
        <v>92</v>
      </c>
      <c r="Y10" s="28"/>
      <c r="Z10" s="30"/>
      <c r="AA10" s="27" t="s">
        <v>49</v>
      </c>
      <c r="AB10" s="28"/>
      <c r="AC10" s="28"/>
      <c r="AD10" s="28"/>
      <c r="AE10" s="28"/>
      <c r="AF10" s="28"/>
      <c r="AG10" s="28"/>
      <c r="AH10" s="28"/>
      <c r="AI10" s="28"/>
      <c r="AJ10" s="30"/>
    </row>
    <row r="11" ht="17.1" customHeight="1" spans="1:36" s="40" customFormat="1" x14ac:dyDescent="0.25">
      <c r="A11" s="395" t="s">
        <v>166</v>
      </c>
      <c r="B11" s="396"/>
      <c r="C11" s="396"/>
      <c r="D11" s="396"/>
      <c r="E11" s="396"/>
      <c r="F11" s="396"/>
      <c r="G11" s="396"/>
      <c r="H11" s="37" t="s">
        <v>13</v>
      </c>
      <c r="I11" s="35"/>
      <c r="J11" s="35" t="s">
        <v>14</v>
      </c>
      <c r="K11" s="35"/>
      <c r="L11" s="35" t="s">
        <v>167</v>
      </c>
      <c r="M11" s="35"/>
      <c r="N11" s="35" t="s">
        <v>16</v>
      </c>
      <c r="O11" s="397"/>
      <c r="P11" s="37" t="s">
        <v>13</v>
      </c>
      <c r="Q11" s="35"/>
      <c r="R11" s="35" t="s">
        <v>14</v>
      </c>
      <c r="S11" s="35"/>
      <c r="T11" s="35" t="s">
        <v>167</v>
      </c>
      <c r="U11" s="35"/>
      <c r="V11" s="35" t="s">
        <v>16</v>
      </c>
      <c r="W11" s="397"/>
      <c r="X11" s="39"/>
      <c r="Y11" s="35"/>
      <c r="Z11" s="397"/>
      <c r="AA11" s="39"/>
      <c r="AB11" s="35"/>
      <c r="AC11" s="35"/>
      <c r="AD11" s="35"/>
      <c r="AE11" s="35"/>
      <c r="AF11" s="35"/>
      <c r="AG11" s="35"/>
      <c r="AH11" s="35"/>
      <c r="AI11" s="35"/>
      <c r="AJ11" s="397"/>
    </row>
    <row r="12" ht="17.1" customHeight="1" spans="1:36" s="40" customFormat="1" x14ac:dyDescent="0.25">
      <c r="A12" s="398" t="s">
        <v>168</v>
      </c>
      <c r="B12" s="399"/>
      <c r="C12" s="399"/>
      <c r="D12" s="215"/>
      <c r="E12" s="269"/>
      <c r="F12" s="269"/>
      <c r="G12" s="400"/>
      <c r="H12" s="401"/>
      <c r="I12" s="402"/>
      <c r="J12" s="403"/>
      <c r="K12" s="404"/>
      <c r="L12" s="405"/>
      <c r="M12" s="406"/>
      <c r="N12" s="405"/>
      <c r="O12" s="406"/>
      <c r="P12" s="401"/>
      <c r="Q12" s="402"/>
      <c r="R12" s="407"/>
      <c r="S12" s="408"/>
      <c r="T12" s="407"/>
      <c r="U12" s="408"/>
      <c r="V12" s="407"/>
      <c r="W12" s="409"/>
      <c r="X12" s="410">
        <f t="shared" ref="X12:X18" si="0">SUM(H12:W12)</f>
        <v>69</v>
      </c>
      <c r="Y12" s="403"/>
      <c r="Z12" s="411"/>
      <c r="AA12" s="412" t="s">
        <v>169</v>
      </c>
      <c r="AB12" s="413"/>
      <c r="AC12" s="413"/>
      <c r="AD12" s="413"/>
      <c r="AE12" s="413"/>
      <c r="AF12" s="413"/>
      <c r="AG12" s="413"/>
      <c r="AH12" s="413"/>
      <c r="AI12" s="413"/>
      <c r="AJ12" s="414"/>
    </row>
    <row r="13" ht="17.1" customHeight="1" spans="1:36" s="40" customFormat="1" x14ac:dyDescent="0.25">
      <c r="A13" s="415"/>
      <c r="B13" s="416"/>
      <c r="C13" s="416"/>
      <c r="D13" s="223"/>
      <c r="E13" s="273"/>
      <c r="F13" s="273"/>
      <c r="G13" s="417"/>
      <c r="H13" s="401"/>
      <c r="I13" s="402"/>
      <c r="J13" s="418"/>
      <c r="K13" s="419"/>
      <c r="L13" s="418"/>
      <c r="M13" s="419"/>
      <c r="N13" s="418"/>
      <c r="O13" s="419"/>
      <c r="P13" s="401"/>
      <c r="Q13" s="402"/>
      <c r="R13" s="420"/>
      <c r="S13" s="406"/>
      <c r="T13" s="420"/>
      <c r="U13" s="406"/>
      <c r="V13" s="420"/>
      <c r="W13" s="402"/>
      <c r="X13" s="421">
        <f t="shared" si="0"/>
        <v>18</v>
      </c>
      <c r="Y13" s="418"/>
      <c r="Z13" s="422"/>
      <c r="AA13" s="423"/>
      <c r="AB13" s="424"/>
      <c r="AC13" s="424"/>
      <c r="AD13" s="424"/>
      <c r="AE13" s="424"/>
      <c r="AF13" s="424"/>
      <c r="AG13" s="424"/>
      <c r="AH13" s="424"/>
      <c r="AI13" s="424"/>
      <c r="AJ13" s="425"/>
    </row>
    <row r="14" ht="17.1" customHeight="1" spans="1:36" s="40" customFormat="1" x14ac:dyDescent="0.25">
      <c r="A14" s="415"/>
      <c r="B14" s="416"/>
      <c r="C14" s="416"/>
      <c r="D14" s="223"/>
      <c r="E14" s="273"/>
      <c r="F14" s="273"/>
      <c r="G14" s="417"/>
      <c r="H14" s="401"/>
      <c r="I14" s="402"/>
      <c r="J14" s="420"/>
      <c r="K14" s="406"/>
      <c r="L14" s="405"/>
      <c r="M14" s="406"/>
      <c r="N14" s="405"/>
      <c r="O14" s="406"/>
      <c r="P14" s="401"/>
      <c r="Q14" s="402"/>
      <c r="R14" s="418"/>
      <c r="S14" s="419"/>
      <c r="T14" s="405"/>
      <c r="U14" s="406"/>
      <c r="V14" s="405"/>
      <c r="W14" s="402"/>
      <c r="X14" s="426">
        <f t="shared" si="0"/>
        <v>5</v>
      </c>
      <c r="Y14" s="427"/>
      <c r="Z14" s="428"/>
      <c r="AA14" s="429"/>
      <c r="AB14" s="430"/>
      <c r="AC14" s="430"/>
      <c r="AD14" s="430"/>
      <c r="AE14" s="430"/>
      <c r="AF14" s="430"/>
      <c r="AG14" s="430"/>
      <c r="AH14" s="430"/>
      <c r="AI14" s="430"/>
      <c r="AJ14" s="431"/>
    </row>
    <row r="15" ht="17.1" customHeight="1" spans="1:36" s="40" customFormat="1" x14ac:dyDescent="0.25">
      <c r="A15" s="415"/>
      <c r="B15" s="416"/>
      <c r="C15" s="416"/>
      <c r="D15" s="223"/>
      <c r="E15" s="273"/>
      <c r="F15" s="273"/>
      <c r="G15" s="417"/>
      <c r="H15" s="401"/>
      <c r="I15" s="402"/>
      <c r="J15" s="420"/>
      <c r="K15" s="406"/>
      <c r="L15" s="405"/>
      <c r="M15" s="406"/>
      <c r="N15" s="405"/>
      <c r="O15" s="406"/>
      <c r="P15" s="401"/>
      <c r="Q15" s="402"/>
      <c r="R15" s="418"/>
      <c r="S15" s="419"/>
      <c r="T15" s="405"/>
      <c r="U15" s="406"/>
      <c r="V15" s="405"/>
      <c r="W15" s="402"/>
      <c r="X15" s="426">
        <f t="shared" si="0"/>
        <v>74</v>
      </c>
      <c r="Y15" s="427"/>
      <c r="Z15" s="428"/>
      <c r="AA15" s="423" t="s">
        <v>170</v>
      </c>
      <c r="AB15" s="424"/>
      <c r="AC15" s="424"/>
      <c r="AD15" s="424"/>
      <c r="AE15" s="424"/>
      <c r="AF15" s="424"/>
      <c r="AG15" s="424"/>
      <c r="AH15" s="424"/>
      <c r="AI15" s="424"/>
      <c r="AJ15" s="425"/>
    </row>
    <row r="16" ht="17.1" customHeight="1" spans="1:36" s="40" customFormat="1" x14ac:dyDescent="0.25">
      <c r="A16" s="415"/>
      <c r="B16" s="416"/>
      <c r="C16" s="416"/>
      <c r="D16" s="223"/>
      <c r="E16" s="273"/>
      <c r="F16" s="273"/>
      <c r="G16" s="417"/>
      <c r="H16" s="426"/>
      <c r="I16" s="432"/>
      <c r="J16" s="433"/>
      <c r="K16" s="432"/>
      <c r="L16" s="433"/>
      <c r="M16" s="432"/>
      <c r="N16" s="433"/>
      <c r="O16" s="434"/>
      <c r="P16" s="426"/>
      <c r="Q16" s="432"/>
      <c r="R16" s="433"/>
      <c r="S16" s="432"/>
      <c r="T16" s="433"/>
      <c r="U16" s="432"/>
      <c r="V16" s="433"/>
      <c r="W16" s="434"/>
      <c r="X16" s="426">
        <f t="shared" si="0"/>
        <v>4</v>
      </c>
      <c r="Y16" s="427"/>
      <c r="Z16" s="428"/>
      <c r="AA16" s="423"/>
      <c r="AB16" s="424"/>
      <c r="AC16" s="424"/>
      <c r="AD16" s="424"/>
      <c r="AE16" s="424"/>
      <c r="AF16" s="424"/>
      <c r="AG16" s="424"/>
      <c r="AH16" s="424"/>
      <c r="AI16" s="424"/>
      <c r="AJ16" s="425"/>
    </row>
    <row r="17" ht="17.1" customHeight="1" spans="1:36" s="40" customFormat="1" x14ac:dyDescent="0.25">
      <c r="A17" s="415"/>
      <c r="B17" s="416"/>
      <c r="C17" s="416"/>
      <c r="D17" s="223"/>
      <c r="E17" s="273"/>
      <c r="F17" s="273"/>
      <c r="G17" s="417"/>
      <c r="H17" s="426"/>
      <c r="I17" s="432"/>
      <c r="J17" s="433"/>
      <c r="K17" s="432"/>
      <c r="L17" s="433"/>
      <c r="M17" s="432"/>
      <c r="N17" s="433"/>
      <c r="O17" s="434"/>
      <c r="P17" s="426"/>
      <c r="Q17" s="432"/>
      <c r="R17" s="433"/>
      <c r="S17" s="432"/>
      <c r="T17" s="433"/>
      <c r="U17" s="432"/>
      <c r="V17" s="433"/>
      <c r="W17" s="434"/>
      <c r="X17" s="426">
        <f t="shared" ref="X17" si="1">SUM(H17:W17)</f>
        <v>0</v>
      </c>
      <c r="Y17" s="427"/>
      <c r="Z17" s="428"/>
      <c r="AA17" s="429"/>
      <c r="AB17" s="430"/>
      <c r="AC17" s="430"/>
      <c r="AD17" s="430"/>
      <c r="AE17" s="430"/>
      <c r="AF17" s="430"/>
      <c r="AG17" s="430"/>
      <c r="AH17" s="430"/>
      <c r="AI17" s="430"/>
      <c r="AJ17" s="431"/>
    </row>
    <row r="18" ht="17.1" customHeight="1" spans="1:36" s="40" customFormat="1" x14ac:dyDescent="0.25">
      <c r="A18" s="415"/>
      <c r="B18" s="416"/>
      <c r="C18" s="416"/>
      <c r="D18" s="435"/>
      <c r="E18" s="36"/>
      <c r="F18" s="36"/>
      <c r="G18" s="38"/>
      <c r="H18" s="436"/>
      <c r="I18" s="437"/>
      <c r="J18" s="438"/>
      <c r="K18" s="439"/>
      <c r="L18" s="440"/>
      <c r="M18" s="439"/>
      <c r="N18" s="440"/>
      <c r="O18" s="439"/>
      <c r="P18" s="436"/>
      <c r="Q18" s="437"/>
      <c r="R18" s="438"/>
      <c r="S18" s="439"/>
      <c r="T18" s="440"/>
      <c r="U18" s="439"/>
      <c r="V18" s="440"/>
      <c r="W18" s="437"/>
      <c r="X18" s="441">
        <f t="shared" si="0"/>
        <v>0</v>
      </c>
      <c r="Y18" s="442"/>
      <c r="Z18" s="443"/>
      <c r="AA18" s="444"/>
      <c r="AB18" s="445"/>
      <c r="AC18" s="445"/>
      <c r="AD18" s="445"/>
      <c r="AE18" s="445"/>
      <c r="AF18" s="445"/>
      <c r="AG18" s="445"/>
      <c r="AH18" s="445"/>
      <c r="AI18" s="445"/>
      <c r="AJ18" s="446"/>
    </row>
    <row r="19" ht="17.1" customHeight="1" spans="1:36" s="40" customFormat="1" x14ac:dyDescent="0.25">
      <c r="A19" s="447"/>
      <c r="B19" s="448"/>
      <c r="C19" s="448"/>
      <c r="D19" s="449" t="s">
        <v>171</v>
      </c>
      <c r="E19" s="449"/>
      <c r="F19" s="449"/>
      <c r="G19" s="450"/>
      <c r="H19" s="451">
        <f>SUM(H12:I18)</f>
        <v>40</v>
      </c>
      <c r="I19" s="452"/>
      <c r="J19" s="453">
        <f>SUM(J12:K18)</f>
        <v>0</v>
      </c>
      <c r="K19" s="454"/>
      <c r="L19" s="453">
        <f>SUM(L12:M18)</f>
        <v>110</v>
      </c>
      <c r="M19" s="454"/>
      <c r="N19" s="453">
        <f>SUM(N12:O18)</f>
        <v>0</v>
      </c>
      <c r="O19" s="455"/>
      <c r="P19" s="451">
        <f>SUM(P12:Q18)</f>
        <v>20</v>
      </c>
      <c r="Q19" s="452"/>
      <c r="R19" s="452">
        <f>SUM(R12:S18)</f>
        <v>0</v>
      </c>
      <c r="S19" s="452"/>
      <c r="T19" s="452">
        <f>SUM(T12:U18)</f>
        <v>0</v>
      </c>
      <c r="U19" s="452"/>
      <c r="V19" s="452">
        <f>SUM(V12:W18)</f>
        <v>0</v>
      </c>
      <c r="W19" s="456"/>
      <c r="X19" s="457">
        <f>SUM(X12:Z18)</f>
        <v>170</v>
      </c>
      <c r="Y19" s="458"/>
      <c r="Z19" s="459"/>
      <c r="AA19" s="460"/>
      <c r="AB19" s="461"/>
      <c r="AC19" s="461"/>
      <c r="AD19" s="461"/>
      <c r="AE19" s="461"/>
      <c r="AF19" s="461"/>
      <c r="AG19" s="461"/>
      <c r="AH19" s="461"/>
      <c r="AI19" s="461"/>
      <c r="AJ19" s="462"/>
    </row>
    <row r="20" ht="17.1" customHeight="1" spans="1:36" s="40" customFormat="1" x14ac:dyDescent="0.25">
      <c r="A20" s="463" t="s">
        <v>172</v>
      </c>
      <c r="B20" s="464"/>
      <c r="C20" s="465"/>
      <c r="D20" s="187"/>
      <c r="E20" s="54"/>
      <c r="F20" s="54"/>
      <c r="G20" s="55"/>
      <c r="H20" s="401"/>
      <c r="I20" s="402"/>
      <c r="J20" s="420"/>
      <c r="K20" s="406"/>
      <c r="L20" s="420"/>
      <c r="M20" s="406"/>
      <c r="N20" s="420"/>
      <c r="O20" s="406"/>
      <c r="P20" s="401"/>
      <c r="Q20" s="402"/>
      <c r="R20" s="420"/>
      <c r="S20" s="406"/>
      <c r="T20" s="420"/>
      <c r="U20" s="406"/>
      <c r="V20" s="420"/>
      <c r="W20" s="402"/>
      <c r="X20" s="466">
        <f t="shared" ref="X20:X26" si="2">SUM(H20:W20)</f>
        <v>120</v>
      </c>
      <c r="Y20" s="467"/>
      <c r="Z20" s="468"/>
      <c r="AA20" s="469" t="s">
        <v>173</v>
      </c>
      <c r="AB20" s="470"/>
      <c r="AC20" s="470"/>
      <c r="AD20" s="470"/>
      <c r="AE20" s="470"/>
      <c r="AF20" s="470"/>
      <c r="AG20" s="470"/>
      <c r="AH20" s="470"/>
      <c r="AI20" s="470"/>
      <c r="AJ20" s="471"/>
    </row>
    <row r="21" ht="17.1" customHeight="1" spans="1:36" s="40" customFormat="1" x14ac:dyDescent="0.25">
      <c r="A21" s="415"/>
      <c r="B21" s="416"/>
      <c r="C21" s="472"/>
      <c r="D21" s="223"/>
      <c r="E21" s="273"/>
      <c r="F21" s="273"/>
      <c r="G21" s="417"/>
      <c r="H21" s="401"/>
      <c r="I21" s="402"/>
      <c r="J21" s="418"/>
      <c r="K21" s="419"/>
      <c r="L21" s="418"/>
      <c r="M21" s="419"/>
      <c r="N21" s="418"/>
      <c r="O21" s="419"/>
      <c r="P21" s="401"/>
      <c r="Q21" s="402"/>
      <c r="R21" s="420"/>
      <c r="S21" s="406"/>
      <c r="T21" s="420"/>
      <c r="U21" s="406"/>
      <c r="V21" s="420"/>
      <c r="W21" s="402"/>
      <c r="X21" s="421">
        <f t="shared" si="2"/>
        <v>47</v>
      </c>
      <c r="Y21" s="418"/>
      <c r="Z21" s="422"/>
      <c r="AA21" s="423" t="s">
        <v>174</v>
      </c>
      <c r="AB21" s="424"/>
      <c r="AC21" s="424"/>
      <c r="AD21" s="424"/>
      <c r="AE21" s="424"/>
      <c r="AF21" s="424"/>
      <c r="AG21" s="424"/>
      <c r="AH21" s="424"/>
      <c r="AI21" s="424"/>
      <c r="AJ21" s="425"/>
    </row>
    <row r="22" ht="17.1" customHeight="1" spans="1:36" s="40" customFormat="1" x14ac:dyDescent="0.25">
      <c r="A22" s="415"/>
      <c r="B22" s="416"/>
      <c r="C22" s="472"/>
      <c r="D22" s="190"/>
      <c r="E22" s="473"/>
      <c r="F22" s="473"/>
      <c r="G22" s="474"/>
      <c r="H22" s="441"/>
      <c r="I22" s="475"/>
      <c r="J22" s="442"/>
      <c r="K22" s="476"/>
      <c r="L22" s="442"/>
      <c r="M22" s="476"/>
      <c r="N22" s="442"/>
      <c r="O22" s="476"/>
      <c r="P22" s="441"/>
      <c r="Q22" s="475"/>
      <c r="R22" s="442"/>
      <c r="S22" s="476"/>
      <c r="T22" s="442"/>
      <c r="U22" s="476"/>
      <c r="V22" s="442"/>
      <c r="W22" s="475"/>
      <c r="X22" s="421">
        <f t="shared" si="2"/>
        <v>5</v>
      </c>
      <c r="Y22" s="418"/>
      <c r="Z22" s="422"/>
      <c r="AA22" s="423"/>
      <c r="AB22" s="424"/>
      <c r="AC22" s="424"/>
      <c r="AD22" s="424"/>
      <c r="AE22" s="424"/>
      <c r="AF22" s="424"/>
      <c r="AG22" s="424"/>
      <c r="AH22" s="424"/>
      <c r="AI22" s="424"/>
      <c r="AJ22" s="425"/>
    </row>
    <row r="23" ht="17.1" customHeight="1" spans="1:36" s="40" customFormat="1" x14ac:dyDescent="0.25">
      <c r="A23" s="415"/>
      <c r="B23" s="416"/>
      <c r="C23" s="472"/>
      <c r="D23" s="190"/>
      <c r="E23" s="473"/>
      <c r="F23" s="473"/>
      <c r="G23" s="474"/>
      <c r="H23" s="441"/>
      <c r="I23" s="475"/>
      <c r="J23" s="442"/>
      <c r="K23" s="476"/>
      <c r="L23" s="442"/>
      <c r="M23" s="476"/>
      <c r="N23" s="442"/>
      <c r="O23" s="476"/>
      <c r="P23" s="441"/>
      <c r="Q23" s="475"/>
      <c r="R23" s="442"/>
      <c r="S23" s="476"/>
      <c r="T23" s="442"/>
      <c r="U23" s="476"/>
      <c r="V23" s="442"/>
      <c r="W23" s="475"/>
      <c r="X23" s="421">
        <f t="shared" si="2"/>
        <v>36</v>
      </c>
      <c r="Y23" s="418"/>
      <c r="Z23" s="422"/>
      <c r="AA23" s="423" t="s">
        <v>175</v>
      </c>
      <c r="AB23" s="424"/>
      <c r="AC23" s="424"/>
      <c r="AD23" s="424"/>
      <c r="AE23" s="424"/>
      <c r="AF23" s="424"/>
      <c r="AG23" s="424"/>
      <c r="AH23" s="424"/>
      <c r="AI23" s="424"/>
      <c r="AJ23" s="425"/>
    </row>
    <row r="24" ht="17.1" customHeight="1" spans="1:36" s="40" customFormat="1" x14ac:dyDescent="0.25">
      <c r="A24" s="415"/>
      <c r="B24" s="416"/>
      <c r="C24" s="472"/>
      <c r="D24" s="190"/>
      <c r="E24" s="473"/>
      <c r="F24" s="473"/>
      <c r="G24" s="474"/>
      <c r="H24" s="441"/>
      <c r="I24" s="475"/>
      <c r="J24" s="442"/>
      <c r="K24" s="476"/>
      <c r="L24" s="442"/>
      <c r="M24" s="476"/>
      <c r="N24" s="442"/>
      <c r="O24" s="476"/>
      <c r="P24" s="441"/>
      <c r="Q24" s="475"/>
      <c r="R24" s="442"/>
      <c r="S24" s="476"/>
      <c r="T24" s="442"/>
      <c r="U24" s="476"/>
      <c r="V24" s="442"/>
      <c r="W24" s="475"/>
      <c r="X24" s="421">
        <f t="shared" si="2"/>
        <v>8</v>
      </c>
      <c r="Y24" s="418"/>
      <c r="Z24" s="422"/>
      <c r="AA24" s="423" t="s">
        <v>176</v>
      </c>
      <c r="AB24" s="424"/>
      <c r="AC24" s="424"/>
      <c r="AD24" s="424"/>
      <c r="AE24" s="424"/>
      <c r="AF24" s="424"/>
      <c r="AG24" s="424"/>
      <c r="AH24" s="424"/>
      <c r="AI24" s="424"/>
      <c r="AJ24" s="425"/>
    </row>
    <row r="25" ht="17.1" customHeight="1" spans="1:36" s="40" customFormat="1" x14ac:dyDescent="0.25">
      <c r="A25" s="415"/>
      <c r="B25" s="416"/>
      <c r="C25" s="472"/>
      <c r="D25" s="190"/>
      <c r="E25" s="473"/>
      <c r="F25" s="473"/>
      <c r="G25" s="474"/>
      <c r="H25" s="441"/>
      <c r="I25" s="475"/>
      <c r="J25" s="442"/>
      <c r="K25" s="476"/>
      <c r="L25" s="442"/>
      <c r="M25" s="476"/>
      <c r="N25" s="442"/>
      <c r="O25" s="476"/>
      <c r="P25" s="441"/>
      <c r="Q25" s="475"/>
      <c r="R25" s="442"/>
      <c r="S25" s="476"/>
      <c r="T25" s="442"/>
      <c r="U25" s="476"/>
      <c r="V25" s="442"/>
      <c r="W25" s="475"/>
      <c r="X25" s="421">
        <f t="shared" si="2"/>
        <v>0</v>
      </c>
      <c r="Y25" s="418"/>
      <c r="Z25" s="422"/>
      <c r="AA25" s="429"/>
      <c r="AB25" s="430"/>
      <c r="AC25" s="430"/>
      <c r="AD25" s="430"/>
      <c r="AE25" s="430"/>
      <c r="AF25" s="430"/>
      <c r="AG25" s="430"/>
      <c r="AH25" s="430"/>
      <c r="AI25" s="430"/>
      <c r="AJ25" s="431"/>
    </row>
    <row r="26" ht="17.1" customHeight="1" spans="1:36" s="40" customFormat="1" x14ac:dyDescent="0.25">
      <c r="A26" s="415"/>
      <c r="B26" s="416"/>
      <c r="C26" s="472"/>
      <c r="D26" s="184"/>
      <c r="E26" s="473"/>
      <c r="F26" s="473"/>
      <c r="G26" s="474"/>
      <c r="H26" s="441"/>
      <c r="I26" s="475"/>
      <c r="J26" s="442"/>
      <c r="K26" s="476"/>
      <c r="L26" s="442"/>
      <c r="M26" s="476"/>
      <c r="N26" s="442"/>
      <c r="O26" s="476"/>
      <c r="P26" s="441"/>
      <c r="Q26" s="475"/>
      <c r="R26" s="442"/>
      <c r="S26" s="476"/>
      <c r="T26" s="442"/>
      <c r="U26" s="476"/>
      <c r="V26" s="442"/>
      <c r="W26" s="475"/>
      <c r="X26" s="441">
        <f t="shared" si="2"/>
        <v>0</v>
      </c>
      <c r="Y26" s="442"/>
      <c r="Z26" s="443"/>
      <c r="AA26" s="477"/>
      <c r="AB26" s="478"/>
      <c r="AC26" s="478"/>
      <c r="AD26" s="478"/>
      <c r="AE26" s="478"/>
      <c r="AF26" s="478"/>
      <c r="AG26" s="478"/>
      <c r="AH26" s="478"/>
      <c r="AI26" s="478"/>
      <c r="AJ26" s="479"/>
    </row>
    <row r="27" ht="17.1" customHeight="1" spans="1:36" s="40" customFormat="1" x14ac:dyDescent="0.25">
      <c r="A27" s="447"/>
      <c r="B27" s="448"/>
      <c r="C27" s="480"/>
      <c r="D27" s="481" t="s">
        <v>171</v>
      </c>
      <c r="E27" s="481"/>
      <c r="F27" s="481"/>
      <c r="G27" s="482"/>
      <c r="H27" s="457">
        <f>SUM(H20:I26)</f>
        <v>47</v>
      </c>
      <c r="I27" s="458"/>
      <c r="J27" s="453">
        <f>SUM(J20:K26)</f>
        <v>0</v>
      </c>
      <c r="K27" s="454"/>
      <c r="L27" s="453">
        <f>SUM(L20:M26)</f>
        <v>169</v>
      </c>
      <c r="M27" s="454"/>
      <c r="N27" s="453">
        <f>SUM(N20:O26)</f>
        <v>0</v>
      </c>
      <c r="O27" s="455"/>
      <c r="P27" s="457">
        <f>SUM(P20:Q26)</f>
        <v>0</v>
      </c>
      <c r="Q27" s="458"/>
      <c r="R27" s="458">
        <f>SUM(R20:S26)</f>
        <v>0</v>
      </c>
      <c r="S27" s="458"/>
      <c r="T27" s="458">
        <f>SUM(T20:U26)</f>
        <v>0</v>
      </c>
      <c r="U27" s="458"/>
      <c r="V27" s="458">
        <f>SUM(V20:W26)</f>
        <v>0</v>
      </c>
      <c r="W27" s="459"/>
      <c r="X27" s="457">
        <f>SUM(X20:Z26)</f>
        <v>216</v>
      </c>
      <c r="Y27" s="458"/>
      <c r="Z27" s="459"/>
      <c r="AA27" s="483"/>
      <c r="AB27" s="461"/>
      <c r="AC27" s="461"/>
      <c r="AD27" s="461"/>
      <c r="AE27" s="461"/>
      <c r="AF27" s="461"/>
      <c r="AG27" s="461"/>
      <c r="AH27" s="461"/>
      <c r="AI27" s="461"/>
      <c r="AJ27" s="462"/>
    </row>
    <row r="28" ht="17.1" customHeight="1" spans="1:36" s="40" customFormat="1" x14ac:dyDescent="0.25">
      <c r="A28" s="52" t="s">
        <v>177</v>
      </c>
      <c r="B28" s="53"/>
      <c r="C28" s="53"/>
      <c r="D28" s="53" t="s">
        <v>178</v>
      </c>
      <c r="E28" s="53"/>
      <c r="F28" s="53"/>
      <c r="G28" s="187"/>
      <c r="H28" s="401"/>
      <c r="I28" s="420"/>
      <c r="J28" s="484"/>
      <c r="K28" s="485"/>
      <c r="L28" s="484"/>
      <c r="M28" s="485"/>
      <c r="N28" s="484"/>
      <c r="O28" s="486"/>
      <c r="P28" s="401"/>
      <c r="Q28" s="420"/>
      <c r="R28" s="420"/>
      <c r="S28" s="420"/>
      <c r="T28" s="420"/>
      <c r="U28" s="420"/>
      <c r="V28" s="420"/>
      <c r="W28" s="487"/>
      <c r="X28" s="405"/>
      <c r="Y28" s="420"/>
      <c r="Z28" s="487"/>
      <c r="AA28" s="488"/>
      <c r="AB28" s="489"/>
      <c r="AC28" s="489"/>
      <c r="AD28" s="489"/>
      <c r="AE28" s="489"/>
      <c r="AF28" s="489"/>
      <c r="AG28" s="489"/>
      <c r="AH28" s="489"/>
      <c r="AI28" s="489"/>
      <c r="AJ28" s="490"/>
    </row>
    <row r="29" ht="17.1" customHeight="1" spans="1:36" s="40" customFormat="1" x14ac:dyDescent="0.25">
      <c r="A29" s="37"/>
      <c r="B29" s="35"/>
      <c r="C29" s="35"/>
      <c r="D29" s="35" t="s">
        <v>178</v>
      </c>
      <c r="E29" s="35"/>
      <c r="F29" s="35"/>
      <c r="G29" s="435"/>
      <c r="H29" s="436"/>
      <c r="I29" s="438"/>
      <c r="J29" s="438"/>
      <c r="K29" s="438"/>
      <c r="L29" s="438"/>
      <c r="M29" s="438"/>
      <c r="N29" s="438"/>
      <c r="O29" s="491"/>
      <c r="P29" s="436"/>
      <c r="Q29" s="438"/>
      <c r="R29" s="438"/>
      <c r="S29" s="438"/>
      <c r="T29" s="438"/>
      <c r="U29" s="438"/>
      <c r="V29" s="438"/>
      <c r="W29" s="491"/>
      <c r="X29" s="440"/>
      <c r="Y29" s="438"/>
      <c r="Z29" s="491"/>
      <c r="AA29" s="492"/>
      <c r="AB29" s="493"/>
      <c r="AC29" s="493"/>
      <c r="AD29" s="493"/>
      <c r="AE29" s="493"/>
      <c r="AF29" s="493"/>
      <c r="AG29" s="493"/>
      <c r="AH29" s="493"/>
      <c r="AI29" s="493"/>
      <c r="AJ29" s="494"/>
    </row>
    <row r="30" ht="17.1" customHeight="1" spans="1:36" s="40" customFormat="1" x14ac:dyDescent="0.25">
      <c r="A30" s="495" t="s">
        <v>179</v>
      </c>
      <c r="B30" s="449"/>
      <c r="C30" s="449"/>
      <c r="D30" s="449"/>
      <c r="E30" s="449"/>
      <c r="F30" s="449"/>
      <c r="G30" s="496"/>
      <c r="H30" s="451">
        <f>SUM(H19+H27+H28+H29)</f>
        <v>87</v>
      </c>
      <c r="I30" s="452"/>
      <c r="J30" s="452">
        <f>SUM(J19+J27+J28+J29)</f>
        <v>0</v>
      </c>
      <c r="K30" s="452"/>
      <c r="L30" s="452">
        <f>SUM(L19+L27+L28+L29)</f>
        <v>279</v>
      </c>
      <c r="M30" s="452"/>
      <c r="N30" s="452">
        <f>SUM(N19+N27+N28+N29)</f>
        <v>0</v>
      </c>
      <c r="O30" s="456"/>
      <c r="P30" s="451">
        <f>SUM(P19+P27+P28+P29)</f>
        <v>20</v>
      </c>
      <c r="Q30" s="452"/>
      <c r="R30" s="452">
        <f>SUM(R19+R27+R28+R29)</f>
        <v>0</v>
      </c>
      <c r="S30" s="452"/>
      <c r="T30" s="452">
        <f>SUM(T19+T27+T28+T29)</f>
        <v>0</v>
      </c>
      <c r="U30" s="452"/>
      <c r="V30" s="452">
        <f>SUM(V19+V27+V28+V29)</f>
        <v>0</v>
      </c>
      <c r="W30" s="456"/>
      <c r="X30" s="497">
        <f>SUM(X19+X27+X28+X29)</f>
        <v>386</v>
      </c>
      <c r="Y30" s="452"/>
      <c r="Z30" s="456"/>
      <c r="AA30" s="498"/>
      <c r="AB30" s="499"/>
      <c r="AC30" s="499"/>
      <c r="AD30" s="499"/>
      <c r="AE30" s="499"/>
      <c r="AF30" s="499"/>
      <c r="AG30" s="499"/>
      <c r="AH30" s="499"/>
      <c r="AI30" s="499"/>
      <c r="AJ30" s="500"/>
    </row>
    <row r="31" ht="8.25" customHeight="1" spans="1:25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</row>
    <row r="32" spans="1:25" x14ac:dyDescent="0.25">
      <c r="A32" s="501" t="s">
        <v>180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</row>
    <row r="33" ht="3.75" customHeight="1" spans="1:25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</row>
    <row r="34" ht="21" customHeight="1" spans="1:36" x14ac:dyDescent="0.25">
      <c r="A34" s="502" t="s">
        <v>181</v>
      </c>
      <c r="B34" s="503"/>
      <c r="C34" s="503"/>
      <c r="D34" s="504"/>
      <c r="E34" s="505" t="s">
        <v>182</v>
      </c>
      <c r="F34" s="506"/>
      <c r="G34" s="506"/>
      <c r="H34" s="506"/>
      <c r="I34" s="506"/>
      <c r="J34" s="506"/>
      <c r="K34" s="506" t="s">
        <v>183</v>
      </c>
      <c r="L34" s="506"/>
      <c r="M34" s="506"/>
      <c r="N34" s="506"/>
      <c r="O34" s="506"/>
      <c r="P34" s="507"/>
      <c r="Q34" s="505" t="s">
        <v>184</v>
      </c>
      <c r="R34" s="506"/>
      <c r="S34" s="506"/>
      <c r="T34" s="506"/>
      <c r="U34" s="506"/>
      <c r="V34" s="507"/>
      <c r="W34" s="505" t="s">
        <v>49</v>
      </c>
      <c r="X34" s="506"/>
      <c r="Y34" s="506"/>
      <c r="Z34" s="506"/>
      <c r="AA34" s="506"/>
      <c r="AB34" s="506"/>
      <c r="AC34" s="506"/>
      <c r="AD34" s="506"/>
      <c r="AE34" s="506"/>
      <c r="AF34" s="506"/>
      <c r="AG34" s="506"/>
      <c r="AH34" s="506"/>
      <c r="AI34" s="506"/>
      <c r="AJ34" s="507"/>
    </row>
    <row r="35" ht="15.75" customHeight="1" spans="1:37" s="508" customFormat="1" x14ac:dyDescent="0.25">
      <c r="A35" s="509" t="s">
        <v>185</v>
      </c>
      <c r="B35" s="510"/>
      <c r="C35" s="510"/>
      <c r="D35" s="511"/>
      <c r="E35" s="512">
        <v>0.3541666666678793</v>
      </c>
      <c r="F35" s="513"/>
      <c r="G35" s="513"/>
      <c r="H35" s="513"/>
      <c r="I35" s="513"/>
      <c r="J35" s="514"/>
      <c r="K35" s="515"/>
      <c r="L35" s="513"/>
      <c r="M35" s="513"/>
      <c r="N35" s="513"/>
      <c r="O35" s="513"/>
      <c r="P35" s="516"/>
      <c r="Q35" s="517">
        <f t="shared" ref="Q35:Q36" si="3">IF(AND(NOT(ISBLANK(K35)),NOT(ISBLANK(E35))), IF(K35&gt;E35,K35-E35,24-E35+K35), "")</f>
      </c>
      <c r="R35" s="518"/>
      <c r="S35" s="518"/>
      <c r="T35" s="518"/>
      <c r="U35" s="518"/>
      <c r="V35" s="519"/>
      <c r="W35" s="520" t="s">
        <v>186</v>
      </c>
      <c r="X35" s="521"/>
      <c r="Y35" s="521"/>
      <c r="Z35" s="521"/>
      <c r="AA35" s="521"/>
      <c r="AB35" s="521"/>
      <c r="AC35" s="521"/>
      <c r="AD35" s="521"/>
      <c r="AE35" s="521"/>
      <c r="AF35" s="521"/>
      <c r="AG35" s="521"/>
      <c r="AH35" s="521"/>
      <c r="AI35" s="521"/>
      <c r="AJ35" s="522"/>
      <c r="AK35" s="523"/>
    </row>
    <row r="36" ht="15.75" customHeight="1" spans="1:37" s="508" customFormat="1" x14ac:dyDescent="0.25">
      <c r="A36" s="524"/>
      <c r="B36" s="525"/>
      <c r="C36" s="525"/>
      <c r="D36" s="526"/>
      <c r="E36" s="527">
        <f>E35</f>
        <v>0.3541666666678793</v>
      </c>
      <c r="F36" s="528"/>
      <c r="G36" s="528"/>
      <c r="H36" s="528"/>
      <c r="I36" s="528"/>
      <c r="J36" s="529"/>
      <c r="K36" s="530">
        <v>0.4791666666678793</v>
      </c>
      <c r="L36" s="528"/>
      <c r="M36" s="528"/>
      <c r="N36" s="528"/>
      <c r="O36" s="528"/>
      <c r="P36" s="531"/>
      <c r="Q36" s="532">
        <f t="shared" si="3"/>
        <v>0.125</v>
      </c>
      <c r="R36" s="533"/>
      <c r="S36" s="533"/>
      <c r="T36" s="533"/>
      <c r="U36" s="533"/>
      <c r="V36" s="534"/>
      <c r="W36" s="535" t="s">
        <v>187</v>
      </c>
      <c r="X36" s="536"/>
      <c r="Y36" s="536"/>
      <c r="Z36" s="536"/>
      <c r="AA36" s="536"/>
      <c r="AB36" s="536"/>
      <c r="AC36" s="536"/>
      <c r="AD36" s="536"/>
      <c r="AE36" s="536"/>
      <c r="AF36" s="536"/>
      <c r="AG36" s="536"/>
      <c r="AH36" s="536"/>
      <c r="AI36" s="536"/>
      <c r="AJ36" s="537"/>
      <c r="AK36" s="523"/>
    </row>
    <row r="37" ht="15.75" customHeight="1" spans="1:37" s="508" customFormat="1" x14ac:dyDescent="0.25">
      <c r="A37" s="538"/>
      <c r="B37" s="539"/>
      <c r="C37" s="539"/>
      <c r="D37" s="540"/>
      <c r="E37" s="527"/>
      <c r="F37" s="528"/>
      <c r="G37" s="528"/>
      <c r="H37" s="528"/>
      <c r="I37" s="528"/>
      <c r="J37" s="529"/>
      <c r="K37" s="530">
        <v>0.4791666666678793</v>
      </c>
      <c r="L37" s="528"/>
      <c r="M37" s="528"/>
      <c r="N37" s="528"/>
      <c r="O37" s="528"/>
      <c r="P37" s="531"/>
      <c r="Q37" s="532">
        <f>IF(AND(NOT(ISBLANK(K37)),NOT(ISBLANK(E37))), IF(K37&gt;E37,K37-E37,24-E37+K37), "")</f>
      </c>
      <c r="R37" s="533"/>
      <c r="S37" s="533"/>
      <c r="T37" s="533"/>
      <c r="U37" s="533"/>
      <c r="V37" s="534"/>
      <c r="W37" s="535" t="s">
        <v>188</v>
      </c>
      <c r="X37" s="536"/>
      <c r="Y37" s="536"/>
      <c r="Z37" s="536"/>
      <c r="AA37" s="536"/>
      <c r="AB37" s="536"/>
      <c r="AC37" s="536"/>
      <c r="AD37" s="536"/>
      <c r="AE37" s="536"/>
      <c r="AF37" s="536"/>
      <c r="AG37" s="536"/>
      <c r="AH37" s="536"/>
      <c r="AI37" s="536"/>
      <c r="AJ37" s="537"/>
      <c r="AK37" s="523"/>
    </row>
    <row r="38" ht="15.75" customHeight="1" spans="1:36" s="508" customFormat="1" x14ac:dyDescent="0.25">
      <c r="A38" s="538"/>
      <c r="B38" s="539"/>
      <c r="C38" s="539"/>
      <c r="D38" s="540"/>
      <c r="E38" s="527">
        <v>0.48611111110949423</v>
      </c>
      <c r="F38" s="528"/>
      <c r="G38" s="528"/>
      <c r="H38" s="528"/>
      <c r="I38" s="528"/>
      <c r="J38" s="529"/>
      <c r="K38" s="530"/>
      <c r="L38" s="528"/>
      <c r="M38" s="528"/>
      <c r="N38" s="528"/>
      <c r="O38" s="528"/>
      <c r="P38" s="531"/>
      <c r="Q38" s="532">
        <f t="shared" ref="Q38:Q39" si="4">IF(AND(NOT(ISBLANK(K38)),NOT(ISBLANK(E38))), IF(K38&gt;E38,K38-E38,24-E38+K38), "")</f>
      </c>
      <c r="R38" s="533"/>
      <c r="S38" s="533"/>
      <c r="T38" s="533"/>
      <c r="U38" s="533"/>
      <c r="V38" s="534"/>
      <c r="W38" s="535" t="s">
        <v>189</v>
      </c>
      <c r="X38" s="536"/>
      <c r="Y38" s="536"/>
      <c r="Z38" s="536"/>
      <c r="AA38" s="536"/>
      <c r="AB38" s="536"/>
      <c r="AC38" s="536"/>
      <c r="AD38" s="536"/>
      <c r="AE38" s="536"/>
      <c r="AF38" s="536"/>
      <c r="AG38" s="536"/>
      <c r="AH38" s="536"/>
      <c r="AI38" s="536"/>
      <c r="AJ38" s="537"/>
    </row>
    <row r="39" ht="15.75" customHeight="1" spans="1:36" s="508" customFormat="1" x14ac:dyDescent="0.25">
      <c r="A39" s="538"/>
      <c r="B39" s="539"/>
      <c r="C39" s="539"/>
      <c r="D39" s="540"/>
      <c r="E39" s="527">
        <v>0.48611111110949423</v>
      </c>
      <c r="F39" s="528"/>
      <c r="G39" s="528"/>
      <c r="H39" s="528"/>
      <c r="I39" s="528"/>
      <c r="J39" s="529"/>
      <c r="K39" s="530">
        <v>0.5</v>
      </c>
      <c r="L39" s="528"/>
      <c r="M39" s="528"/>
      <c r="N39" s="528"/>
      <c r="O39" s="528"/>
      <c r="P39" s="531"/>
      <c r="Q39" s="532">
        <f t="shared" si="4"/>
        <v>0.013888888890505768</v>
      </c>
      <c r="R39" s="533"/>
      <c r="S39" s="533"/>
      <c r="T39" s="533"/>
      <c r="U39" s="533"/>
      <c r="V39" s="534"/>
      <c r="W39" s="535" t="s">
        <v>190</v>
      </c>
      <c r="X39" s="536"/>
      <c r="Y39" s="536"/>
      <c r="Z39" s="536"/>
      <c r="AA39" s="536"/>
      <c r="AB39" s="536"/>
      <c r="AC39" s="536"/>
      <c r="AD39" s="536"/>
      <c r="AE39" s="536"/>
      <c r="AF39" s="536"/>
      <c r="AG39" s="536"/>
      <c r="AH39" s="536"/>
      <c r="AI39" s="536"/>
      <c r="AJ39" s="537"/>
    </row>
    <row r="40" ht="15.75" customHeight="1" spans="1:36" s="508" customFormat="1" x14ac:dyDescent="0.25">
      <c r="A40" s="538"/>
      <c r="B40" s="539"/>
      <c r="C40" s="539"/>
      <c r="D40" s="540"/>
      <c r="E40" s="527">
        <v>0.5</v>
      </c>
      <c r="F40" s="528"/>
      <c r="G40" s="528"/>
      <c r="H40" s="528"/>
      <c r="I40" s="528"/>
      <c r="J40" s="529"/>
      <c r="K40" s="530">
        <v>0.5416666666678793</v>
      </c>
      <c r="L40" s="528"/>
      <c r="M40" s="528"/>
      <c r="N40" s="528"/>
      <c r="O40" s="528"/>
      <c r="P40" s="531"/>
      <c r="Q40" s="532">
        <f t="shared" ref="Q40" si="5">IF(AND(NOT(ISBLANK(K40)),NOT(ISBLANK(E40))), IF(K40&gt;E40,K40-E40,24-E40+K40), "")</f>
        <v>0.041666666667879326</v>
      </c>
      <c r="R40" s="533"/>
      <c r="S40" s="533"/>
      <c r="T40" s="533"/>
      <c r="U40" s="533"/>
      <c r="V40" s="534"/>
      <c r="W40" s="535" t="s">
        <v>191</v>
      </c>
      <c r="X40" s="536"/>
      <c r="Y40" s="536"/>
      <c r="Z40" s="536"/>
      <c r="AA40" s="536"/>
      <c r="AB40" s="536"/>
      <c r="AC40" s="536"/>
      <c r="AD40" s="536"/>
      <c r="AE40" s="536"/>
      <c r="AF40" s="536"/>
      <c r="AG40" s="536"/>
      <c r="AH40" s="536"/>
      <c r="AI40" s="536"/>
      <c r="AJ40" s="537"/>
    </row>
    <row r="41" ht="15.75" customHeight="1" spans="1:36" s="508" customFormat="1" x14ac:dyDescent="0.25">
      <c r="A41" s="538"/>
      <c r="B41" s="539"/>
      <c r="C41" s="539"/>
      <c r="D41" s="540"/>
      <c r="E41" s="527">
        <v>0.5416666666678793</v>
      </c>
      <c r="F41" s="528"/>
      <c r="G41" s="528"/>
      <c r="H41" s="528"/>
      <c r="I41" s="528"/>
      <c r="J41" s="529"/>
      <c r="K41" s="530">
        <v>0.7152777777773736</v>
      </c>
      <c r="L41" s="528"/>
      <c r="M41" s="528"/>
      <c r="N41" s="528"/>
      <c r="O41" s="528"/>
      <c r="P41" s="531"/>
      <c r="Q41" s="532">
        <f>IF(AND(NOT(ISBLANK(K41)),NOT(ISBLANK(E41))), IF(K41&gt;E41,K41-E41,24-E41+K41), "")</f>
        <v>0.17361111110949423</v>
      </c>
      <c r="R41" s="533"/>
      <c r="S41" s="533"/>
      <c r="T41" s="533"/>
      <c r="U41" s="533"/>
      <c r="V41" s="534"/>
      <c r="W41" s="535" t="s">
        <v>190</v>
      </c>
      <c r="X41" s="536"/>
      <c r="Y41" s="536"/>
      <c r="Z41" s="536"/>
      <c r="AA41" s="536"/>
      <c r="AB41" s="536"/>
      <c r="AC41" s="536"/>
      <c r="AD41" s="536"/>
      <c r="AE41" s="536"/>
      <c r="AF41" s="536"/>
      <c r="AG41" s="536"/>
      <c r="AH41" s="536"/>
      <c r="AI41" s="536"/>
      <c r="AJ41" s="537"/>
    </row>
    <row r="42" ht="15.75" customHeight="1" spans="1:36" s="508" customFormat="1" x14ac:dyDescent="0.25">
      <c r="A42" s="538"/>
      <c r="B42" s="539"/>
      <c r="C42" s="539"/>
      <c r="D42" s="540"/>
      <c r="E42" s="527"/>
      <c r="F42" s="528"/>
      <c r="G42" s="528"/>
      <c r="H42" s="528"/>
      <c r="I42" s="528"/>
      <c r="J42" s="529"/>
      <c r="K42" s="530">
        <v>0.7152777777773736</v>
      </c>
      <c r="L42" s="528"/>
      <c r="M42" s="528"/>
      <c r="N42" s="528"/>
      <c r="O42" s="528"/>
      <c r="P42" s="531"/>
      <c r="Q42" s="532">
        <f t="shared" ref="Q42" si="6">IF(AND(NOT(ISBLANK(K42)),NOT(ISBLANK(E42))), IF(K42&gt;E42,K42-E42,24-E42+K42), "")</f>
      </c>
      <c r="R42" s="533"/>
      <c r="S42" s="533"/>
      <c r="T42" s="533"/>
      <c r="U42" s="533"/>
      <c r="V42" s="534"/>
      <c r="W42" s="535" t="s">
        <v>192</v>
      </c>
      <c r="X42" s="536"/>
      <c r="Y42" s="536"/>
      <c r="Z42" s="536"/>
      <c r="AA42" s="536"/>
      <c r="AB42" s="536"/>
      <c r="AC42" s="536"/>
      <c r="AD42" s="536"/>
      <c r="AE42" s="536"/>
      <c r="AF42" s="536"/>
      <c r="AG42" s="536"/>
      <c r="AH42" s="536"/>
      <c r="AI42" s="536"/>
      <c r="AJ42" s="537"/>
    </row>
    <row r="43" ht="15.75" customHeight="1" spans="1:37" s="508" customFormat="1" x14ac:dyDescent="0.25">
      <c r="A43" s="538"/>
      <c r="B43" s="539"/>
      <c r="C43" s="539"/>
      <c r="D43" s="540"/>
      <c r="E43" s="527"/>
      <c r="F43" s="528"/>
      <c r="G43" s="528"/>
      <c r="H43" s="528"/>
      <c r="I43" s="528"/>
      <c r="J43" s="529"/>
      <c r="K43" s="530"/>
      <c r="L43" s="528"/>
      <c r="M43" s="528"/>
      <c r="N43" s="528"/>
      <c r="O43" s="528"/>
      <c r="P43" s="531"/>
      <c r="Q43" s="532">
        <f t="shared" ref="Q43:Q46" si="7">IF(AND(NOT(ISBLANK(K43)),NOT(ISBLANK(E43))), IF(K43&gt;E43,K43-E43,24-E43+K43), "")</f>
      </c>
      <c r="R43" s="533"/>
      <c r="S43" s="533"/>
      <c r="T43" s="533"/>
      <c r="U43" s="533"/>
      <c r="V43" s="534"/>
      <c r="W43" s="535"/>
      <c r="X43" s="536"/>
      <c r="Y43" s="536"/>
      <c r="Z43" s="536"/>
      <c r="AA43" s="536"/>
      <c r="AB43" s="536"/>
      <c r="AC43" s="536"/>
      <c r="AD43" s="536"/>
      <c r="AE43" s="536"/>
      <c r="AF43" s="536"/>
      <c r="AG43" s="536"/>
      <c r="AH43" s="536"/>
      <c r="AI43" s="536"/>
      <c r="AJ43" s="537"/>
      <c r="AK43" s="523"/>
    </row>
    <row r="44" ht="15.75" customHeight="1" spans="1:37" s="508" customFormat="1" x14ac:dyDescent="0.25">
      <c r="A44" s="538"/>
      <c r="B44" s="539"/>
      <c r="C44" s="539"/>
      <c r="D44" s="540"/>
      <c r="E44" s="527"/>
      <c r="F44" s="528"/>
      <c r="G44" s="528"/>
      <c r="H44" s="528"/>
      <c r="I44" s="528"/>
      <c r="J44" s="529"/>
      <c r="K44" s="530"/>
      <c r="L44" s="528"/>
      <c r="M44" s="528"/>
      <c r="N44" s="528"/>
      <c r="O44" s="528"/>
      <c r="P44" s="531"/>
      <c r="Q44" s="532">
        <f>IF(AND(NOT(ISBLANK(K44)),NOT(ISBLANK(E44))), IF(K44&gt;E44,K44-E44,24-E44+K44), "")</f>
      </c>
      <c r="R44" s="533"/>
      <c r="S44" s="533"/>
      <c r="T44" s="533"/>
      <c r="U44" s="533"/>
      <c r="V44" s="534"/>
      <c r="W44" s="535"/>
      <c r="X44" s="536"/>
      <c r="Y44" s="536"/>
      <c r="Z44" s="536"/>
      <c r="AA44" s="536"/>
      <c r="AB44" s="536"/>
      <c r="AC44" s="536"/>
      <c r="AD44" s="536"/>
      <c r="AE44" s="536"/>
      <c r="AF44" s="536"/>
      <c r="AG44" s="536"/>
      <c r="AH44" s="536"/>
      <c r="AI44" s="536"/>
      <c r="AJ44" s="537"/>
      <c r="AK44" s="523"/>
    </row>
    <row r="45" ht="15.75" customHeight="1" spans="1:37" s="508" customFormat="1" x14ac:dyDescent="0.25">
      <c r="A45" s="538"/>
      <c r="B45" s="539"/>
      <c r="C45" s="539"/>
      <c r="D45" s="540"/>
      <c r="E45" s="527"/>
      <c r="F45" s="528"/>
      <c r="G45" s="528"/>
      <c r="H45" s="528"/>
      <c r="I45" s="528"/>
      <c r="J45" s="529"/>
      <c r="K45" s="530"/>
      <c r="L45" s="528"/>
      <c r="M45" s="528"/>
      <c r="N45" s="528"/>
      <c r="O45" s="528"/>
      <c r="P45" s="531"/>
      <c r="Q45" s="532">
        <f>IF(AND(NOT(ISBLANK(K45)),NOT(ISBLANK(E45))), IF(K45&gt;E45,K45-E45,24-E45+K45), "")</f>
      </c>
      <c r="R45" s="533"/>
      <c r="S45" s="533"/>
      <c r="T45" s="533"/>
      <c r="U45" s="533"/>
      <c r="V45" s="534"/>
      <c r="W45" s="535"/>
      <c r="X45" s="536"/>
      <c r="Y45" s="536"/>
      <c r="Z45" s="536"/>
      <c r="AA45" s="536"/>
      <c r="AB45" s="536"/>
      <c r="AC45" s="536"/>
      <c r="AD45" s="536"/>
      <c r="AE45" s="536"/>
      <c r="AF45" s="536"/>
      <c r="AG45" s="536"/>
      <c r="AH45" s="536"/>
      <c r="AI45" s="536"/>
      <c r="AJ45" s="537"/>
      <c r="AK45" s="523"/>
    </row>
    <row r="46" ht="15.75" customHeight="1" spans="1:37" s="508" customFormat="1" x14ac:dyDescent="0.25">
      <c r="A46" s="538"/>
      <c r="B46" s="539"/>
      <c r="C46" s="539"/>
      <c r="D46" s="540"/>
      <c r="E46" s="527"/>
      <c r="F46" s="528"/>
      <c r="G46" s="528"/>
      <c r="H46" s="528"/>
      <c r="I46" s="528"/>
      <c r="J46" s="529"/>
      <c r="K46" s="528"/>
      <c r="L46" s="528"/>
      <c r="M46" s="528"/>
      <c r="N46" s="528"/>
      <c r="O46" s="528"/>
      <c r="P46" s="531"/>
      <c r="Q46" s="532">
        <f t="shared" si="7"/>
      </c>
      <c r="R46" s="533"/>
      <c r="S46" s="533"/>
      <c r="T46" s="533"/>
      <c r="U46" s="533"/>
      <c r="V46" s="534"/>
      <c r="W46" s="535"/>
      <c r="X46" s="536"/>
      <c r="Y46" s="536"/>
      <c r="Z46" s="536"/>
      <c r="AA46" s="536"/>
      <c r="AB46" s="536"/>
      <c r="AC46" s="536"/>
      <c r="AD46" s="536"/>
      <c r="AE46" s="536"/>
      <c r="AF46" s="536"/>
      <c r="AG46" s="536"/>
      <c r="AH46" s="536"/>
      <c r="AI46" s="536"/>
      <c r="AJ46" s="537"/>
      <c r="AK46" s="523"/>
    </row>
    <row r="47" ht="15.75" customHeight="1" hidden="1" spans="1:36" s="508" customFormat="1" x14ac:dyDescent="0.25">
      <c r="A47" s="538"/>
      <c r="B47" s="539"/>
      <c r="C47" s="539"/>
      <c r="D47" s="540"/>
      <c r="E47" s="527"/>
      <c r="F47" s="528"/>
      <c r="G47" s="528"/>
      <c r="H47" s="528"/>
      <c r="I47" s="528"/>
      <c r="J47" s="529"/>
      <c r="K47" s="528"/>
      <c r="L47" s="528"/>
      <c r="M47" s="528"/>
      <c r="N47" s="528"/>
      <c r="O47" s="528"/>
      <c r="P47" s="531"/>
      <c r="Q47" s="532">
        <f t="shared" ref="Q47:Q48" si="8">IF(AND(NOT(ISBLANK(K47)),NOT(ISBLANK(E47))), IF(K47&gt;E47,K47-E47,24-E47+K47), "")</f>
      </c>
      <c r="R47" s="533"/>
      <c r="S47" s="533"/>
      <c r="T47" s="533"/>
      <c r="U47" s="533"/>
      <c r="V47" s="534"/>
      <c r="W47" s="535"/>
      <c r="X47" s="536"/>
      <c r="Y47" s="536"/>
      <c r="Z47" s="536"/>
      <c r="AA47" s="536"/>
      <c r="AB47" s="536"/>
      <c r="AC47" s="536"/>
      <c r="AD47" s="536"/>
      <c r="AE47" s="536"/>
      <c r="AF47" s="536"/>
      <c r="AG47" s="536"/>
      <c r="AH47" s="536"/>
      <c r="AI47" s="536"/>
      <c r="AJ47" s="537"/>
    </row>
    <row r="48" ht="15.75" customHeight="1" spans="1:37" s="508" customFormat="1" x14ac:dyDescent="0.25">
      <c r="A48" s="538"/>
      <c r="B48" s="539"/>
      <c r="C48" s="539"/>
      <c r="D48" s="540"/>
      <c r="E48" s="527"/>
      <c r="F48" s="528"/>
      <c r="G48" s="528"/>
      <c r="H48" s="528"/>
      <c r="I48" s="528"/>
      <c r="J48" s="529"/>
      <c r="K48" s="528"/>
      <c r="L48" s="528"/>
      <c r="M48" s="528"/>
      <c r="N48" s="528"/>
      <c r="O48" s="528"/>
      <c r="P48" s="531"/>
      <c r="Q48" s="532">
        <f t="shared" si="8"/>
      </c>
      <c r="R48" s="533"/>
      <c r="S48" s="533"/>
      <c r="T48" s="533"/>
      <c r="U48" s="533"/>
      <c r="V48" s="534"/>
      <c r="W48" s="535"/>
      <c r="X48" s="536"/>
      <c r="Y48" s="536"/>
      <c r="Z48" s="536"/>
      <c r="AA48" s="536"/>
      <c r="AB48" s="536"/>
      <c r="AC48" s="536"/>
      <c r="AD48" s="536"/>
      <c r="AE48" s="536"/>
      <c r="AF48" s="536"/>
      <c r="AG48" s="536"/>
      <c r="AH48" s="536"/>
      <c r="AI48" s="536"/>
      <c r="AJ48" s="537"/>
      <c r="AK48" s="523"/>
    </row>
    <row r="49" ht="15.75" customHeight="1" spans="1:37" s="40" customFormat="1" x14ac:dyDescent="0.25">
      <c r="A49" s="541"/>
      <c r="B49" s="542"/>
      <c r="C49" s="542"/>
      <c r="D49" s="542"/>
      <c r="E49" s="542"/>
      <c r="F49" s="542"/>
      <c r="G49" s="542"/>
      <c r="H49" s="542"/>
      <c r="I49" s="542"/>
      <c r="J49" s="542"/>
      <c r="K49" s="542"/>
      <c r="L49" s="542"/>
      <c r="M49" s="542"/>
      <c r="N49" s="542"/>
      <c r="O49" s="542"/>
      <c r="P49" s="543"/>
      <c r="Q49" s="544">
        <f>SUM(Q35:V48)</f>
        <v>0.3541666666678793</v>
      </c>
      <c r="R49" s="545"/>
      <c r="S49" s="545"/>
      <c r="T49" s="545"/>
      <c r="U49" s="545"/>
      <c r="V49" s="546"/>
      <c r="W49" s="547"/>
      <c r="X49" s="548"/>
      <c r="Y49" s="548"/>
      <c r="Z49" s="548"/>
      <c r="AA49" s="548"/>
      <c r="AB49" s="548"/>
      <c r="AC49" s="548"/>
      <c r="AD49" s="548"/>
      <c r="AE49" s="548"/>
      <c r="AF49" s="548"/>
      <c r="AG49" s="548"/>
      <c r="AH49" s="548"/>
      <c r="AI49" s="548"/>
      <c r="AJ49" s="549"/>
      <c r="AK49" s="550"/>
    </row>
    <row r="50" ht="15.75" customHeight="1" spans="1:37" s="508" customFormat="1" x14ac:dyDescent="0.25">
      <c r="A50" s="509" t="s">
        <v>193</v>
      </c>
      <c r="B50" s="510"/>
      <c r="C50" s="510"/>
      <c r="D50" s="511"/>
      <c r="E50" s="512">
        <v>0.3541666666678793</v>
      </c>
      <c r="F50" s="513"/>
      <c r="G50" s="513"/>
      <c r="H50" s="513"/>
      <c r="I50" s="513"/>
      <c r="J50" s="514"/>
      <c r="K50" s="515"/>
      <c r="L50" s="513"/>
      <c r="M50" s="513"/>
      <c r="N50" s="513"/>
      <c r="O50" s="513"/>
      <c r="P50" s="516"/>
      <c r="Q50" s="517">
        <f t="shared" ref="Q50:Q51" si="9">IF(AND(NOT(ISBLANK(K50)),NOT(ISBLANK(E50))), IF(K50&gt;E50,K50-E50,24-E50+K50), "")</f>
      </c>
      <c r="R50" s="518"/>
      <c r="S50" s="518"/>
      <c r="T50" s="518"/>
      <c r="U50" s="518"/>
      <c r="V50" s="519"/>
      <c r="W50" s="520" t="s">
        <v>186</v>
      </c>
      <c r="X50" s="521"/>
      <c r="Y50" s="521"/>
      <c r="Z50" s="521"/>
      <c r="AA50" s="521"/>
      <c r="AB50" s="521"/>
      <c r="AC50" s="521"/>
      <c r="AD50" s="521"/>
      <c r="AE50" s="521"/>
      <c r="AF50" s="521"/>
      <c r="AG50" s="521"/>
      <c r="AH50" s="521"/>
      <c r="AI50" s="521"/>
      <c r="AJ50" s="522"/>
      <c r="AK50" s="523"/>
    </row>
    <row r="51" ht="15.75" customHeight="1" spans="1:37" s="508" customFormat="1" x14ac:dyDescent="0.25">
      <c r="A51" s="524"/>
      <c r="B51" s="525"/>
      <c r="C51" s="525"/>
      <c r="D51" s="526"/>
      <c r="E51" s="527">
        <v>0.3541666666678793</v>
      </c>
      <c r="F51" s="528"/>
      <c r="G51" s="528"/>
      <c r="H51" s="528"/>
      <c r="I51" s="528"/>
      <c r="J51" s="529"/>
      <c r="K51" s="530">
        <v>0.47222222222262644</v>
      </c>
      <c r="L51" s="528"/>
      <c r="M51" s="528"/>
      <c r="N51" s="528"/>
      <c r="O51" s="528"/>
      <c r="P51" s="531"/>
      <c r="Q51" s="532">
        <f t="shared" si="9"/>
        <v>0.11805555555474712</v>
      </c>
      <c r="R51" s="533"/>
      <c r="S51" s="533"/>
      <c r="T51" s="533"/>
      <c r="U51" s="533"/>
      <c r="V51" s="534"/>
      <c r="W51" s="535" t="s">
        <v>187</v>
      </c>
      <c r="X51" s="536"/>
      <c r="Y51" s="536"/>
      <c r="Z51" s="536"/>
      <c r="AA51" s="536"/>
      <c r="AB51" s="536"/>
      <c r="AC51" s="536"/>
      <c r="AD51" s="536"/>
      <c r="AE51" s="536"/>
      <c r="AF51" s="536"/>
      <c r="AG51" s="536"/>
      <c r="AH51" s="536"/>
      <c r="AI51" s="536"/>
      <c r="AJ51" s="537"/>
      <c r="AK51" s="523"/>
    </row>
    <row r="52" ht="15.75" customHeight="1" spans="1:37" s="508" customFormat="1" x14ac:dyDescent="0.25">
      <c r="A52" s="538"/>
      <c r="B52" s="539"/>
      <c r="C52" s="539"/>
      <c r="D52" s="540"/>
      <c r="E52" s="527"/>
      <c r="F52" s="528"/>
      <c r="G52" s="528"/>
      <c r="H52" s="528"/>
      <c r="I52" s="528"/>
      <c r="J52" s="529"/>
      <c r="K52" s="530">
        <v>0.47222222222262644</v>
      </c>
      <c r="L52" s="528"/>
      <c r="M52" s="528"/>
      <c r="N52" s="528"/>
      <c r="O52" s="528"/>
      <c r="P52" s="531"/>
      <c r="Q52" s="532">
        <f>IF(AND(NOT(ISBLANK(K52)),NOT(ISBLANK(E52))), IF(K52&gt;E52,K52-E52,24-E52+K52), "")</f>
      </c>
      <c r="R52" s="533"/>
      <c r="S52" s="533"/>
      <c r="T52" s="533"/>
      <c r="U52" s="533"/>
      <c r="V52" s="534"/>
      <c r="W52" s="535" t="s">
        <v>188</v>
      </c>
      <c r="X52" s="536"/>
      <c r="Y52" s="536"/>
      <c r="Z52" s="536"/>
      <c r="AA52" s="536"/>
      <c r="AB52" s="536"/>
      <c r="AC52" s="536"/>
      <c r="AD52" s="536"/>
      <c r="AE52" s="536"/>
      <c r="AF52" s="536"/>
      <c r="AG52" s="536"/>
      <c r="AH52" s="536"/>
      <c r="AI52" s="536"/>
      <c r="AJ52" s="537"/>
      <c r="AK52" s="523"/>
    </row>
    <row r="53" ht="15.75" customHeight="1" spans="1:36" s="508" customFormat="1" x14ac:dyDescent="0.25">
      <c r="A53" s="538"/>
      <c r="B53" s="539"/>
      <c r="C53" s="539"/>
      <c r="D53" s="540"/>
      <c r="E53" s="527">
        <v>0.48611111110949423</v>
      </c>
      <c r="F53" s="528"/>
      <c r="G53" s="528"/>
      <c r="H53" s="528"/>
      <c r="I53" s="528"/>
      <c r="J53" s="529"/>
      <c r="K53" s="530"/>
      <c r="L53" s="528"/>
      <c r="M53" s="528"/>
      <c r="N53" s="528"/>
      <c r="O53" s="528"/>
      <c r="P53" s="531"/>
      <c r="Q53" s="532">
        <f t="shared" ref="Q53:Q55" si="10">IF(AND(NOT(ISBLANK(K53)),NOT(ISBLANK(E53))), IF(K53&gt;E53,K53-E53,24-E53+K53), "")</f>
      </c>
      <c r="R53" s="533"/>
      <c r="S53" s="533"/>
      <c r="T53" s="533"/>
      <c r="U53" s="533"/>
      <c r="V53" s="534"/>
      <c r="W53" s="535" t="s">
        <v>189</v>
      </c>
      <c r="X53" s="536"/>
      <c r="Y53" s="536"/>
      <c r="Z53" s="536"/>
      <c r="AA53" s="536"/>
      <c r="AB53" s="536"/>
      <c r="AC53" s="536"/>
      <c r="AD53" s="536"/>
      <c r="AE53" s="536"/>
      <c r="AF53" s="536"/>
      <c r="AG53" s="536"/>
      <c r="AH53" s="536"/>
      <c r="AI53" s="536"/>
      <c r="AJ53" s="537"/>
    </row>
    <row r="54" ht="15.75" customHeight="1" spans="1:36" s="508" customFormat="1" x14ac:dyDescent="0.25">
      <c r="A54" s="538"/>
      <c r="B54" s="539"/>
      <c r="C54" s="539"/>
      <c r="D54" s="540"/>
      <c r="E54" s="527">
        <v>0.48611111110949423</v>
      </c>
      <c r="F54" s="528"/>
      <c r="G54" s="528"/>
      <c r="H54" s="528"/>
      <c r="I54" s="528"/>
      <c r="J54" s="529"/>
      <c r="K54" s="530">
        <v>0.5</v>
      </c>
      <c r="L54" s="528"/>
      <c r="M54" s="528"/>
      <c r="N54" s="528"/>
      <c r="O54" s="528"/>
      <c r="P54" s="531"/>
      <c r="Q54" s="532">
        <f t="shared" si="10"/>
        <v>0.013888888890505768</v>
      </c>
      <c r="R54" s="533"/>
      <c r="S54" s="533"/>
      <c r="T54" s="533"/>
      <c r="U54" s="533"/>
      <c r="V54" s="534"/>
      <c r="W54" s="535" t="s">
        <v>190</v>
      </c>
      <c r="X54" s="536"/>
      <c r="Y54" s="536"/>
      <c r="Z54" s="536"/>
      <c r="AA54" s="536"/>
      <c r="AB54" s="536"/>
      <c r="AC54" s="536"/>
      <c r="AD54" s="536"/>
      <c r="AE54" s="536"/>
      <c r="AF54" s="536"/>
      <c r="AG54" s="536"/>
      <c r="AH54" s="536"/>
      <c r="AI54" s="536"/>
      <c r="AJ54" s="537"/>
    </row>
    <row r="55" ht="15.75" customHeight="1" spans="1:36" s="508" customFormat="1" x14ac:dyDescent="0.25">
      <c r="A55" s="538"/>
      <c r="B55" s="539"/>
      <c r="C55" s="539"/>
      <c r="D55" s="540"/>
      <c r="E55" s="527">
        <v>0.5</v>
      </c>
      <c r="F55" s="528"/>
      <c r="G55" s="528"/>
      <c r="H55" s="528"/>
      <c r="I55" s="528"/>
      <c r="J55" s="529"/>
      <c r="K55" s="530">
        <v>0.5416666666678793</v>
      </c>
      <c r="L55" s="528"/>
      <c r="M55" s="528"/>
      <c r="N55" s="528"/>
      <c r="O55" s="528"/>
      <c r="P55" s="531"/>
      <c r="Q55" s="532">
        <f t="shared" si="10"/>
        <v>0.041666666667879326</v>
      </c>
      <c r="R55" s="533"/>
      <c r="S55" s="533"/>
      <c r="T55" s="533"/>
      <c r="U55" s="533"/>
      <c r="V55" s="534"/>
      <c r="W55" s="535" t="s">
        <v>191</v>
      </c>
      <c r="X55" s="536"/>
      <c r="Y55" s="536"/>
      <c r="Z55" s="536"/>
      <c r="AA55" s="536"/>
      <c r="AB55" s="536"/>
      <c r="AC55" s="536"/>
      <c r="AD55" s="536"/>
      <c r="AE55" s="536"/>
      <c r="AF55" s="536"/>
      <c r="AG55" s="536"/>
      <c r="AH55" s="536"/>
      <c r="AI55" s="536"/>
      <c r="AJ55" s="537"/>
    </row>
    <row r="56" ht="15.75" customHeight="1" spans="1:36" s="508" customFormat="1" x14ac:dyDescent="0.25">
      <c r="A56" s="538"/>
      <c r="B56" s="539"/>
      <c r="C56" s="539"/>
      <c r="D56" s="540"/>
      <c r="E56" s="527">
        <v>0.5416666666678793</v>
      </c>
      <c r="F56" s="528"/>
      <c r="G56" s="528"/>
      <c r="H56" s="528"/>
      <c r="I56" s="528"/>
      <c r="J56" s="529"/>
      <c r="K56" s="530">
        <v>0.7118055555547471</v>
      </c>
      <c r="L56" s="528"/>
      <c r="M56" s="528"/>
      <c r="N56" s="528"/>
      <c r="O56" s="528"/>
      <c r="P56" s="531"/>
      <c r="Q56" s="532">
        <f>IF(AND(NOT(ISBLANK(K56)),NOT(ISBLANK(E56))), IF(K56&gt;E56,K56-E56,24-E56+K56), "")</f>
        <v>0.17013888889050577</v>
      </c>
      <c r="R56" s="533"/>
      <c r="S56" s="533"/>
      <c r="T56" s="533"/>
      <c r="U56" s="533"/>
      <c r="V56" s="534"/>
      <c r="W56" s="535" t="s">
        <v>190</v>
      </c>
      <c r="X56" s="536"/>
      <c r="Y56" s="536"/>
      <c r="Z56" s="536"/>
      <c r="AA56" s="536"/>
      <c r="AB56" s="536"/>
      <c r="AC56" s="536"/>
      <c r="AD56" s="536"/>
      <c r="AE56" s="536"/>
      <c r="AF56" s="536"/>
      <c r="AG56" s="536"/>
      <c r="AH56" s="536"/>
      <c r="AI56" s="536"/>
      <c r="AJ56" s="537"/>
    </row>
    <row r="57" ht="15.75" customHeight="1" spans="1:36" s="508" customFormat="1" x14ac:dyDescent="0.25">
      <c r="A57" s="538"/>
      <c r="B57" s="539"/>
      <c r="C57" s="539"/>
      <c r="D57" s="540"/>
      <c r="E57" s="527"/>
      <c r="F57" s="528"/>
      <c r="G57" s="528"/>
      <c r="H57" s="528"/>
      <c r="I57" s="528"/>
      <c r="J57" s="529"/>
      <c r="K57" s="530">
        <v>0.7118055555547471</v>
      </c>
      <c r="L57" s="528"/>
      <c r="M57" s="528"/>
      <c r="N57" s="528"/>
      <c r="O57" s="528"/>
      <c r="P57" s="531"/>
      <c r="Q57" s="532">
        <f t="shared" ref="Q57" si="11">IF(AND(NOT(ISBLANK(K57)),NOT(ISBLANK(E57))), IF(K57&gt;E57,K57-E57,24-E57+K57), "")</f>
      </c>
      <c r="R57" s="533"/>
      <c r="S57" s="533"/>
      <c r="T57" s="533"/>
      <c r="U57" s="533"/>
      <c r="V57" s="534"/>
      <c r="W57" s="535" t="s">
        <v>192</v>
      </c>
      <c r="X57" s="536"/>
      <c r="Y57" s="536"/>
      <c r="Z57" s="536"/>
      <c r="AA57" s="536"/>
      <c r="AB57" s="536"/>
      <c r="AC57" s="536"/>
      <c r="AD57" s="536"/>
      <c r="AE57" s="536"/>
      <c r="AF57" s="536"/>
      <c r="AG57" s="536"/>
      <c r="AH57" s="536"/>
      <c r="AI57" s="536"/>
      <c r="AJ57" s="537"/>
    </row>
    <row r="58" ht="15.75" customHeight="1" spans="1:37" s="508" customFormat="1" x14ac:dyDescent="0.25">
      <c r="A58" s="538"/>
      <c r="B58" s="539"/>
      <c r="C58" s="539"/>
      <c r="D58" s="540"/>
      <c r="E58" s="527"/>
      <c r="F58" s="528"/>
      <c r="G58" s="528"/>
      <c r="H58" s="528"/>
      <c r="I58" s="528"/>
      <c r="J58" s="529"/>
      <c r="K58" s="530"/>
      <c r="L58" s="528"/>
      <c r="M58" s="528"/>
      <c r="N58" s="528"/>
      <c r="O58" s="528"/>
      <c r="P58" s="531"/>
      <c r="Q58" s="532">
        <f t="shared" ref="Q58:Q60" si="12">IF(AND(NOT(ISBLANK(K58)),NOT(ISBLANK(E58))), IF(K58&gt;E58,K58-E58,24-E58+K58), "")</f>
      </c>
      <c r="R58" s="533"/>
      <c r="S58" s="533"/>
      <c r="T58" s="533"/>
      <c r="U58" s="533"/>
      <c r="V58" s="534"/>
      <c r="W58" s="535"/>
      <c r="X58" s="536"/>
      <c r="Y58" s="536"/>
      <c r="Z58" s="536"/>
      <c r="AA58" s="536"/>
      <c r="AB58" s="536"/>
      <c r="AC58" s="536"/>
      <c r="AD58" s="536"/>
      <c r="AE58" s="536"/>
      <c r="AF58" s="536"/>
      <c r="AG58" s="536"/>
      <c r="AH58" s="536"/>
      <c r="AI58" s="536"/>
      <c r="AJ58" s="537"/>
      <c r="AK58" s="523"/>
    </row>
    <row r="59" ht="15.75" customHeight="1" spans="1:37" s="508" customFormat="1" x14ac:dyDescent="0.25">
      <c r="A59" s="538"/>
      <c r="B59" s="539"/>
      <c r="C59" s="539"/>
      <c r="D59" s="540"/>
      <c r="E59" s="527"/>
      <c r="F59" s="528"/>
      <c r="G59" s="528"/>
      <c r="H59" s="528"/>
      <c r="I59" s="528"/>
      <c r="J59" s="529"/>
      <c r="K59" s="530"/>
      <c r="L59" s="528"/>
      <c r="M59" s="528"/>
      <c r="N59" s="528"/>
      <c r="O59" s="528"/>
      <c r="P59" s="531"/>
      <c r="Q59" s="532">
        <f t="shared" si="12"/>
      </c>
      <c r="R59" s="533"/>
      <c r="S59" s="533"/>
      <c r="T59" s="533"/>
      <c r="U59" s="533"/>
      <c r="V59" s="534"/>
      <c r="W59" s="535"/>
      <c r="X59" s="536"/>
      <c r="Y59" s="536"/>
      <c r="Z59" s="536"/>
      <c r="AA59" s="536"/>
      <c r="AB59" s="536"/>
      <c r="AC59" s="536"/>
      <c r="AD59" s="536"/>
      <c r="AE59" s="536"/>
      <c r="AF59" s="536"/>
      <c r="AG59" s="536"/>
      <c r="AH59" s="536"/>
      <c r="AI59" s="536"/>
      <c r="AJ59" s="537"/>
      <c r="AK59" s="523"/>
    </row>
    <row r="60" ht="15.75" customHeight="1" spans="1:37" s="508" customFormat="1" x14ac:dyDescent="0.25">
      <c r="A60" s="538"/>
      <c r="B60" s="539"/>
      <c r="C60" s="539"/>
      <c r="D60" s="540"/>
      <c r="E60" s="527"/>
      <c r="F60" s="528"/>
      <c r="G60" s="528"/>
      <c r="H60" s="528"/>
      <c r="I60" s="528"/>
      <c r="J60" s="529"/>
      <c r="K60" s="530"/>
      <c r="L60" s="528"/>
      <c r="M60" s="528"/>
      <c r="N60" s="528"/>
      <c r="O60" s="528"/>
      <c r="P60" s="531"/>
      <c r="Q60" s="532">
        <f t="shared" si="12"/>
      </c>
      <c r="R60" s="533"/>
      <c r="S60" s="533"/>
      <c r="T60" s="533"/>
      <c r="U60" s="533"/>
      <c r="V60" s="534"/>
      <c r="W60" s="535"/>
      <c r="X60" s="536"/>
      <c r="Y60" s="536"/>
      <c r="Z60" s="536"/>
      <c r="AA60" s="536"/>
      <c r="AB60" s="536"/>
      <c r="AC60" s="536"/>
      <c r="AD60" s="536"/>
      <c r="AE60" s="536"/>
      <c r="AF60" s="536"/>
      <c r="AG60" s="536"/>
      <c r="AH60" s="536"/>
      <c r="AI60" s="536"/>
      <c r="AJ60" s="537"/>
      <c r="AK60" s="523"/>
    </row>
    <row r="61" ht="15.75" customHeight="1" spans="1:36" s="508" customFormat="1" x14ac:dyDescent="0.25">
      <c r="A61" s="538"/>
      <c r="B61" s="539"/>
      <c r="C61" s="539"/>
      <c r="D61" s="540"/>
      <c r="E61" s="527"/>
      <c r="F61" s="528"/>
      <c r="G61" s="528"/>
      <c r="H61" s="528"/>
      <c r="I61" s="528"/>
      <c r="J61" s="529"/>
      <c r="K61" s="530"/>
      <c r="L61" s="528"/>
      <c r="M61" s="528"/>
      <c r="N61" s="528"/>
      <c r="O61" s="528"/>
      <c r="P61" s="531"/>
      <c r="Q61" s="532">
        <f>IF(AND(NOT(ISBLANK(K61)),NOT(ISBLANK(E61))), IF(K61&gt;E61,K61-E61,24-E61+K61), "")</f>
      </c>
      <c r="R61" s="533"/>
      <c r="S61" s="533"/>
      <c r="T61" s="533"/>
      <c r="U61" s="533"/>
      <c r="V61" s="534"/>
      <c r="W61" s="535"/>
      <c r="X61" s="536"/>
      <c r="Y61" s="536"/>
      <c r="Z61" s="536"/>
      <c r="AA61" s="536"/>
      <c r="AB61" s="536"/>
      <c r="AC61" s="536"/>
      <c r="AD61" s="536"/>
      <c r="AE61" s="536"/>
      <c r="AF61" s="536"/>
      <c r="AG61" s="536"/>
      <c r="AH61" s="536"/>
      <c r="AI61" s="536"/>
      <c r="AJ61" s="537"/>
    </row>
    <row r="62" ht="15.75" customHeight="1" spans="1:37" s="508" customFormat="1" x14ac:dyDescent="0.25">
      <c r="A62" s="538"/>
      <c r="B62" s="539"/>
      <c r="C62" s="539"/>
      <c r="D62" s="540"/>
      <c r="E62" s="527"/>
      <c r="F62" s="528"/>
      <c r="G62" s="528"/>
      <c r="H62" s="528"/>
      <c r="I62" s="528"/>
      <c r="J62" s="529"/>
      <c r="K62" s="528"/>
      <c r="L62" s="528"/>
      <c r="M62" s="528"/>
      <c r="N62" s="528"/>
      <c r="O62" s="528"/>
      <c r="P62" s="531"/>
      <c r="Q62" s="532">
        <f t="shared" ref="Q62" si="13">IF(AND(NOT(ISBLANK(K62)),NOT(ISBLANK(E62))), IF(K62&gt;E62,K62-E62,24-E62+K62), "")</f>
      </c>
      <c r="R62" s="533"/>
      <c r="S62" s="533"/>
      <c r="T62" s="533"/>
      <c r="U62" s="533"/>
      <c r="V62" s="534"/>
      <c r="W62" s="535"/>
      <c r="X62" s="536"/>
      <c r="Y62" s="536"/>
      <c r="Z62" s="536"/>
      <c r="AA62" s="536"/>
      <c r="AB62" s="536"/>
      <c r="AC62" s="536"/>
      <c r="AD62" s="536"/>
      <c r="AE62" s="536"/>
      <c r="AF62" s="536"/>
      <c r="AG62" s="536"/>
      <c r="AH62" s="536"/>
      <c r="AI62" s="536"/>
      <c r="AJ62" s="537"/>
      <c r="AK62" s="523"/>
    </row>
    <row r="63" ht="15.75" customHeight="1" spans="1:37" s="40" customFormat="1" x14ac:dyDescent="0.25">
      <c r="A63" s="541"/>
      <c r="B63" s="542"/>
      <c r="C63" s="542"/>
      <c r="D63" s="542"/>
      <c r="E63" s="542"/>
      <c r="F63" s="542"/>
      <c r="G63" s="542"/>
      <c r="H63" s="542"/>
      <c r="I63" s="542"/>
      <c r="J63" s="542"/>
      <c r="K63" s="542"/>
      <c r="L63" s="542"/>
      <c r="M63" s="542"/>
      <c r="N63" s="542"/>
      <c r="O63" s="542"/>
      <c r="P63" s="543"/>
      <c r="Q63" s="544">
        <f>SUM(Q50:V62)</f>
        <v>0.34375</v>
      </c>
      <c r="R63" s="545"/>
      <c r="S63" s="545"/>
      <c r="T63" s="545"/>
      <c r="U63" s="545"/>
      <c r="V63" s="546"/>
      <c r="W63" s="547"/>
      <c r="X63" s="548"/>
      <c r="Y63" s="548"/>
      <c r="Z63" s="548"/>
      <c r="AA63" s="548"/>
      <c r="AB63" s="548"/>
      <c r="AC63" s="548"/>
      <c r="AD63" s="548"/>
      <c r="AE63" s="548"/>
      <c r="AF63" s="548"/>
      <c r="AG63" s="548"/>
      <c r="AH63" s="548"/>
      <c r="AI63" s="548"/>
      <c r="AJ63" s="549"/>
      <c r="AK63" s="550"/>
    </row>
    <row r="64" spans="1:25" x14ac:dyDescent="0.2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</row>
    <row r="65" spans="1:25" x14ac:dyDescent="0.2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</row>
    <row r="66" spans="1:25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</row>
    <row r="67" spans="1:25" x14ac:dyDescent="0.2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</row>
    <row r="68" spans="1:25" x14ac:dyDescent="0.2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</row>
  </sheetData>
  <mergeCells count="261">
    <mergeCell ref="A1:AJ1"/>
    <mergeCell ref="A2:AJ2"/>
    <mergeCell ref="A4:AJ4"/>
    <mergeCell ref="A5:AJ5"/>
    <mergeCell ref="A6:C6"/>
    <mergeCell ref="D6:N6"/>
    <mergeCell ref="R6:W6"/>
    <mergeCell ref="Y6:AA6"/>
    <mergeCell ref="AB6:AJ6"/>
    <mergeCell ref="A7:AJ7"/>
    <mergeCell ref="D8:I8"/>
    <mergeCell ref="R8:W8"/>
    <mergeCell ref="Y8:AA8"/>
    <mergeCell ref="AB8:AJ8"/>
    <mergeCell ref="A9:AJ9"/>
    <mergeCell ref="A10:G10"/>
    <mergeCell ref="H10:O10"/>
    <mergeCell ref="P10:W10"/>
    <mergeCell ref="X10:Z11"/>
    <mergeCell ref="AA10:AJ11"/>
    <mergeCell ref="A11:G11"/>
    <mergeCell ref="H11:I11"/>
    <mergeCell ref="J11:K11"/>
    <mergeCell ref="L11:M11"/>
    <mergeCell ref="N11:O11"/>
    <mergeCell ref="P11:Q11"/>
    <mergeCell ref="R11:S11"/>
    <mergeCell ref="T11:U11"/>
    <mergeCell ref="V11:W11"/>
    <mergeCell ref="A12:C19"/>
    <mergeCell ref="X12:Z12"/>
    <mergeCell ref="AA12:AJ12"/>
    <mergeCell ref="X13:Z13"/>
    <mergeCell ref="AA13:AJ13"/>
    <mergeCell ref="X14:Z14"/>
    <mergeCell ref="AA14:AJ14"/>
    <mergeCell ref="X15:Z15"/>
    <mergeCell ref="AA15:AJ15"/>
    <mergeCell ref="X16:Z16"/>
    <mergeCell ref="AA16:AJ16"/>
    <mergeCell ref="X17:Z17"/>
    <mergeCell ref="AA17:AJ17"/>
    <mergeCell ref="X18:Z18"/>
    <mergeCell ref="AA18:AJ18"/>
    <mergeCell ref="D19:G19"/>
    <mergeCell ref="H19:I19"/>
    <mergeCell ref="J19:K19"/>
    <mergeCell ref="L19:M19"/>
    <mergeCell ref="N19:O19"/>
    <mergeCell ref="P19:Q19"/>
    <mergeCell ref="R19:S19"/>
    <mergeCell ref="T19:U19"/>
    <mergeCell ref="V19:W19"/>
    <mergeCell ref="X19:Z19"/>
    <mergeCell ref="AA19:AJ19"/>
    <mergeCell ref="A20:C27"/>
    <mergeCell ref="X20:Z20"/>
    <mergeCell ref="AA20:AJ20"/>
    <mergeCell ref="X21:Z21"/>
    <mergeCell ref="AA21:AJ21"/>
    <mergeCell ref="X22:Z22"/>
    <mergeCell ref="AA22:AJ22"/>
    <mergeCell ref="X23:Z23"/>
    <mergeCell ref="AA23:AJ23"/>
    <mergeCell ref="X24:Z24"/>
    <mergeCell ref="AA24:AJ24"/>
    <mergeCell ref="X25:Z25"/>
    <mergeCell ref="AA25:AJ25"/>
    <mergeCell ref="X26:Z26"/>
    <mergeCell ref="AA26:AJ26"/>
    <mergeCell ref="D27:G27"/>
    <mergeCell ref="H27:I27"/>
    <mergeCell ref="J27:K27"/>
    <mergeCell ref="L27:M27"/>
    <mergeCell ref="N27:O27"/>
    <mergeCell ref="P27:Q27"/>
    <mergeCell ref="R27:S27"/>
    <mergeCell ref="T27:U27"/>
    <mergeCell ref="V27:W27"/>
    <mergeCell ref="X27:Z27"/>
    <mergeCell ref="AA27:AJ27"/>
    <mergeCell ref="A28:C29"/>
    <mergeCell ref="D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Z28"/>
    <mergeCell ref="AA28:AJ28"/>
    <mergeCell ref="D29:G29"/>
    <mergeCell ref="H29:I29"/>
    <mergeCell ref="J29:K29"/>
    <mergeCell ref="L29:M29"/>
    <mergeCell ref="N29:O29"/>
    <mergeCell ref="P29:Q29"/>
    <mergeCell ref="R29:S29"/>
    <mergeCell ref="T29:U29"/>
    <mergeCell ref="V29:W29"/>
    <mergeCell ref="X29:Z29"/>
    <mergeCell ref="AA29:AJ29"/>
    <mergeCell ref="A30:G30"/>
    <mergeCell ref="H30:I30"/>
    <mergeCell ref="J30:K30"/>
    <mergeCell ref="L30:M30"/>
    <mergeCell ref="N30:O30"/>
    <mergeCell ref="P30:Q30"/>
    <mergeCell ref="R30:S30"/>
    <mergeCell ref="T30:U30"/>
    <mergeCell ref="V30:W30"/>
    <mergeCell ref="X30:Z30"/>
    <mergeCell ref="AA30:AJ30"/>
    <mergeCell ref="A34:D34"/>
    <mergeCell ref="E34:J34"/>
    <mergeCell ref="K34:P34"/>
    <mergeCell ref="Q34:V34"/>
    <mergeCell ref="W34:AJ34"/>
    <mergeCell ref="A35:D35"/>
    <mergeCell ref="E35:J35"/>
    <mergeCell ref="K35:P35"/>
    <mergeCell ref="Q35:V35"/>
    <mergeCell ref="W35:AJ35"/>
    <mergeCell ref="A36:D36"/>
    <mergeCell ref="E36:J36"/>
    <mergeCell ref="K36:P36"/>
    <mergeCell ref="Q36:V36"/>
    <mergeCell ref="W36:AJ36"/>
    <mergeCell ref="A37:D37"/>
    <mergeCell ref="E37:J37"/>
    <mergeCell ref="K37:P37"/>
    <mergeCell ref="Q37:V37"/>
    <mergeCell ref="W37:AJ37"/>
    <mergeCell ref="A38:D38"/>
    <mergeCell ref="E38:J38"/>
    <mergeCell ref="K38:P38"/>
    <mergeCell ref="Q38:V38"/>
    <mergeCell ref="W38:AJ38"/>
    <mergeCell ref="A39:D39"/>
    <mergeCell ref="E39:J39"/>
    <mergeCell ref="K39:P39"/>
    <mergeCell ref="Q39:V39"/>
    <mergeCell ref="W39:AJ39"/>
    <mergeCell ref="A40:D40"/>
    <mergeCell ref="E40:J40"/>
    <mergeCell ref="K40:P40"/>
    <mergeCell ref="Q40:V40"/>
    <mergeCell ref="W40:AJ40"/>
    <mergeCell ref="A41:D41"/>
    <mergeCell ref="E41:J41"/>
    <mergeCell ref="K41:P41"/>
    <mergeCell ref="Q41:V41"/>
    <mergeCell ref="W41:AJ41"/>
    <mergeCell ref="A42:D42"/>
    <mergeCell ref="E42:J42"/>
    <mergeCell ref="K42:P42"/>
    <mergeCell ref="Q42:V42"/>
    <mergeCell ref="W42:AJ42"/>
    <mergeCell ref="A43:D43"/>
    <mergeCell ref="E43:J43"/>
    <mergeCell ref="K43:P43"/>
    <mergeCell ref="Q43:V43"/>
    <mergeCell ref="W43:AJ43"/>
    <mergeCell ref="A44:D44"/>
    <mergeCell ref="E44:J44"/>
    <mergeCell ref="K44:P44"/>
    <mergeCell ref="Q44:V44"/>
    <mergeCell ref="W44:AJ44"/>
    <mergeCell ref="A45:D45"/>
    <mergeCell ref="E45:J45"/>
    <mergeCell ref="K45:P45"/>
    <mergeCell ref="Q45:V45"/>
    <mergeCell ref="W45:AJ45"/>
    <mergeCell ref="A46:D46"/>
    <mergeCell ref="E46:J46"/>
    <mergeCell ref="K46:P46"/>
    <mergeCell ref="Q46:V46"/>
    <mergeCell ref="W46:AJ46"/>
    <mergeCell ref="A47:D47"/>
    <mergeCell ref="E47:J47"/>
    <mergeCell ref="K47:P47"/>
    <mergeCell ref="Q47:V47"/>
    <mergeCell ref="W47:AJ47"/>
    <mergeCell ref="A48:D48"/>
    <mergeCell ref="E48:J48"/>
    <mergeCell ref="K48:P48"/>
    <mergeCell ref="Q48:V48"/>
    <mergeCell ref="W48:AJ48"/>
    <mergeCell ref="A49:P49"/>
    <mergeCell ref="Q49:V49"/>
    <mergeCell ref="W49:AJ49"/>
    <mergeCell ref="A50:D50"/>
    <mergeCell ref="E50:J50"/>
    <mergeCell ref="K50:P50"/>
    <mergeCell ref="Q50:V50"/>
    <mergeCell ref="W50:AJ50"/>
    <mergeCell ref="A51:D51"/>
    <mergeCell ref="E51:J51"/>
    <mergeCell ref="K51:P51"/>
    <mergeCell ref="Q51:V51"/>
    <mergeCell ref="W51:AJ51"/>
    <mergeCell ref="A52:D52"/>
    <mergeCell ref="E52:J52"/>
    <mergeCell ref="K52:P52"/>
    <mergeCell ref="Q52:V52"/>
    <mergeCell ref="W52:AJ52"/>
    <mergeCell ref="A53:D53"/>
    <mergeCell ref="E53:J53"/>
    <mergeCell ref="K53:P53"/>
    <mergeCell ref="Q53:V53"/>
    <mergeCell ref="W53:AJ53"/>
    <mergeCell ref="A54:D54"/>
    <mergeCell ref="E54:J54"/>
    <mergeCell ref="K54:P54"/>
    <mergeCell ref="Q54:V54"/>
    <mergeCell ref="W54:AJ54"/>
    <mergeCell ref="A55:D55"/>
    <mergeCell ref="E55:J55"/>
    <mergeCell ref="K55:P55"/>
    <mergeCell ref="Q55:V55"/>
    <mergeCell ref="W55:AJ55"/>
    <mergeCell ref="A56:D56"/>
    <mergeCell ref="E56:J56"/>
    <mergeCell ref="K56:P56"/>
    <mergeCell ref="Q56:V56"/>
    <mergeCell ref="W56:AJ56"/>
    <mergeCell ref="A57:D57"/>
    <mergeCell ref="E57:J57"/>
    <mergeCell ref="K57:P57"/>
    <mergeCell ref="Q57:V57"/>
    <mergeCell ref="W57:AJ57"/>
    <mergeCell ref="A58:D58"/>
    <mergeCell ref="E58:J58"/>
    <mergeCell ref="K58:P58"/>
    <mergeCell ref="Q58:V58"/>
    <mergeCell ref="W58:AJ58"/>
    <mergeCell ref="A59:D59"/>
    <mergeCell ref="E59:J59"/>
    <mergeCell ref="K59:P59"/>
    <mergeCell ref="Q59:V59"/>
    <mergeCell ref="W59:AJ59"/>
    <mergeCell ref="A60:D60"/>
    <mergeCell ref="E60:J60"/>
    <mergeCell ref="K60:P60"/>
    <mergeCell ref="Q60:V60"/>
    <mergeCell ref="W60:AJ60"/>
    <mergeCell ref="A61:D61"/>
    <mergeCell ref="E61:J61"/>
    <mergeCell ref="K61:P61"/>
    <mergeCell ref="Q61:V61"/>
    <mergeCell ref="W61:AJ61"/>
    <mergeCell ref="A62:D62"/>
    <mergeCell ref="E62:J62"/>
    <mergeCell ref="K62:P62"/>
    <mergeCell ref="Q62:V62"/>
    <mergeCell ref="W62:AJ62"/>
    <mergeCell ref="A63:P63"/>
    <mergeCell ref="Q63:V63"/>
    <mergeCell ref="W63:AJ63"/>
  </mergeCells>
  <printOptions horizontalCentered="1" verticalCentered="1"/>
  <pageMargins left="0.31496062992125984" right="0.31496062992125984" top="0.1968503937007874" bottom="0.1968503937007874" header="0.1968503937007874" footer="0.15748031496062992"/>
  <pageSetup paperSize="9"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44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9.125" style="3" customWidth="1"/>
    <col min="2" max="3" width="6.625" style="3" customWidth="1"/>
    <col min="4" max="6" width="9.125" style="3" customWidth="1"/>
    <col min="7" max="7" width="10.125" style="3" customWidth="1"/>
    <col min="8" max="9" width="7.625" style="3" customWidth="1"/>
    <col min="10" max="10" width="14.625" style="3" customWidth="1"/>
    <col min="11" max="12" width="9.625" style="3" customWidth="1"/>
    <col min="13" max="13" width="19.125" style="3" customWidth="1"/>
    <col min="14" max="256" width="9" style="3" customWidth="1"/>
    <col min="257" max="257" width="9.25" style="3" customWidth="1"/>
    <col min="258" max="258" width="7" style="3" customWidth="1"/>
    <col min="259" max="259" width="7.625" style="3" customWidth="1"/>
    <col min="260" max="262" width="9.125" style="3" customWidth="1"/>
    <col min="263" max="263" width="10.125" style="3" customWidth="1"/>
    <col min="264" max="265" width="7.875" style="3" customWidth="1"/>
    <col min="266" max="266" width="15" style="3" customWidth="1"/>
    <col min="267" max="268" width="9.875" style="3" customWidth="1"/>
    <col min="269" max="269" width="18.75" style="3" customWidth="1"/>
    <col min="270" max="512" width="9" style="3" customWidth="1"/>
    <col min="513" max="513" width="9.25" style="3" customWidth="1"/>
    <col min="514" max="514" width="7" style="3" customWidth="1"/>
    <col min="515" max="515" width="7.625" style="3" customWidth="1"/>
    <col min="516" max="518" width="9.125" style="3" customWidth="1"/>
    <col min="519" max="519" width="10.125" style="3" customWidth="1"/>
    <col min="520" max="521" width="7.875" style="3" customWidth="1"/>
    <col min="522" max="522" width="15" style="3" customWidth="1"/>
    <col min="523" max="524" width="9.875" style="3" customWidth="1"/>
    <col min="525" max="525" width="18.75" style="3" customWidth="1"/>
    <col min="526" max="768" width="9" style="3" customWidth="1"/>
    <col min="769" max="769" width="9.25" style="3" customWidth="1"/>
    <col min="770" max="770" width="7" style="3" customWidth="1"/>
    <col min="771" max="771" width="7.625" style="3" customWidth="1"/>
    <col min="772" max="774" width="9.125" style="3" customWidth="1"/>
    <col min="775" max="775" width="10.125" style="3" customWidth="1"/>
    <col min="776" max="777" width="7.875" style="3" customWidth="1"/>
    <col min="778" max="778" width="15" style="3" customWidth="1"/>
    <col min="779" max="780" width="9.875" style="3" customWidth="1"/>
    <col min="781" max="781" width="18.75" style="3" customWidth="1"/>
    <col min="782" max="1024" width="9" style="3" customWidth="1"/>
    <col min="1025" max="1025" width="9.25" style="3" customWidth="1"/>
    <col min="1026" max="1026" width="7" style="3" customWidth="1"/>
    <col min="1027" max="1027" width="7.625" style="3" customWidth="1"/>
    <col min="1028" max="1030" width="9.125" style="3" customWidth="1"/>
    <col min="1031" max="1031" width="10.125" style="3" customWidth="1"/>
    <col min="1032" max="1033" width="7.875" style="3" customWidth="1"/>
    <col min="1034" max="1034" width="15" style="3" customWidth="1"/>
    <col min="1035" max="1036" width="9.875" style="3" customWidth="1"/>
    <col min="1037" max="1037" width="18.75" style="3" customWidth="1"/>
    <col min="1038" max="1280" width="9" style="3" customWidth="1"/>
    <col min="1281" max="1281" width="9.25" style="3" customWidth="1"/>
    <col min="1282" max="1282" width="7" style="3" customWidth="1"/>
    <col min="1283" max="1283" width="7.625" style="3" customWidth="1"/>
    <col min="1284" max="1286" width="9.125" style="3" customWidth="1"/>
    <col min="1287" max="1287" width="10.125" style="3" customWidth="1"/>
    <col min="1288" max="1289" width="7.875" style="3" customWidth="1"/>
    <col min="1290" max="1290" width="15" style="3" customWidth="1"/>
    <col min="1291" max="1292" width="9.875" style="3" customWidth="1"/>
    <col min="1293" max="1293" width="18.75" style="3" customWidth="1"/>
    <col min="1294" max="1536" width="9" style="3" customWidth="1"/>
    <col min="1537" max="1537" width="9.25" style="3" customWidth="1"/>
    <col min="1538" max="1538" width="7" style="3" customWidth="1"/>
    <col min="1539" max="1539" width="7.625" style="3" customWidth="1"/>
    <col min="1540" max="1542" width="9.125" style="3" customWidth="1"/>
    <col min="1543" max="1543" width="10.125" style="3" customWidth="1"/>
    <col min="1544" max="1545" width="7.875" style="3" customWidth="1"/>
    <col min="1546" max="1546" width="15" style="3" customWidth="1"/>
    <col min="1547" max="1548" width="9.875" style="3" customWidth="1"/>
    <col min="1549" max="1549" width="18.75" style="3" customWidth="1"/>
    <col min="1550" max="1792" width="9" style="3" customWidth="1"/>
    <col min="1793" max="1793" width="9.25" style="3" customWidth="1"/>
    <col min="1794" max="1794" width="7" style="3" customWidth="1"/>
    <col min="1795" max="1795" width="7.625" style="3" customWidth="1"/>
    <col min="1796" max="1798" width="9.125" style="3" customWidth="1"/>
    <col min="1799" max="1799" width="10.125" style="3" customWidth="1"/>
    <col min="1800" max="1801" width="7.875" style="3" customWidth="1"/>
    <col min="1802" max="1802" width="15" style="3" customWidth="1"/>
    <col min="1803" max="1804" width="9.875" style="3" customWidth="1"/>
    <col min="1805" max="1805" width="18.75" style="3" customWidth="1"/>
    <col min="1806" max="2048" width="9" style="3" customWidth="1"/>
    <col min="2049" max="2049" width="9.25" style="3" customWidth="1"/>
    <col min="2050" max="2050" width="7" style="3" customWidth="1"/>
    <col min="2051" max="2051" width="7.625" style="3" customWidth="1"/>
    <col min="2052" max="2054" width="9.125" style="3" customWidth="1"/>
    <col min="2055" max="2055" width="10.125" style="3" customWidth="1"/>
    <col min="2056" max="2057" width="7.875" style="3" customWidth="1"/>
    <col min="2058" max="2058" width="15" style="3" customWidth="1"/>
    <col min="2059" max="2060" width="9.875" style="3" customWidth="1"/>
    <col min="2061" max="2061" width="18.75" style="3" customWidth="1"/>
    <col min="2062" max="2304" width="9" style="3" customWidth="1"/>
    <col min="2305" max="2305" width="9.25" style="3" customWidth="1"/>
    <col min="2306" max="2306" width="7" style="3" customWidth="1"/>
    <col min="2307" max="2307" width="7.625" style="3" customWidth="1"/>
    <col min="2308" max="2310" width="9.125" style="3" customWidth="1"/>
    <col min="2311" max="2311" width="10.125" style="3" customWidth="1"/>
    <col min="2312" max="2313" width="7.875" style="3" customWidth="1"/>
    <col min="2314" max="2314" width="15" style="3" customWidth="1"/>
    <col min="2315" max="2316" width="9.875" style="3" customWidth="1"/>
    <col min="2317" max="2317" width="18.75" style="3" customWidth="1"/>
    <col min="2318" max="2560" width="9" style="3" customWidth="1"/>
    <col min="2561" max="2561" width="9.25" style="3" customWidth="1"/>
    <col min="2562" max="2562" width="7" style="3" customWidth="1"/>
    <col min="2563" max="2563" width="7.625" style="3" customWidth="1"/>
    <col min="2564" max="2566" width="9.125" style="3" customWidth="1"/>
    <col min="2567" max="2567" width="10.125" style="3" customWidth="1"/>
    <col min="2568" max="2569" width="7.875" style="3" customWidth="1"/>
    <col min="2570" max="2570" width="15" style="3" customWidth="1"/>
    <col min="2571" max="2572" width="9.875" style="3" customWidth="1"/>
    <col min="2573" max="2573" width="18.75" style="3" customWidth="1"/>
    <col min="2574" max="2816" width="9" style="3" customWidth="1"/>
    <col min="2817" max="2817" width="9.25" style="3" customWidth="1"/>
    <col min="2818" max="2818" width="7" style="3" customWidth="1"/>
    <col min="2819" max="2819" width="7.625" style="3" customWidth="1"/>
    <col min="2820" max="2822" width="9.125" style="3" customWidth="1"/>
    <col min="2823" max="2823" width="10.125" style="3" customWidth="1"/>
    <col min="2824" max="2825" width="7.875" style="3" customWidth="1"/>
    <col min="2826" max="2826" width="15" style="3" customWidth="1"/>
    <col min="2827" max="2828" width="9.875" style="3" customWidth="1"/>
    <col min="2829" max="2829" width="18.75" style="3" customWidth="1"/>
    <col min="2830" max="3072" width="9" style="3" customWidth="1"/>
    <col min="3073" max="3073" width="9.25" style="3" customWidth="1"/>
    <col min="3074" max="3074" width="7" style="3" customWidth="1"/>
    <col min="3075" max="3075" width="7.625" style="3" customWidth="1"/>
    <col min="3076" max="3078" width="9.125" style="3" customWidth="1"/>
    <col min="3079" max="3079" width="10.125" style="3" customWidth="1"/>
    <col min="3080" max="3081" width="7.875" style="3" customWidth="1"/>
    <col min="3082" max="3082" width="15" style="3" customWidth="1"/>
    <col min="3083" max="3084" width="9.875" style="3" customWidth="1"/>
    <col min="3085" max="3085" width="18.75" style="3" customWidth="1"/>
    <col min="3086" max="3328" width="9" style="3" customWidth="1"/>
    <col min="3329" max="3329" width="9.25" style="3" customWidth="1"/>
    <col min="3330" max="3330" width="7" style="3" customWidth="1"/>
    <col min="3331" max="3331" width="7.625" style="3" customWidth="1"/>
    <col min="3332" max="3334" width="9.125" style="3" customWidth="1"/>
    <col min="3335" max="3335" width="10.125" style="3" customWidth="1"/>
    <col min="3336" max="3337" width="7.875" style="3" customWidth="1"/>
    <col min="3338" max="3338" width="15" style="3" customWidth="1"/>
    <col min="3339" max="3340" width="9.875" style="3" customWidth="1"/>
    <col min="3341" max="3341" width="18.75" style="3" customWidth="1"/>
    <col min="3342" max="3584" width="9" style="3" customWidth="1"/>
    <col min="3585" max="3585" width="9.25" style="3" customWidth="1"/>
    <col min="3586" max="3586" width="7" style="3" customWidth="1"/>
    <col min="3587" max="3587" width="7.625" style="3" customWidth="1"/>
    <col min="3588" max="3590" width="9.125" style="3" customWidth="1"/>
    <col min="3591" max="3591" width="10.125" style="3" customWidth="1"/>
    <col min="3592" max="3593" width="7.875" style="3" customWidth="1"/>
    <col min="3594" max="3594" width="15" style="3" customWidth="1"/>
    <col min="3595" max="3596" width="9.875" style="3" customWidth="1"/>
    <col min="3597" max="3597" width="18.75" style="3" customWidth="1"/>
    <col min="3598" max="3840" width="9" style="3" customWidth="1"/>
    <col min="3841" max="3841" width="9.25" style="3" customWidth="1"/>
    <col min="3842" max="3842" width="7" style="3" customWidth="1"/>
    <col min="3843" max="3843" width="7.625" style="3" customWidth="1"/>
    <col min="3844" max="3846" width="9.125" style="3" customWidth="1"/>
    <col min="3847" max="3847" width="10.125" style="3" customWidth="1"/>
    <col min="3848" max="3849" width="7.875" style="3" customWidth="1"/>
    <col min="3850" max="3850" width="15" style="3" customWidth="1"/>
    <col min="3851" max="3852" width="9.875" style="3" customWidth="1"/>
    <col min="3853" max="3853" width="18.75" style="3" customWidth="1"/>
    <col min="3854" max="4096" width="9" style="3" customWidth="1"/>
    <col min="4097" max="4097" width="9.25" style="3" customWidth="1"/>
    <col min="4098" max="4098" width="7" style="3" customWidth="1"/>
    <col min="4099" max="4099" width="7.625" style="3" customWidth="1"/>
    <col min="4100" max="4102" width="9.125" style="3" customWidth="1"/>
    <col min="4103" max="4103" width="10.125" style="3" customWidth="1"/>
    <col min="4104" max="4105" width="7.875" style="3" customWidth="1"/>
    <col min="4106" max="4106" width="15" style="3" customWidth="1"/>
    <col min="4107" max="4108" width="9.875" style="3" customWidth="1"/>
    <col min="4109" max="4109" width="18.75" style="3" customWidth="1"/>
    <col min="4110" max="4352" width="9" style="3" customWidth="1"/>
    <col min="4353" max="4353" width="9.25" style="3" customWidth="1"/>
    <col min="4354" max="4354" width="7" style="3" customWidth="1"/>
    <col min="4355" max="4355" width="7.625" style="3" customWidth="1"/>
    <col min="4356" max="4358" width="9.125" style="3" customWidth="1"/>
    <col min="4359" max="4359" width="10.125" style="3" customWidth="1"/>
    <col min="4360" max="4361" width="7.875" style="3" customWidth="1"/>
    <col min="4362" max="4362" width="15" style="3" customWidth="1"/>
    <col min="4363" max="4364" width="9.875" style="3" customWidth="1"/>
    <col min="4365" max="4365" width="18.75" style="3" customWidth="1"/>
    <col min="4366" max="4608" width="9" style="3" customWidth="1"/>
    <col min="4609" max="4609" width="9.25" style="3" customWidth="1"/>
    <col min="4610" max="4610" width="7" style="3" customWidth="1"/>
    <col min="4611" max="4611" width="7.625" style="3" customWidth="1"/>
    <col min="4612" max="4614" width="9.125" style="3" customWidth="1"/>
    <col min="4615" max="4615" width="10.125" style="3" customWidth="1"/>
    <col min="4616" max="4617" width="7.875" style="3" customWidth="1"/>
    <col min="4618" max="4618" width="15" style="3" customWidth="1"/>
    <col min="4619" max="4620" width="9.875" style="3" customWidth="1"/>
    <col min="4621" max="4621" width="18.75" style="3" customWidth="1"/>
    <col min="4622" max="4864" width="9" style="3" customWidth="1"/>
    <col min="4865" max="4865" width="9.25" style="3" customWidth="1"/>
    <col min="4866" max="4866" width="7" style="3" customWidth="1"/>
    <col min="4867" max="4867" width="7.625" style="3" customWidth="1"/>
    <col min="4868" max="4870" width="9.125" style="3" customWidth="1"/>
    <col min="4871" max="4871" width="10.125" style="3" customWidth="1"/>
    <col min="4872" max="4873" width="7.875" style="3" customWidth="1"/>
    <col min="4874" max="4874" width="15" style="3" customWidth="1"/>
    <col min="4875" max="4876" width="9.875" style="3" customWidth="1"/>
    <col min="4877" max="4877" width="18.75" style="3" customWidth="1"/>
    <col min="4878" max="5120" width="9" style="3" customWidth="1"/>
    <col min="5121" max="5121" width="9.25" style="3" customWidth="1"/>
    <col min="5122" max="5122" width="7" style="3" customWidth="1"/>
    <col min="5123" max="5123" width="7.625" style="3" customWidth="1"/>
    <col min="5124" max="5126" width="9.125" style="3" customWidth="1"/>
    <col min="5127" max="5127" width="10.125" style="3" customWidth="1"/>
    <col min="5128" max="5129" width="7.875" style="3" customWidth="1"/>
    <col min="5130" max="5130" width="15" style="3" customWidth="1"/>
    <col min="5131" max="5132" width="9.875" style="3" customWidth="1"/>
    <col min="5133" max="5133" width="18.75" style="3" customWidth="1"/>
    <col min="5134" max="5376" width="9" style="3" customWidth="1"/>
    <col min="5377" max="5377" width="9.25" style="3" customWidth="1"/>
    <col min="5378" max="5378" width="7" style="3" customWidth="1"/>
    <col min="5379" max="5379" width="7.625" style="3" customWidth="1"/>
    <col min="5380" max="5382" width="9.125" style="3" customWidth="1"/>
    <col min="5383" max="5383" width="10.125" style="3" customWidth="1"/>
    <col min="5384" max="5385" width="7.875" style="3" customWidth="1"/>
    <col min="5386" max="5386" width="15" style="3" customWidth="1"/>
    <col min="5387" max="5388" width="9.875" style="3" customWidth="1"/>
    <col min="5389" max="5389" width="18.75" style="3" customWidth="1"/>
    <col min="5390" max="5632" width="9" style="3" customWidth="1"/>
    <col min="5633" max="5633" width="9.25" style="3" customWidth="1"/>
    <col min="5634" max="5634" width="7" style="3" customWidth="1"/>
    <col min="5635" max="5635" width="7.625" style="3" customWidth="1"/>
    <col min="5636" max="5638" width="9.125" style="3" customWidth="1"/>
    <col min="5639" max="5639" width="10.125" style="3" customWidth="1"/>
    <col min="5640" max="5641" width="7.875" style="3" customWidth="1"/>
    <col min="5642" max="5642" width="15" style="3" customWidth="1"/>
    <col min="5643" max="5644" width="9.875" style="3" customWidth="1"/>
    <col min="5645" max="5645" width="18.75" style="3" customWidth="1"/>
    <col min="5646" max="5888" width="9" style="3" customWidth="1"/>
    <col min="5889" max="5889" width="9.25" style="3" customWidth="1"/>
    <col min="5890" max="5890" width="7" style="3" customWidth="1"/>
    <col min="5891" max="5891" width="7.625" style="3" customWidth="1"/>
    <col min="5892" max="5894" width="9.125" style="3" customWidth="1"/>
    <col min="5895" max="5895" width="10.125" style="3" customWidth="1"/>
    <col min="5896" max="5897" width="7.875" style="3" customWidth="1"/>
    <col min="5898" max="5898" width="15" style="3" customWidth="1"/>
    <col min="5899" max="5900" width="9.875" style="3" customWidth="1"/>
    <col min="5901" max="5901" width="18.75" style="3" customWidth="1"/>
    <col min="5902" max="6144" width="9" style="3" customWidth="1"/>
    <col min="6145" max="6145" width="9.25" style="3" customWidth="1"/>
    <col min="6146" max="6146" width="7" style="3" customWidth="1"/>
    <col min="6147" max="6147" width="7.625" style="3" customWidth="1"/>
    <col min="6148" max="6150" width="9.125" style="3" customWidth="1"/>
    <col min="6151" max="6151" width="10.125" style="3" customWidth="1"/>
    <col min="6152" max="6153" width="7.875" style="3" customWidth="1"/>
    <col min="6154" max="6154" width="15" style="3" customWidth="1"/>
    <col min="6155" max="6156" width="9.875" style="3" customWidth="1"/>
    <col min="6157" max="6157" width="18.75" style="3" customWidth="1"/>
    <col min="6158" max="6400" width="9" style="3" customWidth="1"/>
    <col min="6401" max="6401" width="9.25" style="3" customWidth="1"/>
    <col min="6402" max="6402" width="7" style="3" customWidth="1"/>
    <col min="6403" max="6403" width="7.625" style="3" customWidth="1"/>
    <col min="6404" max="6406" width="9.125" style="3" customWidth="1"/>
    <col min="6407" max="6407" width="10.125" style="3" customWidth="1"/>
    <col min="6408" max="6409" width="7.875" style="3" customWidth="1"/>
    <col min="6410" max="6410" width="15" style="3" customWidth="1"/>
    <col min="6411" max="6412" width="9.875" style="3" customWidth="1"/>
    <col min="6413" max="6413" width="18.75" style="3" customWidth="1"/>
    <col min="6414" max="6656" width="9" style="3" customWidth="1"/>
    <col min="6657" max="6657" width="9.25" style="3" customWidth="1"/>
    <col min="6658" max="6658" width="7" style="3" customWidth="1"/>
    <col min="6659" max="6659" width="7.625" style="3" customWidth="1"/>
    <col min="6660" max="6662" width="9.125" style="3" customWidth="1"/>
    <col min="6663" max="6663" width="10.125" style="3" customWidth="1"/>
    <col min="6664" max="6665" width="7.875" style="3" customWidth="1"/>
    <col min="6666" max="6666" width="15" style="3" customWidth="1"/>
    <col min="6667" max="6668" width="9.875" style="3" customWidth="1"/>
    <col min="6669" max="6669" width="18.75" style="3" customWidth="1"/>
    <col min="6670" max="6912" width="9" style="3" customWidth="1"/>
    <col min="6913" max="6913" width="9.25" style="3" customWidth="1"/>
    <col min="6914" max="6914" width="7" style="3" customWidth="1"/>
    <col min="6915" max="6915" width="7.625" style="3" customWidth="1"/>
    <col min="6916" max="6918" width="9.125" style="3" customWidth="1"/>
    <col min="6919" max="6919" width="10.125" style="3" customWidth="1"/>
    <col min="6920" max="6921" width="7.875" style="3" customWidth="1"/>
    <col min="6922" max="6922" width="15" style="3" customWidth="1"/>
    <col min="6923" max="6924" width="9.875" style="3" customWidth="1"/>
    <col min="6925" max="6925" width="18.75" style="3" customWidth="1"/>
    <col min="6926" max="7168" width="9" style="3" customWidth="1"/>
    <col min="7169" max="7169" width="9.25" style="3" customWidth="1"/>
    <col min="7170" max="7170" width="7" style="3" customWidth="1"/>
    <col min="7171" max="7171" width="7.625" style="3" customWidth="1"/>
    <col min="7172" max="7174" width="9.125" style="3" customWidth="1"/>
    <col min="7175" max="7175" width="10.125" style="3" customWidth="1"/>
    <col min="7176" max="7177" width="7.875" style="3" customWidth="1"/>
    <col min="7178" max="7178" width="15" style="3" customWidth="1"/>
    <col min="7179" max="7180" width="9.875" style="3" customWidth="1"/>
    <col min="7181" max="7181" width="18.75" style="3" customWidth="1"/>
    <col min="7182" max="7424" width="9" style="3" customWidth="1"/>
    <col min="7425" max="7425" width="9.25" style="3" customWidth="1"/>
    <col min="7426" max="7426" width="7" style="3" customWidth="1"/>
    <col min="7427" max="7427" width="7.625" style="3" customWidth="1"/>
    <col min="7428" max="7430" width="9.125" style="3" customWidth="1"/>
    <col min="7431" max="7431" width="10.125" style="3" customWidth="1"/>
    <col min="7432" max="7433" width="7.875" style="3" customWidth="1"/>
    <col min="7434" max="7434" width="15" style="3" customWidth="1"/>
    <col min="7435" max="7436" width="9.875" style="3" customWidth="1"/>
    <col min="7437" max="7437" width="18.75" style="3" customWidth="1"/>
    <col min="7438" max="7680" width="9" style="3" customWidth="1"/>
    <col min="7681" max="7681" width="9.25" style="3" customWidth="1"/>
    <col min="7682" max="7682" width="7" style="3" customWidth="1"/>
    <col min="7683" max="7683" width="7.625" style="3" customWidth="1"/>
    <col min="7684" max="7686" width="9.125" style="3" customWidth="1"/>
    <col min="7687" max="7687" width="10.125" style="3" customWidth="1"/>
    <col min="7688" max="7689" width="7.875" style="3" customWidth="1"/>
    <col min="7690" max="7690" width="15" style="3" customWidth="1"/>
    <col min="7691" max="7692" width="9.875" style="3" customWidth="1"/>
    <col min="7693" max="7693" width="18.75" style="3" customWidth="1"/>
    <col min="7694" max="7936" width="9" style="3" customWidth="1"/>
    <col min="7937" max="7937" width="9.25" style="3" customWidth="1"/>
    <col min="7938" max="7938" width="7" style="3" customWidth="1"/>
    <col min="7939" max="7939" width="7.625" style="3" customWidth="1"/>
    <col min="7940" max="7942" width="9.125" style="3" customWidth="1"/>
    <col min="7943" max="7943" width="10.125" style="3" customWidth="1"/>
    <col min="7944" max="7945" width="7.875" style="3" customWidth="1"/>
    <col min="7946" max="7946" width="15" style="3" customWidth="1"/>
    <col min="7947" max="7948" width="9.875" style="3" customWidth="1"/>
    <col min="7949" max="7949" width="18.75" style="3" customWidth="1"/>
    <col min="7950" max="8192" width="9" style="3" customWidth="1"/>
    <col min="8193" max="8193" width="9.25" style="3" customWidth="1"/>
    <col min="8194" max="8194" width="7" style="3" customWidth="1"/>
    <col min="8195" max="8195" width="7.625" style="3" customWidth="1"/>
    <col min="8196" max="8198" width="9.125" style="3" customWidth="1"/>
    <col min="8199" max="8199" width="10.125" style="3" customWidth="1"/>
    <col min="8200" max="8201" width="7.875" style="3" customWidth="1"/>
    <col min="8202" max="8202" width="15" style="3" customWidth="1"/>
    <col min="8203" max="8204" width="9.875" style="3" customWidth="1"/>
    <col min="8205" max="8205" width="18.75" style="3" customWidth="1"/>
    <col min="8206" max="8448" width="9" style="3" customWidth="1"/>
    <col min="8449" max="8449" width="9.25" style="3" customWidth="1"/>
    <col min="8450" max="8450" width="7" style="3" customWidth="1"/>
    <col min="8451" max="8451" width="7.625" style="3" customWidth="1"/>
    <col min="8452" max="8454" width="9.125" style="3" customWidth="1"/>
    <col min="8455" max="8455" width="10.125" style="3" customWidth="1"/>
    <col min="8456" max="8457" width="7.875" style="3" customWidth="1"/>
    <col min="8458" max="8458" width="15" style="3" customWidth="1"/>
    <col min="8459" max="8460" width="9.875" style="3" customWidth="1"/>
    <col min="8461" max="8461" width="18.75" style="3" customWidth="1"/>
    <col min="8462" max="8704" width="9" style="3" customWidth="1"/>
    <col min="8705" max="8705" width="9.25" style="3" customWidth="1"/>
    <col min="8706" max="8706" width="7" style="3" customWidth="1"/>
    <col min="8707" max="8707" width="7.625" style="3" customWidth="1"/>
    <col min="8708" max="8710" width="9.125" style="3" customWidth="1"/>
    <col min="8711" max="8711" width="10.125" style="3" customWidth="1"/>
    <col min="8712" max="8713" width="7.875" style="3" customWidth="1"/>
    <col min="8714" max="8714" width="15" style="3" customWidth="1"/>
    <col min="8715" max="8716" width="9.875" style="3" customWidth="1"/>
    <col min="8717" max="8717" width="18.75" style="3" customWidth="1"/>
    <col min="8718" max="8960" width="9" style="3" customWidth="1"/>
    <col min="8961" max="8961" width="9.25" style="3" customWidth="1"/>
    <col min="8962" max="8962" width="7" style="3" customWidth="1"/>
    <col min="8963" max="8963" width="7.625" style="3" customWidth="1"/>
    <col min="8964" max="8966" width="9.125" style="3" customWidth="1"/>
    <col min="8967" max="8967" width="10.125" style="3" customWidth="1"/>
    <col min="8968" max="8969" width="7.875" style="3" customWidth="1"/>
    <col min="8970" max="8970" width="15" style="3" customWidth="1"/>
    <col min="8971" max="8972" width="9.875" style="3" customWidth="1"/>
    <col min="8973" max="8973" width="18.75" style="3" customWidth="1"/>
    <col min="8974" max="9216" width="9" style="3" customWidth="1"/>
    <col min="9217" max="9217" width="9.25" style="3" customWidth="1"/>
    <col min="9218" max="9218" width="7" style="3" customWidth="1"/>
    <col min="9219" max="9219" width="7.625" style="3" customWidth="1"/>
    <col min="9220" max="9222" width="9.125" style="3" customWidth="1"/>
    <col min="9223" max="9223" width="10.125" style="3" customWidth="1"/>
    <col min="9224" max="9225" width="7.875" style="3" customWidth="1"/>
    <col min="9226" max="9226" width="15" style="3" customWidth="1"/>
    <col min="9227" max="9228" width="9.875" style="3" customWidth="1"/>
    <col min="9229" max="9229" width="18.75" style="3" customWidth="1"/>
    <col min="9230" max="9472" width="9" style="3" customWidth="1"/>
    <col min="9473" max="9473" width="9.25" style="3" customWidth="1"/>
    <col min="9474" max="9474" width="7" style="3" customWidth="1"/>
    <col min="9475" max="9475" width="7.625" style="3" customWidth="1"/>
    <col min="9476" max="9478" width="9.125" style="3" customWidth="1"/>
    <col min="9479" max="9479" width="10.125" style="3" customWidth="1"/>
    <col min="9480" max="9481" width="7.875" style="3" customWidth="1"/>
    <col min="9482" max="9482" width="15" style="3" customWidth="1"/>
    <col min="9483" max="9484" width="9.875" style="3" customWidth="1"/>
    <col min="9485" max="9485" width="18.75" style="3" customWidth="1"/>
    <col min="9486" max="9728" width="9" style="3" customWidth="1"/>
    <col min="9729" max="9729" width="9.25" style="3" customWidth="1"/>
    <col min="9730" max="9730" width="7" style="3" customWidth="1"/>
    <col min="9731" max="9731" width="7.625" style="3" customWidth="1"/>
    <col min="9732" max="9734" width="9.125" style="3" customWidth="1"/>
    <col min="9735" max="9735" width="10.125" style="3" customWidth="1"/>
    <col min="9736" max="9737" width="7.875" style="3" customWidth="1"/>
    <col min="9738" max="9738" width="15" style="3" customWidth="1"/>
    <col min="9739" max="9740" width="9.875" style="3" customWidth="1"/>
    <col min="9741" max="9741" width="18.75" style="3" customWidth="1"/>
    <col min="9742" max="9984" width="9" style="3" customWidth="1"/>
    <col min="9985" max="9985" width="9.25" style="3" customWidth="1"/>
    <col min="9986" max="9986" width="7" style="3" customWidth="1"/>
    <col min="9987" max="9987" width="7.625" style="3" customWidth="1"/>
    <col min="9988" max="9990" width="9.125" style="3" customWidth="1"/>
    <col min="9991" max="9991" width="10.125" style="3" customWidth="1"/>
    <col min="9992" max="9993" width="7.875" style="3" customWidth="1"/>
    <col min="9994" max="9994" width="15" style="3" customWidth="1"/>
    <col min="9995" max="9996" width="9.875" style="3" customWidth="1"/>
    <col min="9997" max="9997" width="18.75" style="3" customWidth="1"/>
    <col min="9998" max="10240" width="9" style="3" customWidth="1"/>
    <col min="10241" max="10241" width="9.25" style="3" customWidth="1"/>
    <col min="10242" max="10242" width="7" style="3" customWidth="1"/>
    <col min="10243" max="10243" width="7.625" style="3" customWidth="1"/>
    <col min="10244" max="10246" width="9.125" style="3" customWidth="1"/>
    <col min="10247" max="10247" width="10.125" style="3" customWidth="1"/>
    <col min="10248" max="10249" width="7.875" style="3" customWidth="1"/>
    <col min="10250" max="10250" width="15" style="3" customWidth="1"/>
    <col min="10251" max="10252" width="9.875" style="3" customWidth="1"/>
    <col min="10253" max="10253" width="18.75" style="3" customWidth="1"/>
    <col min="10254" max="10496" width="9" style="3" customWidth="1"/>
    <col min="10497" max="10497" width="9.25" style="3" customWidth="1"/>
    <col min="10498" max="10498" width="7" style="3" customWidth="1"/>
    <col min="10499" max="10499" width="7.625" style="3" customWidth="1"/>
    <col min="10500" max="10502" width="9.125" style="3" customWidth="1"/>
    <col min="10503" max="10503" width="10.125" style="3" customWidth="1"/>
    <col min="10504" max="10505" width="7.875" style="3" customWidth="1"/>
    <col min="10506" max="10506" width="15" style="3" customWidth="1"/>
    <col min="10507" max="10508" width="9.875" style="3" customWidth="1"/>
    <col min="10509" max="10509" width="18.75" style="3" customWidth="1"/>
    <col min="10510" max="10752" width="9" style="3" customWidth="1"/>
    <col min="10753" max="10753" width="9.25" style="3" customWidth="1"/>
    <col min="10754" max="10754" width="7" style="3" customWidth="1"/>
    <col min="10755" max="10755" width="7.625" style="3" customWidth="1"/>
    <col min="10756" max="10758" width="9.125" style="3" customWidth="1"/>
    <col min="10759" max="10759" width="10.125" style="3" customWidth="1"/>
    <col min="10760" max="10761" width="7.875" style="3" customWidth="1"/>
    <col min="10762" max="10762" width="15" style="3" customWidth="1"/>
    <col min="10763" max="10764" width="9.875" style="3" customWidth="1"/>
    <col min="10765" max="10765" width="18.75" style="3" customWidth="1"/>
    <col min="10766" max="11008" width="9" style="3" customWidth="1"/>
    <col min="11009" max="11009" width="9.25" style="3" customWidth="1"/>
    <col min="11010" max="11010" width="7" style="3" customWidth="1"/>
    <col min="11011" max="11011" width="7.625" style="3" customWidth="1"/>
    <col min="11012" max="11014" width="9.125" style="3" customWidth="1"/>
    <col min="11015" max="11015" width="10.125" style="3" customWidth="1"/>
    <col min="11016" max="11017" width="7.875" style="3" customWidth="1"/>
    <col min="11018" max="11018" width="15" style="3" customWidth="1"/>
    <col min="11019" max="11020" width="9.875" style="3" customWidth="1"/>
    <col min="11021" max="11021" width="18.75" style="3" customWidth="1"/>
    <col min="11022" max="11264" width="9" style="3" customWidth="1"/>
    <col min="11265" max="11265" width="9.25" style="3" customWidth="1"/>
    <col min="11266" max="11266" width="7" style="3" customWidth="1"/>
    <col min="11267" max="11267" width="7.625" style="3" customWidth="1"/>
    <col min="11268" max="11270" width="9.125" style="3" customWidth="1"/>
    <col min="11271" max="11271" width="10.125" style="3" customWidth="1"/>
    <col min="11272" max="11273" width="7.875" style="3" customWidth="1"/>
    <col min="11274" max="11274" width="15" style="3" customWidth="1"/>
    <col min="11275" max="11276" width="9.875" style="3" customWidth="1"/>
    <col min="11277" max="11277" width="18.75" style="3" customWidth="1"/>
    <col min="11278" max="11520" width="9" style="3" customWidth="1"/>
    <col min="11521" max="11521" width="9.25" style="3" customWidth="1"/>
    <col min="11522" max="11522" width="7" style="3" customWidth="1"/>
    <col min="11523" max="11523" width="7.625" style="3" customWidth="1"/>
    <col min="11524" max="11526" width="9.125" style="3" customWidth="1"/>
    <col min="11527" max="11527" width="10.125" style="3" customWidth="1"/>
    <col min="11528" max="11529" width="7.875" style="3" customWidth="1"/>
    <col min="11530" max="11530" width="15" style="3" customWidth="1"/>
    <col min="11531" max="11532" width="9.875" style="3" customWidth="1"/>
    <col min="11533" max="11533" width="18.75" style="3" customWidth="1"/>
    <col min="11534" max="11776" width="9" style="3" customWidth="1"/>
    <col min="11777" max="11777" width="9.25" style="3" customWidth="1"/>
    <col min="11778" max="11778" width="7" style="3" customWidth="1"/>
    <col min="11779" max="11779" width="7.625" style="3" customWidth="1"/>
    <col min="11780" max="11782" width="9.125" style="3" customWidth="1"/>
    <col min="11783" max="11783" width="10.125" style="3" customWidth="1"/>
    <col min="11784" max="11785" width="7.875" style="3" customWidth="1"/>
    <col min="11786" max="11786" width="15" style="3" customWidth="1"/>
    <col min="11787" max="11788" width="9.875" style="3" customWidth="1"/>
    <col min="11789" max="11789" width="18.75" style="3" customWidth="1"/>
    <col min="11790" max="12032" width="9" style="3" customWidth="1"/>
    <col min="12033" max="12033" width="9.25" style="3" customWidth="1"/>
    <col min="12034" max="12034" width="7" style="3" customWidth="1"/>
    <col min="12035" max="12035" width="7.625" style="3" customWidth="1"/>
    <col min="12036" max="12038" width="9.125" style="3" customWidth="1"/>
    <col min="12039" max="12039" width="10.125" style="3" customWidth="1"/>
    <col min="12040" max="12041" width="7.875" style="3" customWidth="1"/>
    <col min="12042" max="12042" width="15" style="3" customWidth="1"/>
    <col min="12043" max="12044" width="9.875" style="3" customWidth="1"/>
    <col min="12045" max="12045" width="18.75" style="3" customWidth="1"/>
    <col min="12046" max="12288" width="9" style="3" customWidth="1"/>
    <col min="12289" max="12289" width="9.25" style="3" customWidth="1"/>
    <col min="12290" max="12290" width="7" style="3" customWidth="1"/>
    <col min="12291" max="12291" width="7.625" style="3" customWidth="1"/>
    <col min="12292" max="12294" width="9.125" style="3" customWidth="1"/>
    <col min="12295" max="12295" width="10.125" style="3" customWidth="1"/>
    <col min="12296" max="12297" width="7.875" style="3" customWidth="1"/>
    <col min="12298" max="12298" width="15" style="3" customWidth="1"/>
    <col min="12299" max="12300" width="9.875" style="3" customWidth="1"/>
    <col min="12301" max="12301" width="18.75" style="3" customWidth="1"/>
    <col min="12302" max="12544" width="9" style="3" customWidth="1"/>
    <col min="12545" max="12545" width="9.25" style="3" customWidth="1"/>
    <col min="12546" max="12546" width="7" style="3" customWidth="1"/>
    <col min="12547" max="12547" width="7.625" style="3" customWidth="1"/>
    <col min="12548" max="12550" width="9.125" style="3" customWidth="1"/>
    <col min="12551" max="12551" width="10.125" style="3" customWidth="1"/>
    <col min="12552" max="12553" width="7.875" style="3" customWidth="1"/>
    <col min="12554" max="12554" width="15" style="3" customWidth="1"/>
    <col min="12555" max="12556" width="9.875" style="3" customWidth="1"/>
    <col min="12557" max="12557" width="18.75" style="3" customWidth="1"/>
    <col min="12558" max="12800" width="9" style="3" customWidth="1"/>
    <col min="12801" max="12801" width="9.25" style="3" customWidth="1"/>
    <col min="12802" max="12802" width="7" style="3" customWidth="1"/>
    <col min="12803" max="12803" width="7.625" style="3" customWidth="1"/>
    <col min="12804" max="12806" width="9.125" style="3" customWidth="1"/>
    <col min="12807" max="12807" width="10.125" style="3" customWidth="1"/>
    <col min="12808" max="12809" width="7.875" style="3" customWidth="1"/>
    <col min="12810" max="12810" width="15" style="3" customWidth="1"/>
    <col min="12811" max="12812" width="9.875" style="3" customWidth="1"/>
    <col min="12813" max="12813" width="18.75" style="3" customWidth="1"/>
    <col min="12814" max="13056" width="9" style="3" customWidth="1"/>
    <col min="13057" max="13057" width="9.25" style="3" customWidth="1"/>
    <col min="13058" max="13058" width="7" style="3" customWidth="1"/>
    <col min="13059" max="13059" width="7.625" style="3" customWidth="1"/>
    <col min="13060" max="13062" width="9.125" style="3" customWidth="1"/>
    <col min="13063" max="13063" width="10.125" style="3" customWidth="1"/>
    <col min="13064" max="13065" width="7.875" style="3" customWidth="1"/>
    <col min="13066" max="13066" width="15" style="3" customWidth="1"/>
    <col min="13067" max="13068" width="9.875" style="3" customWidth="1"/>
    <col min="13069" max="13069" width="18.75" style="3" customWidth="1"/>
    <col min="13070" max="13312" width="9" style="3" customWidth="1"/>
    <col min="13313" max="13313" width="9.25" style="3" customWidth="1"/>
    <col min="13314" max="13314" width="7" style="3" customWidth="1"/>
    <col min="13315" max="13315" width="7.625" style="3" customWidth="1"/>
    <col min="13316" max="13318" width="9.125" style="3" customWidth="1"/>
    <col min="13319" max="13319" width="10.125" style="3" customWidth="1"/>
    <col min="13320" max="13321" width="7.875" style="3" customWidth="1"/>
    <col min="13322" max="13322" width="15" style="3" customWidth="1"/>
    <col min="13323" max="13324" width="9.875" style="3" customWidth="1"/>
    <col min="13325" max="13325" width="18.75" style="3" customWidth="1"/>
    <col min="13326" max="13568" width="9" style="3" customWidth="1"/>
    <col min="13569" max="13569" width="9.25" style="3" customWidth="1"/>
    <col min="13570" max="13570" width="7" style="3" customWidth="1"/>
    <col min="13571" max="13571" width="7.625" style="3" customWidth="1"/>
    <col min="13572" max="13574" width="9.125" style="3" customWidth="1"/>
    <col min="13575" max="13575" width="10.125" style="3" customWidth="1"/>
    <col min="13576" max="13577" width="7.875" style="3" customWidth="1"/>
    <col min="13578" max="13578" width="15" style="3" customWidth="1"/>
    <col min="13579" max="13580" width="9.875" style="3" customWidth="1"/>
    <col min="13581" max="13581" width="18.75" style="3" customWidth="1"/>
    <col min="13582" max="13824" width="9" style="3" customWidth="1"/>
    <col min="13825" max="13825" width="9.25" style="3" customWidth="1"/>
    <col min="13826" max="13826" width="7" style="3" customWidth="1"/>
    <col min="13827" max="13827" width="7.625" style="3" customWidth="1"/>
    <col min="13828" max="13830" width="9.125" style="3" customWidth="1"/>
    <col min="13831" max="13831" width="10.125" style="3" customWidth="1"/>
    <col min="13832" max="13833" width="7.875" style="3" customWidth="1"/>
    <col min="13834" max="13834" width="15" style="3" customWidth="1"/>
    <col min="13835" max="13836" width="9.875" style="3" customWidth="1"/>
    <col min="13837" max="13837" width="18.75" style="3" customWidth="1"/>
    <col min="13838" max="14080" width="9" style="3" customWidth="1"/>
    <col min="14081" max="14081" width="9.25" style="3" customWidth="1"/>
    <col min="14082" max="14082" width="7" style="3" customWidth="1"/>
    <col min="14083" max="14083" width="7.625" style="3" customWidth="1"/>
    <col min="14084" max="14086" width="9.125" style="3" customWidth="1"/>
    <col min="14087" max="14087" width="10.125" style="3" customWidth="1"/>
    <col min="14088" max="14089" width="7.875" style="3" customWidth="1"/>
    <col min="14090" max="14090" width="15" style="3" customWidth="1"/>
    <col min="14091" max="14092" width="9.875" style="3" customWidth="1"/>
    <col min="14093" max="14093" width="18.75" style="3" customWidth="1"/>
    <col min="14094" max="14336" width="9" style="3" customWidth="1"/>
    <col min="14337" max="14337" width="9.25" style="3" customWidth="1"/>
    <col min="14338" max="14338" width="7" style="3" customWidth="1"/>
    <col min="14339" max="14339" width="7.625" style="3" customWidth="1"/>
    <col min="14340" max="14342" width="9.125" style="3" customWidth="1"/>
    <col min="14343" max="14343" width="10.125" style="3" customWidth="1"/>
    <col min="14344" max="14345" width="7.875" style="3" customWidth="1"/>
    <col min="14346" max="14346" width="15" style="3" customWidth="1"/>
    <col min="14347" max="14348" width="9.875" style="3" customWidth="1"/>
    <col min="14349" max="14349" width="18.75" style="3" customWidth="1"/>
    <col min="14350" max="14592" width="9" style="3" customWidth="1"/>
    <col min="14593" max="14593" width="9.25" style="3" customWidth="1"/>
    <col min="14594" max="14594" width="7" style="3" customWidth="1"/>
    <col min="14595" max="14595" width="7.625" style="3" customWidth="1"/>
    <col min="14596" max="14598" width="9.125" style="3" customWidth="1"/>
    <col min="14599" max="14599" width="10.125" style="3" customWidth="1"/>
    <col min="14600" max="14601" width="7.875" style="3" customWidth="1"/>
    <col min="14602" max="14602" width="15" style="3" customWidth="1"/>
    <col min="14603" max="14604" width="9.875" style="3" customWidth="1"/>
    <col min="14605" max="14605" width="18.75" style="3" customWidth="1"/>
    <col min="14606" max="14848" width="9" style="3" customWidth="1"/>
    <col min="14849" max="14849" width="9.25" style="3" customWidth="1"/>
    <col min="14850" max="14850" width="7" style="3" customWidth="1"/>
    <col min="14851" max="14851" width="7.625" style="3" customWidth="1"/>
    <col min="14852" max="14854" width="9.125" style="3" customWidth="1"/>
    <col min="14855" max="14855" width="10.125" style="3" customWidth="1"/>
    <col min="14856" max="14857" width="7.875" style="3" customWidth="1"/>
    <col min="14858" max="14858" width="15" style="3" customWidth="1"/>
    <col min="14859" max="14860" width="9.875" style="3" customWidth="1"/>
    <col min="14861" max="14861" width="18.75" style="3" customWidth="1"/>
    <col min="14862" max="15104" width="9" style="3" customWidth="1"/>
    <col min="15105" max="15105" width="9.25" style="3" customWidth="1"/>
    <col min="15106" max="15106" width="7" style="3" customWidth="1"/>
    <col min="15107" max="15107" width="7.625" style="3" customWidth="1"/>
    <col min="15108" max="15110" width="9.125" style="3" customWidth="1"/>
    <col min="15111" max="15111" width="10.125" style="3" customWidth="1"/>
    <col min="15112" max="15113" width="7.875" style="3" customWidth="1"/>
    <col min="15114" max="15114" width="15" style="3" customWidth="1"/>
    <col min="15115" max="15116" width="9.875" style="3" customWidth="1"/>
    <col min="15117" max="15117" width="18.75" style="3" customWidth="1"/>
    <col min="15118" max="15360" width="9" style="3" customWidth="1"/>
    <col min="15361" max="15361" width="9.25" style="3" customWidth="1"/>
    <col min="15362" max="15362" width="7" style="3" customWidth="1"/>
    <col min="15363" max="15363" width="7.625" style="3" customWidth="1"/>
    <col min="15364" max="15366" width="9.125" style="3" customWidth="1"/>
    <col min="15367" max="15367" width="10.125" style="3" customWidth="1"/>
    <col min="15368" max="15369" width="7.875" style="3" customWidth="1"/>
    <col min="15370" max="15370" width="15" style="3" customWidth="1"/>
    <col min="15371" max="15372" width="9.875" style="3" customWidth="1"/>
    <col min="15373" max="15373" width="18.75" style="3" customWidth="1"/>
    <col min="15374" max="15616" width="9" style="3" customWidth="1"/>
    <col min="15617" max="15617" width="9.25" style="3" customWidth="1"/>
    <col min="15618" max="15618" width="7" style="3" customWidth="1"/>
    <col min="15619" max="15619" width="7.625" style="3" customWidth="1"/>
    <col min="15620" max="15622" width="9.125" style="3" customWidth="1"/>
    <col min="15623" max="15623" width="10.125" style="3" customWidth="1"/>
    <col min="15624" max="15625" width="7.875" style="3" customWidth="1"/>
    <col min="15626" max="15626" width="15" style="3" customWidth="1"/>
    <col min="15627" max="15628" width="9.875" style="3" customWidth="1"/>
    <col min="15629" max="15629" width="18.75" style="3" customWidth="1"/>
    <col min="15630" max="15872" width="9" style="3" customWidth="1"/>
    <col min="15873" max="15873" width="9.25" style="3" customWidth="1"/>
    <col min="15874" max="15874" width="7" style="3" customWidth="1"/>
    <col min="15875" max="15875" width="7.625" style="3" customWidth="1"/>
    <col min="15876" max="15878" width="9.125" style="3" customWidth="1"/>
    <col min="15879" max="15879" width="10.125" style="3" customWidth="1"/>
    <col min="15880" max="15881" width="7.875" style="3" customWidth="1"/>
    <col min="15882" max="15882" width="15" style="3" customWidth="1"/>
    <col min="15883" max="15884" width="9.875" style="3" customWidth="1"/>
    <col min="15885" max="15885" width="18.75" style="3" customWidth="1"/>
    <col min="15886" max="16128" width="9" style="3" customWidth="1"/>
    <col min="16129" max="16129" width="9.25" style="3" customWidth="1"/>
    <col min="16130" max="16130" width="7" style="3" customWidth="1"/>
    <col min="16131" max="16131" width="7.625" style="3" customWidth="1"/>
    <col min="16132" max="16134" width="9.125" style="3" customWidth="1"/>
    <col min="16135" max="16135" width="10.125" style="3" customWidth="1"/>
    <col min="16136" max="16137" width="7.875" style="3" customWidth="1"/>
    <col min="16138" max="16138" width="15" style="3" customWidth="1"/>
    <col min="16139" max="16140" width="9.875" style="3" customWidth="1"/>
    <col min="16141" max="16141" width="18.75" style="3" customWidth="1"/>
    <col min="16142" max="16384" width="9" style="3" customWidth="1"/>
  </cols>
  <sheetData>
    <row r="1" ht="27.95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9.7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34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0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3" t="s">
        <v>35</v>
      </c>
      <c r="B6" s="204" t="s">
        <v>3</v>
      </c>
      <c r="C6" s="3"/>
      <c r="D6" s="3"/>
      <c r="E6" s="3"/>
      <c r="F6" s="3"/>
      <c r="G6" s="3" t="s">
        <v>36</v>
      </c>
      <c r="H6" s="189"/>
      <c r="I6" s="189"/>
      <c r="J6" s="3"/>
      <c r="K6" s="3" t="s">
        <v>37</v>
      </c>
      <c r="L6" s="205"/>
      <c r="M6" s="189"/>
      <c r="N6" s="1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5.25" customHeight="1" spans="1:25" x14ac:dyDescent="0.25">
      <c r="A7" s="3"/>
      <c r="B7" s="3"/>
      <c r="C7" s="3"/>
      <c r="D7" s="3"/>
      <c r="E7" s="3"/>
      <c r="F7" s="3"/>
      <c r="G7" s="3"/>
      <c r="H7" s="164"/>
      <c r="I7" s="16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04" t="s">
        <v>38</v>
      </c>
      <c r="B8" s="3" t="s">
        <v>25</v>
      </c>
      <c r="C8" s="3"/>
      <c r="D8" s="3"/>
      <c r="E8" s="3"/>
      <c r="F8" s="3"/>
      <c r="G8" s="3" t="s">
        <v>39</v>
      </c>
      <c r="H8" s="189"/>
      <c r="I8" s="189"/>
      <c r="J8" s="3"/>
      <c r="K8" s="204" t="s">
        <v>40</v>
      </c>
      <c r="L8" s="189"/>
      <c r="M8" s="189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8.2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95" customHeight="1" spans="1:25" x14ac:dyDescent="0.25">
      <c r="A10" s="206" t="s">
        <v>41</v>
      </c>
      <c r="B10" s="207" t="s">
        <v>42</v>
      </c>
      <c r="C10" s="208"/>
      <c r="D10" s="206" t="s">
        <v>43</v>
      </c>
      <c r="E10" s="206"/>
      <c r="F10" s="206"/>
      <c r="G10" s="209" t="s">
        <v>44</v>
      </c>
      <c r="H10" s="206" t="s">
        <v>45</v>
      </c>
      <c r="I10" s="206"/>
      <c r="J10" s="209" t="s">
        <v>46</v>
      </c>
      <c r="K10" s="206" t="s">
        <v>47</v>
      </c>
      <c r="L10" s="206" t="s">
        <v>48</v>
      </c>
      <c r="M10" s="206" t="s">
        <v>49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95" customHeight="1" spans="1:25" x14ac:dyDescent="0.25">
      <c r="A11" s="210"/>
      <c r="B11" s="211"/>
      <c r="C11" s="212"/>
      <c r="D11" s="210"/>
      <c r="E11" s="210"/>
      <c r="F11" s="210"/>
      <c r="G11" s="213" t="s">
        <v>50</v>
      </c>
      <c r="H11" s="210"/>
      <c r="I11" s="210"/>
      <c r="J11" s="213"/>
      <c r="K11" s="210"/>
      <c r="L11" s="210"/>
      <c r="M11" s="210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4" customHeight="1" spans="1:25" x14ac:dyDescent="0.25">
      <c r="A12" s="214"/>
      <c r="B12" s="215"/>
      <c r="C12" s="216"/>
      <c r="D12" s="215"/>
      <c r="E12" s="217"/>
      <c r="F12" s="218"/>
      <c r="G12" s="214"/>
      <c r="H12" s="219"/>
      <c r="I12" s="220"/>
      <c r="J12" s="221"/>
      <c r="K12" s="214"/>
      <c r="L12" s="214"/>
      <c r="M12" s="222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4" customHeight="1" spans="1:25" x14ac:dyDescent="0.25">
      <c r="A13" s="53"/>
      <c r="B13" s="223"/>
      <c r="C13" s="168"/>
      <c r="D13" s="223"/>
      <c r="E13" s="224"/>
      <c r="F13" s="225"/>
      <c r="G13" s="226"/>
      <c r="H13" s="227"/>
      <c r="I13" s="228"/>
      <c r="J13" s="227"/>
      <c r="K13" s="226"/>
      <c r="L13" s="226"/>
      <c r="M13" s="229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4" customHeight="1" spans="1:25" x14ac:dyDescent="0.25">
      <c r="A14" s="226"/>
      <c r="B14" s="223"/>
      <c r="C14" s="168"/>
      <c r="D14" s="223"/>
      <c r="E14" s="224"/>
      <c r="F14" s="225"/>
      <c r="G14" s="226"/>
      <c r="H14" s="227"/>
      <c r="I14" s="228"/>
      <c r="J14" s="227"/>
      <c r="K14" s="226"/>
      <c r="L14" s="226"/>
      <c r="M14" s="229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4" customHeight="1" spans="1:25" x14ac:dyDescent="0.25">
      <c r="A15" s="226"/>
      <c r="B15" s="223"/>
      <c r="C15" s="168"/>
      <c r="D15" s="223"/>
      <c r="E15" s="224"/>
      <c r="F15" s="225"/>
      <c r="G15" s="226"/>
      <c r="H15" s="227"/>
      <c r="I15" s="228"/>
      <c r="J15" s="227"/>
      <c r="K15" s="226"/>
      <c r="L15" s="226"/>
      <c r="M15" s="229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7.95" customHeight="1" hidden="1" spans="1:25" x14ac:dyDescent="0.25">
      <c r="A16" s="230"/>
      <c r="B16" s="223"/>
      <c r="C16" s="168"/>
      <c r="D16" s="223"/>
      <c r="E16" s="224"/>
      <c r="F16" s="225"/>
      <c r="G16" s="226"/>
      <c r="H16" s="227"/>
      <c r="I16" s="228"/>
      <c r="J16" s="227"/>
      <c r="K16" s="226"/>
      <c r="L16" s="226"/>
      <c r="M16" s="229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4" customHeight="1" spans="1:25" x14ac:dyDescent="0.25">
      <c r="A17" s="226"/>
      <c r="B17" s="223"/>
      <c r="C17" s="168"/>
      <c r="D17" s="223"/>
      <c r="E17" s="224"/>
      <c r="F17" s="225"/>
      <c r="G17" s="226"/>
      <c r="H17" s="227"/>
      <c r="I17" s="228"/>
      <c r="J17" s="227"/>
      <c r="K17" s="226"/>
      <c r="L17" s="226"/>
      <c r="M17" s="229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7.95" customHeight="1" spans="1:25" x14ac:dyDescent="0.25">
      <c r="A18" s="226"/>
      <c r="B18" s="223"/>
      <c r="C18" s="168"/>
      <c r="D18" s="223"/>
      <c r="E18" s="224"/>
      <c r="F18" s="225"/>
      <c r="G18" s="226"/>
      <c r="H18" s="227"/>
      <c r="I18" s="228"/>
      <c r="J18" s="227"/>
      <c r="K18" s="226"/>
      <c r="L18" s="226"/>
      <c r="M18" s="229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4" customHeight="1" spans="1:25" x14ac:dyDescent="0.25">
      <c r="A19" s="231"/>
      <c r="B19" s="232"/>
      <c r="C19" s="233"/>
      <c r="D19" s="234" t="s">
        <v>51</v>
      </c>
      <c r="E19" s="235"/>
      <c r="F19" s="236"/>
      <c r="G19" s="237" t="s">
        <v>52</v>
      </c>
      <c r="H19" s="238">
        <f>SUM(H11:I18)</f>
        <v>170</v>
      </c>
      <c r="I19" s="239"/>
      <c r="J19" s="240">
        <f>SUM(J11:J18)</f>
        <v>170</v>
      </c>
      <c r="K19" s="237" t="s">
        <v>53</v>
      </c>
      <c r="L19" s="237" t="s">
        <v>53</v>
      </c>
      <c r="M19" s="241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7.95" customHeight="1" hidden="1" spans="1:25" x14ac:dyDescent="0.25">
      <c r="A20" s="242"/>
      <c r="B20" s="223"/>
      <c r="C20" s="168"/>
      <c r="D20" s="243"/>
      <c r="E20" s="244"/>
      <c r="F20" s="245"/>
      <c r="G20" s="246"/>
      <c r="H20" s="247"/>
      <c r="I20" s="248"/>
      <c r="J20" s="249"/>
      <c r="K20" s="246"/>
      <c r="L20" s="246"/>
      <c r="M20" s="229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7.95" customHeight="1" hidden="1" spans="1:25" x14ac:dyDescent="0.25">
      <c r="A21" s="242"/>
      <c r="B21" s="223"/>
      <c r="C21" s="168"/>
      <c r="D21" s="243"/>
      <c r="E21" s="244"/>
      <c r="F21" s="245"/>
      <c r="G21" s="246"/>
      <c r="H21" s="247"/>
      <c r="I21" s="248"/>
      <c r="J21" s="249"/>
      <c r="K21" s="246"/>
      <c r="L21" s="246"/>
      <c r="M21" s="229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7.95" customHeight="1" hidden="1" spans="1:25" x14ac:dyDescent="0.25">
      <c r="A22" s="226"/>
      <c r="B22" s="223"/>
      <c r="C22" s="168"/>
      <c r="D22" s="223"/>
      <c r="E22" s="224"/>
      <c r="F22" s="225"/>
      <c r="G22" s="226"/>
      <c r="H22" s="227"/>
      <c r="I22" s="227"/>
      <c r="J22" s="227"/>
      <c r="K22" s="226"/>
      <c r="L22" s="226"/>
      <c r="M22" s="229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7.95" customHeight="1" hidden="1" spans="1:25" x14ac:dyDescent="0.25">
      <c r="A23" s="226"/>
      <c r="B23" s="223"/>
      <c r="C23" s="168"/>
      <c r="D23" s="223"/>
      <c r="E23" s="224"/>
      <c r="F23" s="225"/>
      <c r="G23" s="226"/>
      <c r="H23" s="227"/>
      <c r="I23" s="227"/>
      <c r="J23" s="227"/>
      <c r="K23" s="226"/>
      <c r="L23" s="226"/>
      <c r="M23" s="229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7.95" customHeight="1" hidden="1" spans="1:25" x14ac:dyDescent="0.25">
      <c r="A24" s="226"/>
      <c r="B24" s="223"/>
      <c r="C24" s="168"/>
      <c r="D24" s="223"/>
      <c r="E24" s="224"/>
      <c r="F24" s="225"/>
      <c r="G24" s="226"/>
      <c r="H24" s="227"/>
      <c r="I24" s="227"/>
      <c r="J24" s="227"/>
      <c r="K24" s="226"/>
      <c r="L24" s="226"/>
      <c r="M24" s="229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7.95" customHeight="1" hidden="1" spans="1:25" x14ac:dyDescent="0.25">
      <c r="A25" s="226"/>
      <c r="B25" s="223"/>
      <c r="C25" s="168"/>
      <c r="D25" s="223"/>
      <c r="E25" s="224"/>
      <c r="F25" s="225"/>
      <c r="G25" s="226"/>
      <c r="H25" s="227"/>
      <c r="I25" s="227"/>
      <c r="J25" s="227"/>
      <c r="K25" s="226"/>
      <c r="L25" s="226"/>
      <c r="M25" s="229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7.95" customHeight="1" hidden="1" spans="1:25" x14ac:dyDescent="0.25">
      <c r="A26" s="94"/>
      <c r="B26" s="250"/>
      <c r="C26" s="96"/>
      <c r="D26" s="187"/>
      <c r="E26" s="251"/>
      <c r="F26" s="252"/>
      <c r="G26" s="53"/>
      <c r="H26" s="253"/>
      <c r="I26" s="254"/>
      <c r="J26" s="255"/>
      <c r="K26" s="53"/>
      <c r="L26" s="53"/>
      <c r="M26" s="256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4" customHeight="1" spans="1:25" x14ac:dyDescent="0.25">
      <c r="A27" s="226"/>
      <c r="B27" s="223"/>
      <c r="C27" s="168"/>
      <c r="D27" s="223"/>
      <c r="E27" s="224"/>
      <c r="F27" s="225"/>
      <c r="G27" s="226"/>
      <c r="H27" s="227"/>
      <c r="I27" s="227"/>
      <c r="J27" s="227"/>
      <c r="K27" s="226"/>
      <c r="L27" s="226"/>
      <c r="M27" s="229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95" customHeight="1" spans="1:25" x14ac:dyDescent="0.25">
      <c r="A28" s="257" t="s">
        <v>54</v>
      </c>
      <c r="B28" s="258"/>
      <c r="C28" s="258"/>
      <c r="D28" s="258"/>
      <c r="E28" s="258"/>
      <c r="F28" s="258"/>
      <c r="G28" s="258"/>
      <c r="H28" s="258"/>
      <c r="I28" s="258"/>
      <c r="J28" s="258"/>
      <c r="K28" s="258"/>
      <c r="L28" s="258"/>
      <c r="M28" s="259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x14ac:dyDescent="0.25">
      <c r="A29" s="250"/>
      <c r="B29" s="260"/>
      <c r="C29" s="260"/>
      <c r="D29" s="260"/>
      <c r="E29" s="260"/>
      <c r="F29" s="260"/>
      <c r="G29" s="260"/>
      <c r="H29" s="260"/>
      <c r="I29" s="260"/>
      <c r="J29" s="260"/>
      <c r="K29" s="260"/>
      <c r="L29" s="260"/>
      <c r="M29" s="261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x14ac:dyDescent="0.25">
      <c r="A30" s="262"/>
      <c r="B30" s="260"/>
      <c r="C30" s="260"/>
      <c r="D30" s="260"/>
      <c r="E30" s="260"/>
      <c r="F30" s="260"/>
      <c r="G30" s="260"/>
      <c r="H30" s="260"/>
      <c r="I30" s="260"/>
      <c r="J30" s="260"/>
      <c r="K30" s="260"/>
      <c r="L30" s="260"/>
      <c r="M30" s="261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x14ac:dyDescent="0.25">
      <c r="A31" s="262"/>
      <c r="B31" s="260"/>
      <c r="C31" s="260"/>
      <c r="D31" s="260"/>
      <c r="E31" s="260"/>
      <c r="F31" s="260"/>
      <c r="G31" s="260"/>
      <c r="H31" s="260"/>
      <c r="I31" s="260"/>
      <c r="J31" s="260"/>
      <c r="K31" s="260"/>
      <c r="L31" s="260"/>
      <c r="M31" s="261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95" customHeight="1" spans="1:25" x14ac:dyDescent="0.25">
      <c r="A32" s="262"/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  <c r="M32" s="261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95" customHeight="1" spans="1:25" x14ac:dyDescent="0.25">
      <c r="A33" s="262"/>
      <c r="B33" s="260"/>
      <c r="C33" s="260"/>
      <c r="D33" s="260"/>
      <c r="E33" s="260"/>
      <c r="F33" s="260"/>
      <c r="G33" s="260"/>
      <c r="H33" s="260"/>
      <c r="I33" s="260"/>
      <c r="J33" s="260"/>
      <c r="K33" s="260"/>
      <c r="L33" s="260"/>
      <c r="M33" s="261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95" customHeight="1" spans="1:25" x14ac:dyDescent="0.25">
      <c r="A34" s="263"/>
      <c r="B34" s="251"/>
      <c r="C34" s="251"/>
      <c r="D34" s="251"/>
      <c r="E34" s="251"/>
      <c r="F34" s="251"/>
      <c r="G34" s="251"/>
      <c r="H34" s="251"/>
      <c r="I34" s="251"/>
      <c r="J34" s="251"/>
      <c r="K34" s="251"/>
      <c r="L34" s="251"/>
      <c r="M34" s="252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4.25" customHeight="1" spans="1:25" x14ac:dyDescent="0.25">
      <c r="A35" s="40"/>
      <c r="B35" s="260"/>
      <c r="C35" s="260"/>
      <c r="D35" s="260"/>
      <c r="E35" s="260"/>
      <c r="F35" s="260"/>
      <c r="G35" s="260"/>
      <c r="H35" s="260"/>
      <c r="I35" s="260"/>
      <c r="J35" s="260"/>
      <c r="K35" s="260"/>
      <c r="L35" s="260"/>
      <c r="M35" s="260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4.25" customHeight="1" spans="1:25" x14ac:dyDescent="0.25">
      <c r="A36" s="40"/>
      <c r="B36" s="260"/>
      <c r="C36" s="260"/>
      <c r="D36" s="260"/>
      <c r="E36" s="260"/>
      <c r="F36" s="260"/>
      <c r="G36" s="260"/>
      <c r="H36" s="260"/>
      <c r="I36" s="260"/>
      <c r="J36" s="260"/>
      <c r="K36" s="260"/>
      <c r="L36" s="260"/>
      <c r="M36" s="260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" customHeight="1" spans="1:25" x14ac:dyDescent="0.25">
      <c r="A38" s="199"/>
      <c r="B38" s="199"/>
      <c r="C38" s="199"/>
      <c r="D38" s="3"/>
      <c r="E38" s="3"/>
      <c r="F38" s="3"/>
      <c r="G38" s="199"/>
      <c r="H38" s="199"/>
      <c r="I38" s="199"/>
      <c r="J38" s="3"/>
      <c r="K38" s="3"/>
      <c r="L38" s="199"/>
      <c r="M38" s="199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00" t="s">
        <v>22</v>
      </c>
      <c r="B39" s="200"/>
      <c r="C39" s="200"/>
      <c r="D39" s="3"/>
      <c r="E39" s="3"/>
      <c r="F39" s="3"/>
      <c r="G39" s="200" t="s">
        <v>55</v>
      </c>
      <c r="H39" s="200"/>
      <c r="I39" s="200"/>
      <c r="J39" s="3"/>
      <c r="K39" s="3"/>
      <c r="L39" s="200" t="s">
        <v>23</v>
      </c>
      <c r="M39" s="200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</sheetData>
  <mergeCells count="46">
    <mergeCell ref="A1:M1"/>
    <mergeCell ref="A2:M2"/>
    <mergeCell ref="A4:M4"/>
    <mergeCell ref="H6:I6"/>
    <mergeCell ref="L6:M6"/>
    <mergeCell ref="H8:I8"/>
    <mergeCell ref="L8:M8"/>
    <mergeCell ref="B10:C11"/>
    <mergeCell ref="D10:F11"/>
    <mergeCell ref="H10:I11"/>
    <mergeCell ref="A10:A11"/>
    <mergeCell ref="J10:J11"/>
    <mergeCell ref="K10:K11"/>
    <mergeCell ref="L10:L11"/>
    <mergeCell ref="M10:M11"/>
    <mergeCell ref="B19:C19"/>
    <mergeCell ref="D19:F19"/>
    <mergeCell ref="H19:I19"/>
    <mergeCell ref="B20:C20"/>
    <mergeCell ref="D20:F20"/>
    <mergeCell ref="H20:I20"/>
    <mergeCell ref="B21:C21"/>
    <mergeCell ref="D21:F21"/>
    <mergeCell ref="H21:I21"/>
    <mergeCell ref="B22:C22"/>
    <mergeCell ref="H22:I22"/>
    <mergeCell ref="B23:C23"/>
    <mergeCell ref="H23:I23"/>
    <mergeCell ref="B24:C24"/>
    <mergeCell ref="H24:I24"/>
    <mergeCell ref="B25:C25"/>
    <mergeCell ref="H25:I25"/>
    <mergeCell ref="B26:C26"/>
    <mergeCell ref="H26:I26"/>
    <mergeCell ref="B27:C27"/>
    <mergeCell ref="H27:I27"/>
    <mergeCell ref="A28:M28"/>
    <mergeCell ref="B29:M29"/>
    <mergeCell ref="B30:M30"/>
    <mergeCell ref="B31:M31"/>
    <mergeCell ref="B32:M32"/>
    <mergeCell ref="B33:M33"/>
    <mergeCell ref="B34:M34"/>
    <mergeCell ref="A39:C39"/>
    <mergeCell ref="G39:I39"/>
    <mergeCell ref="L39:M39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95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60"/>
    <pageSetUpPr fitToPage="1"/>
  </sheetPr>
  <dimension ref="A1:Y37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7.5" style="3" customWidth="1"/>
    <col min="2" max="2" width="9.5" style="3" customWidth="1"/>
    <col min="3" max="5" width="5.625" style="3" customWidth="1"/>
    <col min="6" max="9" width="6" style="3" customWidth="1"/>
    <col min="10" max="10" width="9" style="3" customWidth="1"/>
    <col min="11" max="18" width="7.625" style="3" customWidth="1"/>
    <col min="19" max="19" width="6.75" style="3" hidden="1" customWidth="1"/>
    <col min="20" max="256" width="9" style="3" customWidth="1"/>
    <col min="257" max="257" width="7.5" style="3" customWidth="1"/>
    <col min="258" max="258" width="9.5" style="3" customWidth="1"/>
    <col min="259" max="261" width="5.625" style="3" customWidth="1"/>
    <col min="262" max="265" width="6" style="3" customWidth="1"/>
    <col min="266" max="266" width="9" style="3" customWidth="1"/>
    <col min="267" max="267" width="7.625" style="3" customWidth="1"/>
    <col min="268" max="274" width="8" style="3" customWidth="1"/>
    <col min="275" max="275" width="9" style="3" hidden="1" customWidth="1"/>
    <col min="276" max="512" width="9" style="3" customWidth="1"/>
    <col min="513" max="513" width="7.5" style="3" customWidth="1"/>
    <col min="514" max="514" width="9.5" style="3" customWidth="1"/>
    <col min="515" max="517" width="5.625" style="3" customWidth="1"/>
    <col min="518" max="521" width="6" style="3" customWidth="1"/>
    <col min="522" max="522" width="9" style="3" customWidth="1"/>
    <col min="523" max="523" width="7.625" style="3" customWidth="1"/>
    <col min="524" max="530" width="8" style="3" customWidth="1"/>
    <col min="531" max="531" width="9" style="3" hidden="1" customWidth="1"/>
    <col min="532" max="768" width="9" style="3" customWidth="1"/>
    <col min="769" max="769" width="7.5" style="3" customWidth="1"/>
    <col min="770" max="770" width="9.5" style="3" customWidth="1"/>
    <col min="771" max="773" width="5.625" style="3" customWidth="1"/>
    <col min="774" max="777" width="6" style="3" customWidth="1"/>
    <col min="778" max="778" width="9" style="3" customWidth="1"/>
    <col min="779" max="779" width="7.625" style="3" customWidth="1"/>
    <col min="780" max="786" width="8" style="3" customWidth="1"/>
    <col min="787" max="787" width="9" style="3" hidden="1" customWidth="1"/>
    <col min="788" max="1024" width="9" style="3" customWidth="1"/>
    <col min="1025" max="1025" width="7.5" style="3" customWidth="1"/>
    <col min="1026" max="1026" width="9.5" style="3" customWidth="1"/>
    <col min="1027" max="1029" width="5.625" style="3" customWidth="1"/>
    <col min="1030" max="1033" width="6" style="3" customWidth="1"/>
    <col min="1034" max="1034" width="9" style="3" customWidth="1"/>
    <col min="1035" max="1035" width="7.625" style="3" customWidth="1"/>
    <col min="1036" max="1042" width="8" style="3" customWidth="1"/>
    <col min="1043" max="1043" width="9" style="3" hidden="1" customWidth="1"/>
    <col min="1044" max="1280" width="9" style="3" customWidth="1"/>
    <col min="1281" max="1281" width="7.5" style="3" customWidth="1"/>
    <col min="1282" max="1282" width="9.5" style="3" customWidth="1"/>
    <col min="1283" max="1285" width="5.625" style="3" customWidth="1"/>
    <col min="1286" max="1289" width="6" style="3" customWidth="1"/>
    <col min="1290" max="1290" width="9" style="3" customWidth="1"/>
    <col min="1291" max="1291" width="7.625" style="3" customWidth="1"/>
    <col min="1292" max="1298" width="8" style="3" customWidth="1"/>
    <col min="1299" max="1299" width="9" style="3" hidden="1" customWidth="1"/>
    <col min="1300" max="1536" width="9" style="3" customWidth="1"/>
    <col min="1537" max="1537" width="7.5" style="3" customWidth="1"/>
    <col min="1538" max="1538" width="9.5" style="3" customWidth="1"/>
    <col min="1539" max="1541" width="5.625" style="3" customWidth="1"/>
    <col min="1542" max="1545" width="6" style="3" customWidth="1"/>
    <col min="1546" max="1546" width="9" style="3" customWidth="1"/>
    <col min="1547" max="1547" width="7.625" style="3" customWidth="1"/>
    <col min="1548" max="1554" width="8" style="3" customWidth="1"/>
    <col min="1555" max="1555" width="9" style="3" hidden="1" customWidth="1"/>
    <col min="1556" max="1792" width="9" style="3" customWidth="1"/>
    <col min="1793" max="1793" width="7.5" style="3" customWidth="1"/>
    <col min="1794" max="1794" width="9.5" style="3" customWidth="1"/>
    <col min="1795" max="1797" width="5.625" style="3" customWidth="1"/>
    <col min="1798" max="1801" width="6" style="3" customWidth="1"/>
    <col min="1802" max="1802" width="9" style="3" customWidth="1"/>
    <col min="1803" max="1803" width="7.625" style="3" customWidth="1"/>
    <col min="1804" max="1810" width="8" style="3" customWidth="1"/>
    <col min="1811" max="1811" width="9" style="3" hidden="1" customWidth="1"/>
    <col min="1812" max="2048" width="9" style="3" customWidth="1"/>
    <col min="2049" max="2049" width="7.5" style="3" customWidth="1"/>
    <col min="2050" max="2050" width="9.5" style="3" customWidth="1"/>
    <col min="2051" max="2053" width="5.625" style="3" customWidth="1"/>
    <col min="2054" max="2057" width="6" style="3" customWidth="1"/>
    <col min="2058" max="2058" width="9" style="3" customWidth="1"/>
    <col min="2059" max="2059" width="7.625" style="3" customWidth="1"/>
    <col min="2060" max="2066" width="8" style="3" customWidth="1"/>
    <col min="2067" max="2067" width="9" style="3" hidden="1" customWidth="1"/>
    <col min="2068" max="2304" width="9" style="3" customWidth="1"/>
    <col min="2305" max="2305" width="7.5" style="3" customWidth="1"/>
    <col min="2306" max="2306" width="9.5" style="3" customWidth="1"/>
    <col min="2307" max="2309" width="5.625" style="3" customWidth="1"/>
    <col min="2310" max="2313" width="6" style="3" customWidth="1"/>
    <col min="2314" max="2314" width="9" style="3" customWidth="1"/>
    <col min="2315" max="2315" width="7.625" style="3" customWidth="1"/>
    <col min="2316" max="2322" width="8" style="3" customWidth="1"/>
    <col min="2323" max="2323" width="9" style="3" hidden="1" customWidth="1"/>
    <col min="2324" max="2560" width="9" style="3" customWidth="1"/>
    <col min="2561" max="2561" width="7.5" style="3" customWidth="1"/>
    <col min="2562" max="2562" width="9.5" style="3" customWidth="1"/>
    <col min="2563" max="2565" width="5.625" style="3" customWidth="1"/>
    <col min="2566" max="2569" width="6" style="3" customWidth="1"/>
    <col min="2570" max="2570" width="9" style="3" customWidth="1"/>
    <col min="2571" max="2571" width="7.625" style="3" customWidth="1"/>
    <col min="2572" max="2578" width="8" style="3" customWidth="1"/>
    <col min="2579" max="2579" width="9" style="3" hidden="1" customWidth="1"/>
    <col min="2580" max="2816" width="9" style="3" customWidth="1"/>
    <col min="2817" max="2817" width="7.5" style="3" customWidth="1"/>
    <col min="2818" max="2818" width="9.5" style="3" customWidth="1"/>
    <col min="2819" max="2821" width="5.625" style="3" customWidth="1"/>
    <col min="2822" max="2825" width="6" style="3" customWidth="1"/>
    <col min="2826" max="2826" width="9" style="3" customWidth="1"/>
    <col min="2827" max="2827" width="7.625" style="3" customWidth="1"/>
    <col min="2828" max="2834" width="8" style="3" customWidth="1"/>
    <col min="2835" max="2835" width="9" style="3" hidden="1" customWidth="1"/>
    <col min="2836" max="3072" width="9" style="3" customWidth="1"/>
    <col min="3073" max="3073" width="7.5" style="3" customWidth="1"/>
    <col min="3074" max="3074" width="9.5" style="3" customWidth="1"/>
    <col min="3075" max="3077" width="5.625" style="3" customWidth="1"/>
    <col min="3078" max="3081" width="6" style="3" customWidth="1"/>
    <col min="3082" max="3082" width="9" style="3" customWidth="1"/>
    <col min="3083" max="3083" width="7.625" style="3" customWidth="1"/>
    <col min="3084" max="3090" width="8" style="3" customWidth="1"/>
    <col min="3091" max="3091" width="9" style="3" hidden="1" customWidth="1"/>
    <col min="3092" max="3328" width="9" style="3" customWidth="1"/>
    <col min="3329" max="3329" width="7.5" style="3" customWidth="1"/>
    <col min="3330" max="3330" width="9.5" style="3" customWidth="1"/>
    <col min="3331" max="3333" width="5.625" style="3" customWidth="1"/>
    <col min="3334" max="3337" width="6" style="3" customWidth="1"/>
    <col min="3338" max="3338" width="9" style="3" customWidth="1"/>
    <col min="3339" max="3339" width="7.625" style="3" customWidth="1"/>
    <col min="3340" max="3346" width="8" style="3" customWidth="1"/>
    <col min="3347" max="3347" width="9" style="3" hidden="1" customWidth="1"/>
    <col min="3348" max="3584" width="9" style="3" customWidth="1"/>
    <col min="3585" max="3585" width="7.5" style="3" customWidth="1"/>
    <col min="3586" max="3586" width="9.5" style="3" customWidth="1"/>
    <col min="3587" max="3589" width="5.625" style="3" customWidth="1"/>
    <col min="3590" max="3593" width="6" style="3" customWidth="1"/>
    <col min="3594" max="3594" width="9" style="3" customWidth="1"/>
    <col min="3595" max="3595" width="7.625" style="3" customWidth="1"/>
    <col min="3596" max="3602" width="8" style="3" customWidth="1"/>
    <col min="3603" max="3603" width="9" style="3" hidden="1" customWidth="1"/>
    <col min="3604" max="3840" width="9" style="3" customWidth="1"/>
    <col min="3841" max="3841" width="7.5" style="3" customWidth="1"/>
    <col min="3842" max="3842" width="9.5" style="3" customWidth="1"/>
    <col min="3843" max="3845" width="5.625" style="3" customWidth="1"/>
    <col min="3846" max="3849" width="6" style="3" customWidth="1"/>
    <col min="3850" max="3850" width="9" style="3" customWidth="1"/>
    <col min="3851" max="3851" width="7.625" style="3" customWidth="1"/>
    <col min="3852" max="3858" width="8" style="3" customWidth="1"/>
    <col min="3859" max="3859" width="9" style="3" hidden="1" customWidth="1"/>
    <col min="3860" max="4096" width="9" style="3" customWidth="1"/>
    <col min="4097" max="4097" width="7.5" style="3" customWidth="1"/>
    <col min="4098" max="4098" width="9.5" style="3" customWidth="1"/>
    <col min="4099" max="4101" width="5.625" style="3" customWidth="1"/>
    <col min="4102" max="4105" width="6" style="3" customWidth="1"/>
    <col min="4106" max="4106" width="9" style="3" customWidth="1"/>
    <col min="4107" max="4107" width="7.625" style="3" customWidth="1"/>
    <col min="4108" max="4114" width="8" style="3" customWidth="1"/>
    <col min="4115" max="4115" width="9" style="3" hidden="1" customWidth="1"/>
    <col min="4116" max="4352" width="9" style="3" customWidth="1"/>
    <col min="4353" max="4353" width="7.5" style="3" customWidth="1"/>
    <col min="4354" max="4354" width="9.5" style="3" customWidth="1"/>
    <col min="4355" max="4357" width="5.625" style="3" customWidth="1"/>
    <col min="4358" max="4361" width="6" style="3" customWidth="1"/>
    <col min="4362" max="4362" width="9" style="3" customWidth="1"/>
    <col min="4363" max="4363" width="7.625" style="3" customWidth="1"/>
    <col min="4364" max="4370" width="8" style="3" customWidth="1"/>
    <col min="4371" max="4371" width="9" style="3" hidden="1" customWidth="1"/>
    <col min="4372" max="4608" width="9" style="3" customWidth="1"/>
    <col min="4609" max="4609" width="7.5" style="3" customWidth="1"/>
    <col min="4610" max="4610" width="9.5" style="3" customWidth="1"/>
    <col min="4611" max="4613" width="5.625" style="3" customWidth="1"/>
    <col min="4614" max="4617" width="6" style="3" customWidth="1"/>
    <col min="4618" max="4618" width="9" style="3" customWidth="1"/>
    <col min="4619" max="4619" width="7.625" style="3" customWidth="1"/>
    <col min="4620" max="4626" width="8" style="3" customWidth="1"/>
    <col min="4627" max="4627" width="9" style="3" hidden="1" customWidth="1"/>
    <col min="4628" max="4864" width="9" style="3" customWidth="1"/>
    <col min="4865" max="4865" width="7.5" style="3" customWidth="1"/>
    <col min="4866" max="4866" width="9.5" style="3" customWidth="1"/>
    <col min="4867" max="4869" width="5.625" style="3" customWidth="1"/>
    <col min="4870" max="4873" width="6" style="3" customWidth="1"/>
    <col min="4874" max="4874" width="9" style="3" customWidth="1"/>
    <col min="4875" max="4875" width="7.625" style="3" customWidth="1"/>
    <col min="4876" max="4882" width="8" style="3" customWidth="1"/>
    <col min="4883" max="4883" width="9" style="3" hidden="1" customWidth="1"/>
    <col min="4884" max="5120" width="9" style="3" customWidth="1"/>
    <col min="5121" max="5121" width="7.5" style="3" customWidth="1"/>
    <col min="5122" max="5122" width="9.5" style="3" customWidth="1"/>
    <col min="5123" max="5125" width="5.625" style="3" customWidth="1"/>
    <col min="5126" max="5129" width="6" style="3" customWidth="1"/>
    <col min="5130" max="5130" width="9" style="3" customWidth="1"/>
    <col min="5131" max="5131" width="7.625" style="3" customWidth="1"/>
    <col min="5132" max="5138" width="8" style="3" customWidth="1"/>
    <col min="5139" max="5139" width="9" style="3" hidden="1" customWidth="1"/>
    <col min="5140" max="5376" width="9" style="3" customWidth="1"/>
    <col min="5377" max="5377" width="7.5" style="3" customWidth="1"/>
    <col min="5378" max="5378" width="9.5" style="3" customWidth="1"/>
    <col min="5379" max="5381" width="5.625" style="3" customWidth="1"/>
    <col min="5382" max="5385" width="6" style="3" customWidth="1"/>
    <col min="5386" max="5386" width="9" style="3" customWidth="1"/>
    <col min="5387" max="5387" width="7.625" style="3" customWidth="1"/>
    <col min="5388" max="5394" width="8" style="3" customWidth="1"/>
    <col min="5395" max="5395" width="9" style="3" hidden="1" customWidth="1"/>
    <col min="5396" max="5632" width="9" style="3" customWidth="1"/>
    <col min="5633" max="5633" width="7.5" style="3" customWidth="1"/>
    <col min="5634" max="5634" width="9.5" style="3" customWidth="1"/>
    <col min="5635" max="5637" width="5.625" style="3" customWidth="1"/>
    <col min="5638" max="5641" width="6" style="3" customWidth="1"/>
    <col min="5642" max="5642" width="9" style="3" customWidth="1"/>
    <col min="5643" max="5643" width="7.625" style="3" customWidth="1"/>
    <col min="5644" max="5650" width="8" style="3" customWidth="1"/>
    <col min="5651" max="5651" width="9" style="3" hidden="1" customWidth="1"/>
    <col min="5652" max="5888" width="9" style="3" customWidth="1"/>
    <col min="5889" max="5889" width="7.5" style="3" customWidth="1"/>
    <col min="5890" max="5890" width="9.5" style="3" customWidth="1"/>
    <col min="5891" max="5893" width="5.625" style="3" customWidth="1"/>
    <col min="5894" max="5897" width="6" style="3" customWidth="1"/>
    <col min="5898" max="5898" width="9" style="3" customWidth="1"/>
    <col min="5899" max="5899" width="7.625" style="3" customWidth="1"/>
    <col min="5900" max="5906" width="8" style="3" customWidth="1"/>
    <col min="5907" max="5907" width="9" style="3" hidden="1" customWidth="1"/>
    <col min="5908" max="6144" width="9" style="3" customWidth="1"/>
    <col min="6145" max="6145" width="7.5" style="3" customWidth="1"/>
    <col min="6146" max="6146" width="9.5" style="3" customWidth="1"/>
    <col min="6147" max="6149" width="5.625" style="3" customWidth="1"/>
    <col min="6150" max="6153" width="6" style="3" customWidth="1"/>
    <col min="6154" max="6154" width="9" style="3" customWidth="1"/>
    <col min="6155" max="6155" width="7.625" style="3" customWidth="1"/>
    <col min="6156" max="6162" width="8" style="3" customWidth="1"/>
    <col min="6163" max="6163" width="9" style="3" hidden="1" customWidth="1"/>
    <col min="6164" max="6400" width="9" style="3" customWidth="1"/>
    <col min="6401" max="6401" width="7.5" style="3" customWidth="1"/>
    <col min="6402" max="6402" width="9.5" style="3" customWidth="1"/>
    <col min="6403" max="6405" width="5.625" style="3" customWidth="1"/>
    <col min="6406" max="6409" width="6" style="3" customWidth="1"/>
    <col min="6410" max="6410" width="9" style="3" customWidth="1"/>
    <col min="6411" max="6411" width="7.625" style="3" customWidth="1"/>
    <col min="6412" max="6418" width="8" style="3" customWidth="1"/>
    <col min="6419" max="6419" width="9" style="3" hidden="1" customWidth="1"/>
    <col min="6420" max="6656" width="9" style="3" customWidth="1"/>
    <col min="6657" max="6657" width="7.5" style="3" customWidth="1"/>
    <col min="6658" max="6658" width="9.5" style="3" customWidth="1"/>
    <col min="6659" max="6661" width="5.625" style="3" customWidth="1"/>
    <col min="6662" max="6665" width="6" style="3" customWidth="1"/>
    <col min="6666" max="6666" width="9" style="3" customWidth="1"/>
    <col min="6667" max="6667" width="7.625" style="3" customWidth="1"/>
    <col min="6668" max="6674" width="8" style="3" customWidth="1"/>
    <col min="6675" max="6675" width="9" style="3" hidden="1" customWidth="1"/>
    <col min="6676" max="6912" width="9" style="3" customWidth="1"/>
    <col min="6913" max="6913" width="7.5" style="3" customWidth="1"/>
    <col min="6914" max="6914" width="9.5" style="3" customWidth="1"/>
    <col min="6915" max="6917" width="5.625" style="3" customWidth="1"/>
    <col min="6918" max="6921" width="6" style="3" customWidth="1"/>
    <col min="6922" max="6922" width="9" style="3" customWidth="1"/>
    <col min="6923" max="6923" width="7.625" style="3" customWidth="1"/>
    <col min="6924" max="6930" width="8" style="3" customWidth="1"/>
    <col min="6931" max="6931" width="9" style="3" hidden="1" customWidth="1"/>
    <col min="6932" max="7168" width="9" style="3" customWidth="1"/>
    <col min="7169" max="7169" width="7.5" style="3" customWidth="1"/>
    <col min="7170" max="7170" width="9.5" style="3" customWidth="1"/>
    <col min="7171" max="7173" width="5.625" style="3" customWidth="1"/>
    <col min="7174" max="7177" width="6" style="3" customWidth="1"/>
    <col min="7178" max="7178" width="9" style="3" customWidth="1"/>
    <col min="7179" max="7179" width="7.625" style="3" customWidth="1"/>
    <col min="7180" max="7186" width="8" style="3" customWidth="1"/>
    <col min="7187" max="7187" width="9" style="3" hidden="1" customWidth="1"/>
    <col min="7188" max="7424" width="9" style="3" customWidth="1"/>
    <col min="7425" max="7425" width="7.5" style="3" customWidth="1"/>
    <col min="7426" max="7426" width="9.5" style="3" customWidth="1"/>
    <col min="7427" max="7429" width="5.625" style="3" customWidth="1"/>
    <col min="7430" max="7433" width="6" style="3" customWidth="1"/>
    <col min="7434" max="7434" width="9" style="3" customWidth="1"/>
    <col min="7435" max="7435" width="7.625" style="3" customWidth="1"/>
    <col min="7436" max="7442" width="8" style="3" customWidth="1"/>
    <col min="7443" max="7443" width="9" style="3" hidden="1" customWidth="1"/>
    <col min="7444" max="7680" width="9" style="3" customWidth="1"/>
    <col min="7681" max="7681" width="7.5" style="3" customWidth="1"/>
    <col min="7682" max="7682" width="9.5" style="3" customWidth="1"/>
    <col min="7683" max="7685" width="5.625" style="3" customWidth="1"/>
    <col min="7686" max="7689" width="6" style="3" customWidth="1"/>
    <col min="7690" max="7690" width="9" style="3" customWidth="1"/>
    <col min="7691" max="7691" width="7.625" style="3" customWidth="1"/>
    <col min="7692" max="7698" width="8" style="3" customWidth="1"/>
    <col min="7699" max="7699" width="9" style="3" hidden="1" customWidth="1"/>
    <col min="7700" max="7936" width="9" style="3" customWidth="1"/>
    <col min="7937" max="7937" width="7.5" style="3" customWidth="1"/>
    <col min="7938" max="7938" width="9.5" style="3" customWidth="1"/>
    <col min="7939" max="7941" width="5.625" style="3" customWidth="1"/>
    <col min="7942" max="7945" width="6" style="3" customWidth="1"/>
    <col min="7946" max="7946" width="9" style="3" customWidth="1"/>
    <col min="7947" max="7947" width="7.625" style="3" customWidth="1"/>
    <col min="7948" max="7954" width="8" style="3" customWidth="1"/>
    <col min="7955" max="7955" width="9" style="3" hidden="1" customWidth="1"/>
    <col min="7956" max="8192" width="9" style="3" customWidth="1"/>
    <col min="8193" max="8193" width="7.5" style="3" customWidth="1"/>
    <col min="8194" max="8194" width="9.5" style="3" customWidth="1"/>
    <col min="8195" max="8197" width="5.625" style="3" customWidth="1"/>
    <col min="8198" max="8201" width="6" style="3" customWidth="1"/>
    <col min="8202" max="8202" width="9" style="3" customWidth="1"/>
    <col min="8203" max="8203" width="7.625" style="3" customWidth="1"/>
    <col min="8204" max="8210" width="8" style="3" customWidth="1"/>
    <col min="8211" max="8211" width="9" style="3" hidden="1" customWidth="1"/>
    <col min="8212" max="8448" width="9" style="3" customWidth="1"/>
    <col min="8449" max="8449" width="7.5" style="3" customWidth="1"/>
    <col min="8450" max="8450" width="9.5" style="3" customWidth="1"/>
    <col min="8451" max="8453" width="5.625" style="3" customWidth="1"/>
    <col min="8454" max="8457" width="6" style="3" customWidth="1"/>
    <col min="8458" max="8458" width="9" style="3" customWidth="1"/>
    <col min="8459" max="8459" width="7.625" style="3" customWidth="1"/>
    <col min="8460" max="8466" width="8" style="3" customWidth="1"/>
    <col min="8467" max="8467" width="9" style="3" hidden="1" customWidth="1"/>
    <col min="8468" max="8704" width="9" style="3" customWidth="1"/>
    <col min="8705" max="8705" width="7.5" style="3" customWidth="1"/>
    <col min="8706" max="8706" width="9.5" style="3" customWidth="1"/>
    <col min="8707" max="8709" width="5.625" style="3" customWidth="1"/>
    <col min="8710" max="8713" width="6" style="3" customWidth="1"/>
    <col min="8714" max="8714" width="9" style="3" customWidth="1"/>
    <col min="8715" max="8715" width="7.625" style="3" customWidth="1"/>
    <col min="8716" max="8722" width="8" style="3" customWidth="1"/>
    <col min="8723" max="8723" width="9" style="3" hidden="1" customWidth="1"/>
    <col min="8724" max="8960" width="9" style="3" customWidth="1"/>
    <col min="8961" max="8961" width="7.5" style="3" customWidth="1"/>
    <col min="8962" max="8962" width="9.5" style="3" customWidth="1"/>
    <col min="8963" max="8965" width="5.625" style="3" customWidth="1"/>
    <col min="8966" max="8969" width="6" style="3" customWidth="1"/>
    <col min="8970" max="8970" width="9" style="3" customWidth="1"/>
    <col min="8971" max="8971" width="7.625" style="3" customWidth="1"/>
    <col min="8972" max="8978" width="8" style="3" customWidth="1"/>
    <col min="8979" max="8979" width="9" style="3" hidden="1" customWidth="1"/>
    <col min="8980" max="9216" width="9" style="3" customWidth="1"/>
    <col min="9217" max="9217" width="7.5" style="3" customWidth="1"/>
    <col min="9218" max="9218" width="9.5" style="3" customWidth="1"/>
    <col min="9219" max="9221" width="5.625" style="3" customWidth="1"/>
    <col min="9222" max="9225" width="6" style="3" customWidth="1"/>
    <col min="9226" max="9226" width="9" style="3" customWidth="1"/>
    <col min="9227" max="9227" width="7.625" style="3" customWidth="1"/>
    <col min="9228" max="9234" width="8" style="3" customWidth="1"/>
    <col min="9235" max="9235" width="9" style="3" hidden="1" customWidth="1"/>
    <col min="9236" max="9472" width="9" style="3" customWidth="1"/>
    <col min="9473" max="9473" width="7.5" style="3" customWidth="1"/>
    <col min="9474" max="9474" width="9.5" style="3" customWidth="1"/>
    <col min="9475" max="9477" width="5.625" style="3" customWidth="1"/>
    <col min="9478" max="9481" width="6" style="3" customWidth="1"/>
    <col min="9482" max="9482" width="9" style="3" customWidth="1"/>
    <col min="9483" max="9483" width="7.625" style="3" customWidth="1"/>
    <col min="9484" max="9490" width="8" style="3" customWidth="1"/>
    <col min="9491" max="9491" width="9" style="3" hidden="1" customWidth="1"/>
    <col min="9492" max="9728" width="9" style="3" customWidth="1"/>
    <col min="9729" max="9729" width="7.5" style="3" customWidth="1"/>
    <col min="9730" max="9730" width="9.5" style="3" customWidth="1"/>
    <col min="9731" max="9733" width="5.625" style="3" customWidth="1"/>
    <col min="9734" max="9737" width="6" style="3" customWidth="1"/>
    <col min="9738" max="9738" width="9" style="3" customWidth="1"/>
    <col min="9739" max="9739" width="7.625" style="3" customWidth="1"/>
    <col min="9740" max="9746" width="8" style="3" customWidth="1"/>
    <col min="9747" max="9747" width="9" style="3" hidden="1" customWidth="1"/>
    <col min="9748" max="9984" width="9" style="3" customWidth="1"/>
    <col min="9985" max="9985" width="7.5" style="3" customWidth="1"/>
    <col min="9986" max="9986" width="9.5" style="3" customWidth="1"/>
    <col min="9987" max="9989" width="5.625" style="3" customWidth="1"/>
    <col min="9990" max="9993" width="6" style="3" customWidth="1"/>
    <col min="9994" max="9994" width="9" style="3" customWidth="1"/>
    <col min="9995" max="9995" width="7.625" style="3" customWidth="1"/>
    <col min="9996" max="10002" width="8" style="3" customWidth="1"/>
    <col min="10003" max="10003" width="9" style="3" hidden="1" customWidth="1"/>
    <col min="10004" max="10240" width="9" style="3" customWidth="1"/>
    <col min="10241" max="10241" width="7.5" style="3" customWidth="1"/>
    <col min="10242" max="10242" width="9.5" style="3" customWidth="1"/>
    <col min="10243" max="10245" width="5.625" style="3" customWidth="1"/>
    <col min="10246" max="10249" width="6" style="3" customWidth="1"/>
    <col min="10250" max="10250" width="9" style="3" customWidth="1"/>
    <col min="10251" max="10251" width="7.625" style="3" customWidth="1"/>
    <col min="10252" max="10258" width="8" style="3" customWidth="1"/>
    <col min="10259" max="10259" width="9" style="3" hidden="1" customWidth="1"/>
    <col min="10260" max="10496" width="9" style="3" customWidth="1"/>
    <col min="10497" max="10497" width="7.5" style="3" customWidth="1"/>
    <col min="10498" max="10498" width="9.5" style="3" customWidth="1"/>
    <col min="10499" max="10501" width="5.625" style="3" customWidth="1"/>
    <col min="10502" max="10505" width="6" style="3" customWidth="1"/>
    <col min="10506" max="10506" width="9" style="3" customWidth="1"/>
    <col min="10507" max="10507" width="7.625" style="3" customWidth="1"/>
    <col min="10508" max="10514" width="8" style="3" customWidth="1"/>
    <col min="10515" max="10515" width="9" style="3" hidden="1" customWidth="1"/>
    <col min="10516" max="10752" width="9" style="3" customWidth="1"/>
    <col min="10753" max="10753" width="7.5" style="3" customWidth="1"/>
    <col min="10754" max="10754" width="9.5" style="3" customWidth="1"/>
    <col min="10755" max="10757" width="5.625" style="3" customWidth="1"/>
    <col min="10758" max="10761" width="6" style="3" customWidth="1"/>
    <col min="10762" max="10762" width="9" style="3" customWidth="1"/>
    <col min="10763" max="10763" width="7.625" style="3" customWidth="1"/>
    <col min="10764" max="10770" width="8" style="3" customWidth="1"/>
    <col min="10771" max="10771" width="9" style="3" hidden="1" customWidth="1"/>
    <col min="10772" max="11008" width="9" style="3" customWidth="1"/>
    <col min="11009" max="11009" width="7.5" style="3" customWidth="1"/>
    <col min="11010" max="11010" width="9.5" style="3" customWidth="1"/>
    <col min="11011" max="11013" width="5.625" style="3" customWidth="1"/>
    <col min="11014" max="11017" width="6" style="3" customWidth="1"/>
    <col min="11018" max="11018" width="9" style="3" customWidth="1"/>
    <col min="11019" max="11019" width="7.625" style="3" customWidth="1"/>
    <col min="11020" max="11026" width="8" style="3" customWidth="1"/>
    <col min="11027" max="11027" width="9" style="3" hidden="1" customWidth="1"/>
    <col min="11028" max="11264" width="9" style="3" customWidth="1"/>
    <col min="11265" max="11265" width="7.5" style="3" customWidth="1"/>
    <col min="11266" max="11266" width="9.5" style="3" customWidth="1"/>
    <col min="11267" max="11269" width="5.625" style="3" customWidth="1"/>
    <col min="11270" max="11273" width="6" style="3" customWidth="1"/>
    <col min="11274" max="11274" width="9" style="3" customWidth="1"/>
    <col min="11275" max="11275" width="7.625" style="3" customWidth="1"/>
    <col min="11276" max="11282" width="8" style="3" customWidth="1"/>
    <col min="11283" max="11283" width="9" style="3" hidden="1" customWidth="1"/>
    <col min="11284" max="11520" width="9" style="3" customWidth="1"/>
    <col min="11521" max="11521" width="7.5" style="3" customWidth="1"/>
    <col min="11522" max="11522" width="9.5" style="3" customWidth="1"/>
    <col min="11523" max="11525" width="5.625" style="3" customWidth="1"/>
    <col min="11526" max="11529" width="6" style="3" customWidth="1"/>
    <col min="11530" max="11530" width="9" style="3" customWidth="1"/>
    <col min="11531" max="11531" width="7.625" style="3" customWidth="1"/>
    <col min="11532" max="11538" width="8" style="3" customWidth="1"/>
    <col min="11539" max="11539" width="9" style="3" hidden="1" customWidth="1"/>
    <col min="11540" max="11776" width="9" style="3" customWidth="1"/>
    <col min="11777" max="11777" width="7.5" style="3" customWidth="1"/>
    <col min="11778" max="11778" width="9.5" style="3" customWidth="1"/>
    <col min="11779" max="11781" width="5.625" style="3" customWidth="1"/>
    <col min="11782" max="11785" width="6" style="3" customWidth="1"/>
    <col min="11786" max="11786" width="9" style="3" customWidth="1"/>
    <col min="11787" max="11787" width="7.625" style="3" customWidth="1"/>
    <col min="11788" max="11794" width="8" style="3" customWidth="1"/>
    <col min="11795" max="11795" width="9" style="3" hidden="1" customWidth="1"/>
    <col min="11796" max="12032" width="9" style="3" customWidth="1"/>
    <col min="12033" max="12033" width="7.5" style="3" customWidth="1"/>
    <col min="12034" max="12034" width="9.5" style="3" customWidth="1"/>
    <col min="12035" max="12037" width="5.625" style="3" customWidth="1"/>
    <col min="12038" max="12041" width="6" style="3" customWidth="1"/>
    <col min="12042" max="12042" width="9" style="3" customWidth="1"/>
    <col min="12043" max="12043" width="7.625" style="3" customWidth="1"/>
    <col min="12044" max="12050" width="8" style="3" customWidth="1"/>
    <col min="12051" max="12051" width="9" style="3" hidden="1" customWidth="1"/>
    <col min="12052" max="12288" width="9" style="3" customWidth="1"/>
    <col min="12289" max="12289" width="7.5" style="3" customWidth="1"/>
    <col min="12290" max="12290" width="9.5" style="3" customWidth="1"/>
    <col min="12291" max="12293" width="5.625" style="3" customWidth="1"/>
    <col min="12294" max="12297" width="6" style="3" customWidth="1"/>
    <col min="12298" max="12298" width="9" style="3" customWidth="1"/>
    <col min="12299" max="12299" width="7.625" style="3" customWidth="1"/>
    <col min="12300" max="12306" width="8" style="3" customWidth="1"/>
    <col min="12307" max="12307" width="9" style="3" hidden="1" customWidth="1"/>
    <col min="12308" max="12544" width="9" style="3" customWidth="1"/>
    <col min="12545" max="12545" width="7.5" style="3" customWidth="1"/>
    <col min="12546" max="12546" width="9.5" style="3" customWidth="1"/>
    <col min="12547" max="12549" width="5.625" style="3" customWidth="1"/>
    <col min="12550" max="12553" width="6" style="3" customWidth="1"/>
    <col min="12554" max="12554" width="9" style="3" customWidth="1"/>
    <col min="12555" max="12555" width="7.625" style="3" customWidth="1"/>
    <col min="12556" max="12562" width="8" style="3" customWidth="1"/>
    <col min="12563" max="12563" width="9" style="3" hidden="1" customWidth="1"/>
    <col min="12564" max="12800" width="9" style="3" customWidth="1"/>
    <col min="12801" max="12801" width="7.5" style="3" customWidth="1"/>
    <col min="12802" max="12802" width="9.5" style="3" customWidth="1"/>
    <col min="12803" max="12805" width="5.625" style="3" customWidth="1"/>
    <col min="12806" max="12809" width="6" style="3" customWidth="1"/>
    <col min="12810" max="12810" width="9" style="3" customWidth="1"/>
    <col min="12811" max="12811" width="7.625" style="3" customWidth="1"/>
    <col min="12812" max="12818" width="8" style="3" customWidth="1"/>
    <col min="12819" max="12819" width="9" style="3" hidden="1" customWidth="1"/>
    <col min="12820" max="13056" width="9" style="3" customWidth="1"/>
    <col min="13057" max="13057" width="7.5" style="3" customWidth="1"/>
    <col min="13058" max="13058" width="9.5" style="3" customWidth="1"/>
    <col min="13059" max="13061" width="5.625" style="3" customWidth="1"/>
    <col min="13062" max="13065" width="6" style="3" customWidth="1"/>
    <col min="13066" max="13066" width="9" style="3" customWidth="1"/>
    <col min="13067" max="13067" width="7.625" style="3" customWidth="1"/>
    <col min="13068" max="13074" width="8" style="3" customWidth="1"/>
    <col min="13075" max="13075" width="9" style="3" hidden="1" customWidth="1"/>
    <col min="13076" max="13312" width="9" style="3" customWidth="1"/>
    <col min="13313" max="13313" width="7.5" style="3" customWidth="1"/>
    <col min="13314" max="13314" width="9.5" style="3" customWidth="1"/>
    <col min="13315" max="13317" width="5.625" style="3" customWidth="1"/>
    <col min="13318" max="13321" width="6" style="3" customWidth="1"/>
    <col min="13322" max="13322" width="9" style="3" customWidth="1"/>
    <col min="13323" max="13323" width="7.625" style="3" customWidth="1"/>
    <col min="13324" max="13330" width="8" style="3" customWidth="1"/>
    <col min="13331" max="13331" width="9" style="3" hidden="1" customWidth="1"/>
    <col min="13332" max="13568" width="9" style="3" customWidth="1"/>
    <col min="13569" max="13569" width="7.5" style="3" customWidth="1"/>
    <col min="13570" max="13570" width="9.5" style="3" customWidth="1"/>
    <col min="13571" max="13573" width="5.625" style="3" customWidth="1"/>
    <col min="13574" max="13577" width="6" style="3" customWidth="1"/>
    <col min="13578" max="13578" width="9" style="3" customWidth="1"/>
    <col min="13579" max="13579" width="7.625" style="3" customWidth="1"/>
    <col min="13580" max="13586" width="8" style="3" customWidth="1"/>
    <col min="13587" max="13587" width="9" style="3" hidden="1" customWidth="1"/>
    <col min="13588" max="13824" width="9" style="3" customWidth="1"/>
    <col min="13825" max="13825" width="7.5" style="3" customWidth="1"/>
    <col min="13826" max="13826" width="9.5" style="3" customWidth="1"/>
    <col min="13827" max="13829" width="5.625" style="3" customWidth="1"/>
    <col min="13830" max="13833" width="6" style="3" customWidth="1"/>
    <col min="13834" max="13834" width="9" style="3" customWidth="1"/>
    <col min="13835" max="13835" width="7.625" style="3" customWidth="1"/>
    <col min="13836" max="13842" width="8" style="3" customWidth="1"/>
    <col min="13843" max="13843" width="9" style="3" hidden="1" customWidth="1"/>
    <col min="13844" max="14080" width="9" style="3" customWidth="1"/>
    <col min="14081" max="14081" width="7.5" style="3" customWidth="1"/>
    <col min="14082" max="14082" width="9.5" style="3" customWidth="1"/>
    <col min="14083" max="14085" width="5.625" style="3" customWidth="1"/>
    <col min="14086" max="14089" width="6" style="3" customWidth="1"/>
    <col min="14090" max="14090" width="9" style="3" customWidth="1"/>
    <col min="14091" max="14091" width="7.625" style="3" customWidth="1"/>
    <col min="14092" max="14098" width="8" style="3" customWidth="1"/>
    <col min="14099" max="14099" width="9" style="3" hidden="1" customWidth="1"/>
    <col min="14100" max="14336" width="9" style="3" customWidth="1"/>
    <col min="14337" max="14337" width="7.5" style="3" customWidth="1"/>
    <col min="14338" max="14338" width="9.5" style="3" customWidth="1"/>
    <col min="14339" max="14341" width="5.625" style="3" customWidth="1"/>
    <col min="14342" max="14345" width="6" style="3" customWidth="1"/>
    <col min="14346" max="14346" width="9" style="3" customWidth="1"/>
    <col min="14347" max="14347" width="7.625" style="3" customWidth="1"/>
    <col min="14348" max="14354" width="8" style="3" customWidth="1"/>
    <col min="14355" max="14355" width="9" style="3" hidden="1" customWidth="1"/>
    <col min="14356" max="14592" width="9" style="3" customWidth="1"/>
    <col min="14593" max="14593" width="7.5" style="3" customWidth="1"/>
    <col min="14594" max="14594" width="9.5" style="3" customWidth="1"/>
    <col min="14595" max="14597" width="5.625" style="3" customWidth="1"/>
    <col min="14598" max="14601" width="6" style="3" customWidth="1"/>
    <col min="14602" max="14602" width="9" style="3" customWidth="1"/>
    <col min="14603" max="14603" width="7.625" style="3" customWidth="1"/>
    <col min="14604" max="14610" width="8" style="3" customWidth="1"/>
    <col min="14611" max="14611" width="9" style="3" hidden="1" customWidth="1"/>
    <col min="14612" max="14848" width="9" style="3" customWidth="1"/>
    <col min="14849" max="14849" width="7.5" style="3" customWidth="1"/>
    <col min="14850" max="14850" width="9.5" style="3" customWidth="1"/>
    <col min="14851" max="14853" width="5.625" style="3" customWidth="1"/>
    <col min="14854" max="14857" width="6" style="3" customWidth="1"/>
    <col min="14858" max="14858" width="9" style="3" customWidth="1"/>
    <col min="14859" max="14859" width="7.625" style="3" customWidth="1"/>
    <col min="14860" max="14866" width="8" style="3" customWidth="1"/>
    <col min="14867" max="14867" width="9" style="3" hidden="1" customWidth="1"/>
    <col min="14868" max="15104" width="9" style="3" customWidth="1"/>
    <col min="15105" max="15105" width="7.5" style="3" customWidth="1"/>
    <col min="15106" max="15106" width="9.5" style="3" customWidth="1"/>
    <col min="15107" max="15109" width="5.625" style="3" customWidth="1"/>
    <col min="15110" max="15113" width="6" style="3" customWidth="1"/>
    <col min="15114" max="15114" width="9" style="3" customWidth="1"/>
    <col min="15115" max="15115" width="7.625" style="3" customWidth="1"/>
    <col min="15116" max="15122" width="8" style="3" customWidth="1"/>
    <col min="15123" max="15123" width="9" style="3" hidden="1" customWidth="1"/>
    <col min="15124" max="15360" width="9" style="3" customWidth="1"/>
    <col min="15361" max="15361" width="7.5" style="3" customWidth="1"/>
    <col min="15362" max="15362" width="9.5" style="3" customWidth="1"/>
    <col min="15363" max="15365" width="5.625" style="3" customWidth="1"/>
    <col min="15366" max="15369" width="6" style="3" customWidth="1"/>
    <col min="15370" max="15370" width="9" style="3" customWidth="1"/>
    <col min="15371" max="15371" width="7.625" style="3" customWidth="1"/>
    <col min="15372" max="15378" width="8" style="3" customWidth="1"/>
    <col min="15379" max="15379" width="9" style="3" hidden="1" customWidth="1"/>
    <col min="15380" max="15616" width="9" style="3" customWidth="1"/>
    <col min="15617" max="15617" width="7.5" style="3" customWidth="1"/>
    <col min="15618" max="15618" width="9.5" style="3" customWidth="1"/>
    <col min="15619" max="15621" width="5.625" style="3" customWidth="1"/>
    <col min="15622" max="15625" width="6" style="3" customWidth="1"/>
    <col min="15626" max="15626" width="9" style="3" customWidth="1"/>
    <col min="15627" max="15627" width="7.625" style="3" customWidth="1"/>
    <col min="15628" max="15634" width="8" style="3" customWidth="1"/>
    <col min="15635" max="15635" width="9" style="3" hidden="1" customWidth="1"/>
    <col min="15636" max="15872" width="9" style="3" customWidth="1"/>
    <col min="15873" max="15873" width="7.5" style="3" customWidth="1"/>
    <col min="15874" max="15874" width="9.5" style="3" customWidth="1"/>
    <col min="15875" max="15877" width="5.625" style="3" customWidth="1"/>
    <col min="15878" max="15881" width="6" style="3" customWidth="1"/>
    <col min="15882" max="15882" width="9" style="3" customWidth="1"/>
    <col min="15883" max="15883" width="7.625" style="3" customWidth="1"/>
    <col min="15884" max="15890" width="8" style="3" customWidth="1"/>
    <col min="15891" max="15891" width="9" style="3" hidden="1" customWidth="1"/>
    <col min="15892" max="16128" width="9" style="3" customWidth="1"/>
    <col min="16129" max="16129" width="7.5" style="3" customWidth="1"/>
    <col min="16130" max="16130" width="9.5" style="3" customWidth="1"/>
    <col min="16131" max="16133" width="5.625" style="3" customWidth="1"/>
    <col min="16134" max="16137" width="6" style="3" customWidth="1"/>
    <col min="16138" max="16138" width="9" style="3" customWidth="1"/>
    <col min="16139" max="16139" width="7.625" style="3" customWidth="1"/>
    <col min="16140" max="16146" width="8" style="3" customWidth="1"/>
    <col min="16147" max="16147" width="9" style="3" hidden="1" customWidth="1"/>
    <col min="16148" max="16384" width="9" style="3" customWidth="1"/>
  </cols>
  <sheetData>
    <row r="1" ht="27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3"/>
      <c r="T1" s="3"/>
      <c r="U1" s="3"/>
      <c r="V1" s="3"/>
      <c r="W1" s="3"/>
      <c r="X1" s="3"/>
      <c r="Y1" s="3"/>
    </row>
    <row r="2" ht="12" customHeight="1" spans="1:25" x14ac:dyDescent="0.25">
      <c r="A2" s="189" t="s">
        <v>25</v>
      </c>
      <c r="B2" s="189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89"/>
      <c r="S2" s="3"/>
      <c r="T2" s="3"/>
      <c r="U2" s="3"/>
      <c r="V2" s="3"/>
      <c r="W2" s="3"/>
      <c r="X2" s="3"/>
      <c r="Y2" s="3"/>
    </row>
    <row r="3" ht="5.25" customHeight="1" spans="1:2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0.25" customHeight="1" spans="1:25" x14ac:dyDescent="0.25">
      <c r="A4" s="203" t="s">
        <v>56</v>
      </c>
      <c r="B4" s="203"/>
      <c r="C4" s="203"/>
      <c r="D4" s="203"/>
      <c r="E4" s="203"/>
      <c r="F4" s="203"/>
      <c r="G4" s="203"/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3"/>
      <c r="T4" s="3"/>
      <c r="U4" s="3"/>
      <c r="V4" s="3"/>
      <c r="W4" s="3"/>
      <c r="X4" s="3"/>
      <c r="Y4" s="3"/>
    </row>
    <row r="5" ht="4.5" customHeight="1" spans="1:25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7.45" customHeight="1" spans="1:25" x14ac:dyDescent="0.25">
      <c r="A6" s="204" t="s">
        <v>57</v>
      </c>
      <c r="B6" s="204" t="s">
        <v>3</v>
      </c>
      <c r="C6" s="3"/>
      <c r="D6" s="3"/>
      <c r="E6" s="3"/>
      <c r="F6" s="3"/>
      <c r="G6" s="3"/>
      <c r="H6" s="189" t="s">
        <v>58</v>
      </c>
      <c r="I6" s="189"/>
      <c r="J6" s="189" t="str">
        <f>'OS-IN'!H6</f>
        <v>0220E</v>
      </c>
      <c r="K6" s="189"/>
      <c r="L6" s="3"/>
      <c r="M6" s="3"/>
      <c r="N6" s="3"/>
      <c r="O6" s="204" t="s">
        <v>59</v>
      </c>
      <c r="P6" s="205">
        <f>'OS-IN'!L6</f>
        <v>46222</v>
      </c>
      <c r="Q6" s="189"/>
      <c r="R6" s="189"/>
      <c r="S6" s="3"/>
      <c r="T6" s="3"/>
      <c r="U6" s="3"/>
      <c r="V6" s="3"/>
      <c r="W6" s="3"/>
      <c r="X6" s="3"/>
      <c r="Y6" s="3"/>
    </row>
    <row r="7" ht="11.25" customHeight="1" spans="1:25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7.45" customHeight="1" spans="1:25" x14ac:dyDescent="0.25">
      <c r="A8" s="204" t="s">
        <v>60</v>
      </c>
      <c r="B8" s="204" t="s">
        <v>25</v>
      </c>
      <c r="C8" s="204"/>
      <c r="D8" s="204"/>
      <c r="E8" s="204"/>
      <c r="F8" s="3"/>
      <c r="G8" s="3"/>
      <c r="H8" s="189" t="s">
        <v>61</v>
      </c>
      <c r="I8" s="189"/>
      <c r="J8" s="189" t="s">
        <v>62</v>
      </c>
      <c r="K8" s="189"/>
      <c r="L8" s="3"/>
      <c r="M8" s="3"/>
      <c r="N8" s="3"/>
      <c r="O8" s="204" t="s">
        <v>63</v>
      </c>
      <c r="P8" s="189">
        <f>'Final Work'!G6</f>
        <v>6</v>
      </c>
      <c r="Q8" s="189"/>
      <c r="R8" s="189"/>
      <c r="S8" s="3"/>
      <c r="T8" s="3"/>
      <c r="U8" s="3"/>
      <c r="V8" s="3"/>
      <c r="W8" s="3"/>
      <c r="X8" s="3"/>
      <c r="Y8" s="3"/>
    </row>
    <row r="9" ht="6.75" customHeight="1" spans="1:2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2" customHeight="1" spans="1:25" x14ac:dyDescent="0.25">
      <c r="A10" s="206" t="s">
        <v>11</v>
      </c>
      <c r="B10" s="206" t="s">
        <v>41</v>
      </c>
      <c r="C10" s="264" t="s">
        <v>64</v>
      </c>
      <c r="D10" s="200"/>
      <c r="E10" s="265"/>
      <c r="F10" s="206" t="s">
        <v>65</v>
      </c>
      <c r="G10" s="206"/>
      <c r="H10" s="206"/>
      <c r="I10" s="206"/>
      <c r="J10" s="209" t="s">
        <v>66</v>
      </c>
      <c r="K10" s="206" t="s">
        <v>67</v>
      </c>
      <c r="L10" s="206" t="s">
        <v>68</v>
      </c>
      <c r="M10" s="206"/>
      <c r="N10" s="206"/>
      <c r="O10" s="206"/>
      <c r="P10" s="206"/>
      <c r="Q10" s="206"/>
      <c r="R10" s="206"/>
      <c r="S10" s="3"/>
      <c r="T10" s="3"/>
      <c r="U10" s="3"/>
      <c r="V10" s="3"/>
      <c r="W10" s="3"/>
      <c r="X10" s="3"/>
      <c r="Y10" s="3"/>
    </row>
    <row r="11" ht="12" customHeight="1" spans="1:25" x14ac:dyDescent="0.25">
      <c r="A11" s="210"/>
      <c r="B11" s="210"/>
      <c r="C11" s="266"/>
      <c r="D11" s="267"/>
      <c r="E11" s="268"/>
      <c r="F11" s="210"/>
      <c r="G11" s="210"/>
      <c r="H11" s="210"/>
      <c r="I11" s="210"/>
      <c r="J11" s="213" t="s">
        <v>50</v>
      </c>
      <c r="K11" s="210"/>
      <c r="L11" s="210"/>
      <c r="M11" s="210"/>
      <c r="N11" s="210"/>
      <c r="O11" s="210"/>
      <c r="P11" s="210"/>
      <c r="Q11" s="210"/>
      <c r="R11" s="210"/>
      <c r="S11" s="3"/>
      <c r="T11" s="3"/>
      <c r="U11" s="3"/>
      <c r="V11" s="3"/>
      <c r="W11" s="3"/>
      <c r="X11" s="3"/>
      <c r="Y11" s="3"/>
    </row>
    <row r="12" ht="18" customHeight="1" spans="1:25" s="3" customFormat="1" x14ac:dyDescent="0.25">
      <c r="A12" s="53"/>
      <c r="B12" s="53"/>
      <c r="C12" s="215"/>
      <c r="D12" s="269"/>
      <c r="E12" s="216"/>
      <c r="F12" s="215"/>
      <c r="G12" s="269"/>
      <c r="H12" s="269"/>
      <c r="I12" s="216"/>
      <c r="J12" s="53"/>
      <c r="K12" s="53"/>
      <c r="L12" s="270"/>
      <c r="M12" s="271"/>
      <c r="N12" s="271"/>
      <c r="O12" s="271"/>
      <c r="P12" s="271"/>
      <c r="Q12" s="271"/>
      <c r="R12" s="272"/>
      <c r="S12" s="3"/>
      <c r="T12" s="3"/>
      <c r="U12" s="3"/>
      <c r="V12" s="3"/>
      <c r="W12" s="3"/>
      <c r="X12" s="3"/>
      <c r="Y12" s="3"/>
    </row>
    <row r="13" ht="18" customHeight="1" spans="1:25" s="3" customFormat="1" x14ac:dyDescent="0.25">
      <c r="A13" s="230"/>
      <c r="B13" s="230"/>
      <c r="C13" s="165"/>
      <c r="D13" s="273"/>
      <c r="E13" s="168"/>
      <c r="F13" s="165"/>
      <c r="G13" s="273"/>
      <c r="H13" s="273"/>
      <c r="I13" s="168"/>
      <c r="J13" s="230"/>
      <c r="K13" s="230"/>
      <c r="L13" s="167"/>
      <c r="M13" s="167"/>
      <c r="N13" s="167"/>
      <c r="O13" s="167"/>
      <c r="P13" s="167"/>
      <c r="Q13" s="167"/>
      <c r="R13" s="167"/>
      <c r="S13" s="3"/>
      <c r="T13" s="3"/>
      <c r="U13" s="3"/>
      <c r="V13" s="3"/>
      <c r="W13" s="3"/>
      <c r="X13" s="3"/>
      <c r="Y13" s="3"/>
    </row>
    <row r="14" ht="18" customHeight="1" spans="1:25" s="3" customFormat="1" x14ac:dyDescent="0.25">
      <c r="A14" s="230"/>
      <c r="B14" s="230"/>
      <c r="C14" s="165"/>
      <c r="D14" s="273"/>
      <c r="E14" s="168"/>
      <c r="F14" s="165"/>
      <c r="G14" s="273"/>
      <c r="H14" s="273"/>
      <c r="I14" s="168"/>
      <c r="J14" s="230"/>
      <c r="K14" s="230"/>
      <c r="L14" s="167"/>
      <c r="M14" s="167"/>
      <c r="N14" s="167"/>
      <c r="O14" s="167"/>
      <c r="P14" s="167"/>
      <c r="Q14" s="167"/>
      <c r="R14" s="167"/>
      <c r="S14" s="3"/>
      <c r="T14" s="3"/>
      <c r="U14" s="3"/>
      <c r="V14" s="3"/>
      <c r="W14" s="3"/>
      <c r="X14" s="3"/>
      <c r="Y14" s="3"/>
    </row>
    <row r="15" ht="18" customHeight="1" spans="1:25" s="3" customFormat="1" x14ac:dyDescent="0.25">
      <c r="A15" s="230"/>
      <c r="B15" s="230"/>
      <c r="C15" s="165"/>
      <c r="D15" s="273"/>
      <c r="E15" s="168"/>
      <c r="F15" s="165"/>
      <c r="G15" s="273"/>
      <c r="H15" s="273"/>
      <c r="I15" s="168"/>
      <c r="J15" s="230"/>
      <c r="K15" s="230"/>
      <c r="L15" s="167"/>
      <c r="M15" s="167"/>
      <c r="N15" s="167"/>
      <c r="O15" s="167"/>
      <c r="P15" s="167"/>
      <c r="Q15" s="167"/>
      <c r="R15" s="167"/>
      <c r="S15" s="3"/>
      <c r="T15" s="3"/>
      <c r="U15" s="3"/>
      <c r="V15" s="3"/>
      <c r="W15" s="3"/>
      <c r="X15" s="3"/>
      <c r="Y15" s="3"/>
    </row>
    <row r="16" ht="18" customHeight="1" spans="1:25" s="3" customFormat="1" x14ac:dyDescent="0.25">
      <c r="A16" s="230"/>
      <c r="B16" s="230"/>
      <c r="C16" s="165"/>
      <c r="D16" s="273"/>
      <c r="E16" s="168"/>
      <c r="F16" s="165"/>
      <c r="G16" s="273"/>
      <c r="H16" s="273"/>
      <c r="I16" s="168"/>
      <c r="J16" s="230"/>
      <c r="K16" s="230"/>
      <c r="L16" s="167"/>
      <c r="M16" s="167"/>
      <c r="N16" s="167"/>
      <c r="O16" s="167"/>
      <c r="P16" s="167"/>
      <c r="Q16" s="167"/>
      <c r="R16" s="167"/>
      <c r="S16" s="3"/>
      <c r="T16" s="3"/>
      <c r="U16" s="3"/>
      <c r="V16" s="3"/>
      <c r="W16" s="3"/>
      <c r="X16" s="3"/>
      <c r="Y16" s="3"/>
    </row>
    <row r="17" ht="18" customHeight="1" spans="1:25" s="3" customFormat="1" x14ac:dyDescent="0.25">
      <c r="A17" s="230"/>
      <c r="B17" s="230"/>
      <c r="C17" s="165"/>
      <c r="D17" s="273"/>
      <c r="E17" s="168"/>
      <c r="F17" s="165"/>
      <c r="G17" s="273"/>
      <c r="H17" s="273"/>
      <c r="I17" s="168"/>
      <c r="J17" s="230"/>
      <c r="K17" s="230"/>
      <c r="L17" s="167"/>
      <c r="M17" s="167"/>
      <c r="N17" s="167"/>
      <c r="O17" s="167"/>
      <c r="P17" s="167"/>
      <c r="Q17" s="167"/>
      <c r="R17" s="167"/>
      <c r="S17" s="3"/>
      <c r="T17" s="3"/>
      <c r="U17" s="3"/>
      <c r="V17" s="3"/>
      <c r="W17" s="3"/>
      <c r="X17" s="3"/>
      <c r="Y17" s="3"/>
    </row>
    <row r="18" ht="18" customHeight="1" spans="1:25" s="3" customFormat="1" x14ac:dyDescent="0.25">
      <c r="A18" s="230"/>
      <c r="B18" s="230"/>
      <c r="C18" s="165"/>
      <c r="D18" s="273"/>
      <c r="E18" s="168"/>
      <c r="F18" s="165"/>
      <c r="G18" s="273"/>
      <c r="H18" s="273"/>
      <c r="I18" s="168"/>
      <c r="J18" s="230"/>
      <c r="K18" s="230"/>
      <c r="L18" s="167"/>
      <c r="M18" s="167"/>
      <c r="N18" s="167"/>
      <c r="O18" s="167"/>
      <c r="P18" s="167"/>
      <c r="Q18" s="167"/>
      <c r="R18" s="167"/>
      <c r="S18" s="3"/>
      <c r="T18" s="3"/>
      <c r="U18" s="3"/>
      <c r="V18" s="3"/>
      <c r="W18" s="3"/>
      <c r="X18" s="3"/>
      <c r="Y18" s="3"/>
    </row>
    <row r="19" ht="18" customHeight="1" spans="1:25" s="3" customFormat="1" x14ac:dyDescent="0.25">
      <c r="A19" s="230"/>
      <c r="B19" s="230"/>
      <c r="C19" s="165"/>
      <c r="D19" s="273"/>
      <c r="E19" s="168"/>
      <c r="F19" s="165"/>
      <c r="G19" s="273"/>
      <c r="H19" s="273"/>
      <c r="I19" s="168"/>
      <c r="J19" s="230"/>
      <c r="K19" s="230"/>
      <c r="L19" s="167"/>
      <c r="M19" s="167"/>
      <c r="N19" s="167"/>
      <c r="O19" s="167"/>
      <c r="P19" s="167"/>
      <c r="Q19" s="167"/>
      <c r="R19" s="167"/>
      <c r="S19" s="3"/>
      <c r="T19" s="3"/>
      <c r="U19" s="3"/>
      <c r="V19" s="3"/>
      <c r="W19" s="3"/>
      <c r="X19" s="3"/>
      <c r="Y19" s="3"/>
    </row>
    <row r="20" ht="18" customHeight="1" spans="1:25" s="3" customFormat="1" x14ac:dyDescent="0.25">
      <c r="A20" s="230"/>
      <c r="B20" s="230"/>
      <c r="C20" s="165"/>
      <c r="D20" s="273"/>
      <c r="E20" s="168"/>
      <c r="F20" s="165"/>
      <c r="G20" s="273"/>
      <c r="H20" s="273"/>
      <c r="I20" s="168"/>
      <c r="J20" s="230"/>
      <c r="K20" s="230"/>
      <c r="L20" s="167"/>
      <c r="M20" s="167"/>
      <c r="N20" s="167"/>
      <c r="O20" s="167"/>
      <c r="P20" s="167"/>
      <c r="Q20" s="167"/>
      <c r="R20" s="167"/>
      <c r="S20" s="3"/>
      <c r="T20" s="3"/>
      <c r="U20" s="3"/>
      <c r="V20" s="3"/>
      <c r="W20" s="3"/>
      <c r="X20" s="3"/>
      <c r="Y20" s="3"/>
    </row>
    <row r="21" ht="18" customHeight="1" spans="1:25" s="3" customFormat="1" x14ac:dyDescent="0.25">
      <c r="A21" s="230"/>
      <c r="B21" s="230"/>
      <c r="C21" s="165"/>
      <c r="D21" s="273"/>
      <c r="E21" s="168"/>
      <c r="F21" s="165"/>
      <c r="G21" s="273"/>
      <c r="H21" s="273"/>
      <c r="I21" s="168"/>
      <c r="J21" s="230"/>
      <c r="K21" s="230"/>
      <c r="L21" s="167"/>
      <c r="M21" s="167"/>
      <c r="N21" s="167"/>
      <c r="O21" s="167"/>
      <c r="P21" s="167"/>
      <c r="Q21" s="167"/>
      <c r="R21" s="167"/>
      <c r="S21" s="3"/>
      <c r="T21" s="3"/>
      <c r="U21" s="3"/>
      <c r="V21" s="3"/>
      <c r="W21" s="3"/>
      <c r="X21" s="3"/>
      <c r="Y21" s="3"/>
    </row>
    <row r="22" ht="18" customHeight="1" spans="1:25" s="3" customFormat="1" x14ac:dyDescent="0.25">
      <c r="A22" s="230"/>
      <c r="B22" s="230"/>
      <c r="C22" s="165"/>
      <c r="D22" s="273"/>
      <c r="E22" s="168"/>
      <c r="F22" s="165"/>
      <c r="G22" s="273"/>
      <c r="H22" s="273"/>
      <c r="I22" s="168"/>
      <c r="J22" s="230"/>
      <c r="K22" s="230"/>
      <c r="L22" s="167"/>
      <c r="M22" s="167"/>
      <c r="N22" s="167"/>
      <c r="O22" s="167"/>
      <c r="P22" s="167"/>
      <c r="Q22" s="167"/>
      <c r="R22" s="167"/>
      <c r="S22" s="3"/>
      <c r="T22" s="3"/>
      <c r="U22" s="3"/>
      <c r="V22" s="3"/>
      <c r="W22" s="3"/>
      <c r="X22" s="3"/>
      <c r="Y22" s="3"/>
    </row>
    <row r="23" ht="18" customHeight="1" spans="1:25" s="3" customFormat="1" x14ac:dyDescent="0.25">
      <c r="A23" s="230"/>
      <c r="B23" s="230"/>
      <c r="C23" s="165"/>
      <c r="D23" s="273"/>
      <c r="E23" s="168"/>
      <c r="F23" s="165"/>
      <c r="G23" s="273"/>
      <c r="H23" s="273"/>
      <c r="I23" s="168"/>
      <c r="J23" s="230"/>
      <c r="K23" s="230"/>
      <c r="L23" s="167"/>
      <c r="M23" s="167"/>
      <c r="N23" s="167"/>
      <c r="O23" s="167"/>
      <c r="P23" s="167"/>
      <c r="Q23" s="167"/>
      <c r="R23" s="167"/>
      <c r="S23" s="3"/>
      <c r="T23" s="3"/>
      <c r="U23" s="3"/>
      <c r="V23" s="3"/>
      <c r="W23" s="3"/>
      <c r="X23" s="3"/>
      <c r="Y23" s="3"/>
    </row>
    <row r="24" ht="18" customHeight="1" spans="1:25" s="3" customFormat="1" x14ac:dyDescent="0.25">
      <c r="A24" s="230"/>
      <c r="B24" s="230"/>
      <c r="C24" s="165"/>
      <c r="D24" s="273"/>
      <c r="E24" s="168"/>
      <c r="F24" s="165"/>
      <c r="G24" s="273"/>
      <c r="H24" s="273"/>
      <c r="I24" s="168"/>
      <c r="J24" s="230"/>
      <c r="K24" s="230"/>
      <c r="L24" s="167"/>
      <c r="M24" s="167"/>
      <c r="N24" s="167"/>
      <c r="O24" s="167"/>
      <c r="P24" s="167"/>
      <c r="Q24" s="167"/>
      <c r="R24" s="167"/>
      <c r="S24" s="3"/>
      <c r="T24" s="3"/>
      <c r="U24" s="3"/>
      <c r="V24" s="3"/>
      <c r="W24" s="3"/>
      <c r="X24" s="3"/>
      <c r="Y24" s="3"/>
    </row>
    <row r="25" ht="18" customHeight="1" spans="1:25" s="3" customFormat="1" x14ac:dyDescent="0.25">
      <c r="A25" s="230"/>
      <c r="B25" s="230"/>
      <c r="C25" s="165"/>
      <c r="D25" s="273"/>
      <c r="E25" s="168"/>
      <c r="F25" s="165"/>
      <c r="G25" s="273"/>
      <c r="H25" s="273"/>
      <c r="I25" s="168"/>
      <c r="J25" s="230"/>
      <c r="K25" s="230"/>
      <c r="L25" s="167"/>
      <c r="M25" s="167"/>
      <c r="N25" s="167"/>
      <c r="O25" s="167"/>
      <c r="P25" s="167"/>
      <c r="Q25" s="167"/>
      <c r="R25" s="167"/>
      <c r="S25" s="3"/>
      <c r="T25" s="3"/>
      <c r="U25" s="3"/>
      <c r="V25" s="3"/>
      <c r="W25" s="3"/>
      <c r="X25" s="3"/>
      <c r="Y25" s="3"/>
    </row>
    <row r="26" ht="18" customHeight="1" spans="1:25" s="3" customFormat="1" x14ac:dyDescent="0.25">
      <c r="A26" s="230"/>
      <c r="B26" s="230"/>
      <c r="C26" s="165"/>
      <c r="D26" s="273"/>
      <c r="E26" s="168"/>
      <c r="F26" s="165"/>
      <c r="G26" s="273"/>
      <c r="H26" s="273"/>
      <c r="I26" s="168"/>
      <c r="J26" s="230"/>
      <c r="K26" s="230"/>
      <c r="L26" s="167"/>
      <c r="M26" s="167"/>
      <c r="N26" s="167"/>
      <c r="O26" s="167"/>
      <c r="P26" s="167"/>
      <c r="Q26" s="167"/>
      <c r="R26" s="167"/>
      <c r="S26" s="3"/>
      <c r="T26" s="3"/>
      <c r="U26" s="3"/>
      <c r="V26" s="3"/>
      <c r="W26" s="3"/>
      <c r="X26" s="3"/>
      <c r="Y26" s="3"/>
    </row>
    <row r="27" ht="18" customHeight="1" spans="1:25" s="3" customFormat="1" x14ac:dyDescent="0.25">
      <c r="A27" s="230"/>
      <c r="B27" s="230"/>
      <c r="C27" s="165"/>
      <c r="D27" s="273"/>
      <c r="E27" s="168"/>
      <c r="F27" s="165"/>
      <c r="G27" s="273"/>
      <c r="H27" s="273"/>
      <c r="I27" s="168"/>
      <c r="J27" s="230"/>
      <c r="K27" s="230"/>
      <c r="L27" s="167"/>
      <c r="M27" s="167"/>
      <c r="N27" s="167"/>
      <c r="O27" s="167"/>
      <c r="P27" s="167"/>
      <c r="Q27" s="167"/>
      <c r="R27" s="167"/>
      <c r="S27" s="3"/>
      <c r="T27" s="3"/>
      <c r="U27" s="3"/>
      <c r="V27" s="3"/>
      <c r="W27" s="3"/>
      <c r="X27" s="3"/>
      <c r="Y27" s="3"/>
    </row>
    <row r="28" ht="15.95" customHeight="1" spans="1:25" s="3" customForma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95" customHeight="1" spans="1:25" s="3" customForma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95" customHeight="1" spans="1:25" s="3" customForma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95" customHeight="1" spans="1:25" s="3" customFormat="1" x14ac:dyDescent="0.25">
      <c r="A31" s="199"/>
      <c r="B31" s="199"/>
      <c r="C31" s="199"/>
      <c r="D31" s="199"/>
      <c r="E31" s="3"/>
      <c r="F31" s="3"/>
      <c r="G31" s="3"/>
      <c r="H31" s="3"/>
      <c r="I31" s="199"/>
      <c r="J31" s="199"/>
      <c r="K31" s="199"/>
      <c r="L31" s="3"/>
      <c r="M31" s="3"/>
      <c r="N31" s="3"/>
      <c r="O31" s="199"/>
      <c r="P31" s="199"/>
      <c r="Q31" s="199"/>
      <c r="R31" s="199"/>
      <c r="S31" s="3"/>
      <c r="T31" s="3"/>
      <c r="U31" s="3"/>
      <c r="V31" s="3"/>
      <c r="W31" s="3"/>
      <c r="X31" s="3"/>
      <c r="Y31" s="3"/>
    </row>
    <row r="32" spans="1:25" s="3" customFormat="1" x14ac:dyDescent="0.25">
      <c r="A32" s="200" t="s">
        <v>22</v>
      </c>
      <c r="B32" s="200"/>
      <c r="C32" s="200"/>
      <c r="D32" s="200"/>
      <c r="E32" s="3"/>
      <c r="F32" s="3"/>
      <c r="G32" s="3"/>
      <c r="H32" s="3"/>
      <c r="I32" s="200" t="s">
        <v>55</v>
      </c>
      <c r="J32" s="200"/>
      <c r="K32" s="200"/>
      <c r="L32" s="3"/>
      <c r="M32" s="3"/>
      <c r="N32" s="3"/>
      <c r="O32" s="200" t="s">
        <v>23</v>
      </c>
      <c r="P32" s="200"/>
      <c r="Q32" s="200"/>
      <c r="R32" s="200"/>
      <c r="S32" s="3"/>
      <c r="T32" s="3"/>
      <c r="U32" s="3"/>
      <c r="V32" s="3"/>
      <c r="W32" s="3"/>
      <c r="X32" s="3"/>
      <c r="Y32" s="3"/>
    </row>
    <row r="33" spans="1:25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</sheetData>
  <mergeCells count="67">
    <mergeCell ref="A1:R1"/>
    <mergeCell ref="A2:R2"/>
    <mergeCell ref="A4:R4"/>
    <mergeCell ref="H6:I6"/>
    <mergeCell ref="J6:K6"/>
    <mergeCell ref="P6:R6"/>
    <mergeCell ref="B8:E8"/>
    <mergeCell ref="H8:I8"/>
    <mergeCell ref="J8:K8"/>
    <mergeCell ref="P8:R8"/>
    <mergeCell ref="C10:E11"/>
    <mergeCell ref="F10:I11"/>
    <mergeCell ref="L10:R11"/>
    <mergeCell ref="A10:A11"/>
    <mergeCell ref="B10:B11"/>
    <mergeCell ref="K10:K11"/>
    <mergeCell ref="C12:E12"/>
    <mergeCell ref="F12:I12"/>
    <mergeCell ref="L12:R12"/>
    <mergeCell ref="C13:E13"/>
    <mergeCell ref="F13:I13"/>
    <mergeCell ref="L13:R13"/>
    <mergeCell ref="C14:E14"/>
    <mergeCell ref="F14:I14"/>
    <mergeCell ref="L14:R14"/>
    <mergeCell ref="C15:E15"/>
    <mergeCell ref="F15:I15"/>
    <mergeCell ref="L15:R15"/>
    <mergeCell ref="C16:E16"/>
    <mergeCell ref="F16:I16"/>
    <mergeCell ref="L16:R16"/>
    <mergeCell ref="C17:E17"/>
    <mergeCell ref="F17:I17"/>
    <mergeCell ref="L17:R17"/>
    <mergeCell ref="C18:E18"/>
    <mergeCell ref="F18:I18"/>
    <mergeCell ref="L18:R18"/>
    <mergeCell ref="C19:E19"/>
    <mergeCell ref="F19:I19"/>
    <mergeCell ref="L19:R19"/>
    <mergeCell ref="C20:E20"/>
    <mergeCell ref="F20:I20"/>
    <mergeCell ref="L20:R20"/>
    <mergeCell ref="C21:E21"/>
    <mergeCell ref="F21:I21"/>
    <mergeCell ref="L21:R21"/>
    <mergeCell ref="C22:E22"/>
    <mergeCell ref="F22:I22"/>
    <mergeCell ref="L22:R22"/>
    <mergeCell ref="C23:E23"/>
    <mergeCell ref="F23:I23"/>
    <mergeCell ref="L23:R23"/>
    <mergeCell ref="C24:E24"/>
    <mergeCell ref="F24:I24"/>
    <mergeCell ref="L24:R24"/>
    <mergeCell ref="C25:E25"/>
    <mergeCell ref="F25:I25"/>
    <mergeCell ref="L25:R25"/>
    <mergeCell ref="C26:E26"/>
    <mergeCell ref="F26:I26"/>
    <mergeCell ref="L26:R26"/>
    <mergeCell ref="C27:E27"/>
    <mergeCell ref="F27:I27"/>
    <mergeCell ref="L27:R27"/>
    <mergeCell ref="A32:D32"/>
    <mergeCell ref="I32:K32"/>
    <mergeCell ref="O32:R32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landscape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9"/>
  <sheetViews>
    <sheetView workbookViewId="0" zoomScale="90" zoomScaleNormal="90">
      <selection activeCell="C8" sqref="C8"/>
    </sheetView>
  </sheetViews>
  <sheetFormatPr defaultRowHeight="17.25" outlineLevelRow="0" outlineLevelCol="0" x14ac:dyDescent="0" customHeight="1"/>
  <cols>
    <col min="1" max="2" width="7.625" style="3" customWidth="1"/>
    <col min="3" max="3" width="12.125" style="3" customWidth="1"/>
    <col min="4" max="4" width="7" style="3" customWidth="1"/>
    <col min="5" max="5" width="14.625" style="3" customWidth="1"/>
    <col min="6" max="6" width="13" style="3" customWidth="1"/>
    <col min="7" max="7" width="12.125" style="3" customWidth="1"/>
    <col min="8" max="8" width="13.625" style="3" customWidth="1"/>
    <col min="9" max="220" width="9" style="3" customWidth="1"/>
    <col min="221" max="221" width="9.125" style="3" customWidth="1"/>
    <col min="222" max="222" width="7.625" style="3" customWidth="1"/>
    <col min="223" max="223" width="12.125" style="3" customWidth="1"/>
    <col min="224" max="224" width="7" style="3" customWidth="1"/>
    <col min="225" max="225" width="16" style="3" customWidth="1"/>
    <col min="226" max="226" width="13" style="3" customWidth="1"/>
    <col min="227" max="227" width="12.125" style="3" customWidth="1"/>
    <col min="228" max="228" width="13.625" style="3" customWidth="1"/>
    <col min="229" max="476" width="9" style="3" customWidth="1"/>
    <col min="477" max="477" width="9.125" style="3" customWidth="1"/>
    <col min="478" max="478" width="7.625" style="3" customWidth="1"/>
    <col min="479" max="479" width="12.125" style="3" customWidth="1"/>
    <col min="480" max="480" width="7" style="3" customWidth="1"/>
    <col min="481" max="481" width="16" style="3" customWidth="1"/>
    <col min="482" max="482" width="13" style="3" customWidth="1"/>
    <col min="483" max="483" width="12.125" style="3" customWidth="1"/>
    <col min="484" max="484" width="13.625" style="3" customWidth="1"/>
    <col min="485" max="732" width="9" style="3" customWidth="1"/>
    <col min="733" max="733" width="9.125" style="3" customWidth="1"/>
    <col min="734" max="734" width="7.625" style="3" customWidth="1"/>
    <col min="735" max="735" width="12.125" style="3" customWidth="1"/>
    <col min="736" max="736" width="7" style="3" customWidth="1"/>
    <col min="737" max="737" width="16" style="3" customWidth="1"/>
    <col min="738" max="738" width="13" style="3" customWidth="1"/>
    <col min="739" max="739" width="12.125" style="3" customWidth="1"/>
    <col min="740" max="740" width="13.625" style="3" customWidth="1"/>
    <col min="741" max="988" width="9" style="3" customWidth="1"/>
    <col min="989" max="989" width="9.125" style="3" customWidth="1"/>
    <col min="990" max="990" width="7.625" style="3" customWidth="1"/>
    <col min="991" max="991" width="12.125" style="3" customWidth="1"/>
    <col min="992" max="992" width="7" style="3" customWidth="1"/>
    <col min="993" max="993" width="16" style="3" customWidth="1"/>
    <col min="994" max="994" width="13" style="3" customWidth="1"/>
    <col min="995" max="995" width="12.125" style="3" customWidth="1"/>
    <col min="996" max="996" width="13.625" style="3" customWidth="1"/>
    <col min="997" max="1244" width="9" style="3" customWidth="1"/>
    <col min="1245" max="1245" width="9.125" style="3" customWidth="1"/>
    <col min="1246" max="1246" width="7.625" style="3" customWidth="1"/>
    <col min="1247" max="1247" width="12.125" style="3" customWidth="1"/>
    <col min="1248" max="1248" width="7" style="3" customWidth="1"/>
    <col min="1249" max="1249" width="16" style="3" customWidth="1"/>
    <col min="1250" max="1250" width="13" style="3" customWidth="1"/>
    <col min="1251" max="1251" width="12.125" style="3" customWidth="1"/>
    <col min="1252" max="1252" width="13.625" style="3" customWidth="1"/>
    <col min="1253" max="1500" width="9" style="3" customWidth="1"/>
    <col min="1501" max="1501" width="9.125" style="3" customWidth="1"/>
    <col min="1502" max="1502" width="7.625" style="3" customWidth="1"/>
    <col min="1503" max="1503" width="12.125" style="3" customWidth="1"/>
    <col min="1504" max="1504" width="7" style="3" customWidth="1"/>
    <col min="1505" max="1505" width="16" style="3" customWidth="1"/>
    <col min="1506" max="1506" width="13" style="3" customWidth="1"/>
    <col min="1507" max="1507" width="12.125" style="3" customWidth="1"/>
    <col min="1508" max="1508" width="13.625" style="3" customWidth="1"/>
    <col min="1509" max="1756" width="9" style="3" customWidth="1"/>
    <col min="1757" max="1757" width="9.125" style="3" customWidth="1"/>
    <col min="1758" max="1758" width="7.625" style="3" customWidth="1"/>
    <col min="1759" max="1759" width="12.125" style="3" customWidth="1"/>
    <col min="1760" max="1760" width="7" style="3" customWidth="1"/>
    <col min="1761" max="1761" width="16" style="3" customWidth="1"/>
    <col min="1762" max="1762" width="13" style="3" customWidth="1"/>
    <col min="1763" max="1763" width="12.125" style="3" customWidth="1"/>
    <col min="1764" max="1764" width="13.625" style="3" customWidth="1"/>
    <col min="1765" max="2012" width="9" style="3" customWidth="1"/>
    <col min="2013" max="2013" width="9.125" style="3" customWidth="1"/>
    <col min="2014" max="2014" width="7.625" style="3" customWidth="1"/>
    <col min="2015" max="2015" width="12.125" style="3" customWidth="1"/>
    <col min="2016" max="2016" width="7" style="3" customWidth="1"/>
    <col min="2017" max="2017" width="16" style="3" customWidth="1"/>
    <col min="2018" max="2018" width="13" style="3" customWidth="1"/>
    <col min="2019" max="2019" width="12.125" style="3" customWidth="1"/>
    <col min="2020" max="2020" width="13.625" style="3" customWidth="1"/>
    <col min="2021" max="2268" width="9" style="3" customWidth="1"/>
    <col min="2269" max="2269" width="9.125" style="3" customWidth="1"/>
    <col min="2270" max="2270" width="7.625" style="3" customWidth="1"/>
    <col min="2271" max="2271" width="12.125" style="3" customWidth="1"/>
    <col min="2272" max="2272" width="7" style="3" customWidth="1"/>
    <col min="2273" max="2273" width="16" style="3" customWidth="1"/>
    <col min="2274" max="2274" width="13" style="3" customWidth="1"/>
    <col min="2275" max="2275" width="12.125" style="3" customWidth="1"/>
    <col min="2276" max="2276" width="13.625" style="3" customWidth="1"/>
    <col min="2277" max="2524" width="9" style="3" customWidth="1"/>
    <col min="2525" max="2525" width="9.125" style="3" customWidth="1"/>
    <col min="2526" max="2526" width="7.625" style="3" customWidth="1"/>
    <col min="2527" max="2527" width="12.125" style="3" customWidth="1"/>
    <col min="2528" max="2528" width="7" style="3" customWidth="1"/>
    <col min="2529" max="2529" width="16" style="3" customWidth="1"/>
    <col min="2530" max="2530" width="13" style="3" customWidth="1"/>
    <col min="2531" max="2531" width="12.125" style="3" customWidth="1"/>
    <col min="2532" max="2532" width="13.625" style="3" customWidth="1"/>
    <col min="2533" max="2780" width="9" style="3" customWidth="1"/>
    <col min="2781" max="2781" width="9.125" style="3" customWidth="1"/>
    <col min="2782" max="2782" width="7.625" style="3" customWidth="1"/>
    <col min="2783" max="2783" width="12.125" style="3" customWidth="1"/>
    <col min="2784" max="2784" width="7" style="3" customWidth="1"/>
    <col min="2785" max="2785" width="16" style="3" customWidth="1"/>
    <col min="2786" max="2786" width="13" style="3" customWidth="1"/>
    <col min="2787" max="2787" width="12.125" style="3" customWidth="1"/>
    <col min="2788" max="2788" width="13.625" style="3" customWidth="1"/>
    <col min="2789" max="3036" width="9" style="3" customWidth="1"/>
    <col min="3037" max="3037" width="9.125" style="3" customWidth="1"/>
    <col min="3038" max="3038" width="7.625" style="3" customWidth="1"/>
    <col min="3039" max="3039" width="12.125" style="3" customWidth="1"/>
    <col min="3040" max="3040" width="7" style="3" customWidth="1"/>
    <col min="3041" max="3041" width="16" style="3" customWidth="1"/>
    <col min="3042" max="3042" width="13" style="3" customWidth="1"/>
    <col min="3043" max="3043" width="12.125" style="3" customWidth="1"/>
    <col min="3044" max="3044" width="13.625" style="3" customWidth="1"/>
    <col min="3045" max="3292" width="9" style="3" customWidth="1"/>
    <col min="3293" max="3293" width="9.125" style="3" customWidth="1"/>
    <col min="3294" max="3294" width="7.625" style="3" customWidth="1"/>
    <col min="3295" max="3295" width="12.125" style="3" customWidth="1"/>
    <col min="3296" max="3296" width="7" style="3" customWidth="1"/>
    <col min="3297" max="3297" width="16" style="3" customWidth="1"/>
    <col min="3298" max="3298" width="13" style="3" customWidth="1"/>
    <col min="3299" max="3299" width="12.125" style="3" customWidth="1"/>
    <col min="3300" max="3300" width="13.625" style="3" customWidth="1"/>
    <col min="3301" max="3548" width="9" style="3" customWidth="1"/>
    <col min="3549" max="3549" width="9.125" style="3" customWidth="1"/>
    <col min="3550" max="3550" width="7.625" style="3" customWidth="1"/>
    <col min="3551" max="3551" width="12.125" style="3" customWidth="1"/>
    <col min="3552" max="3552" width="7" style="3" customWidth="1"/>
    <col min="3553" max="3553" width="16" style="3" customWidth="1"/>
    <col min="3554" max="3554" width="13" style="3" customWidth="1"/>
    <col min="3555" max="3555" width="12.125" style="3" customWidth="1"/>
    <col min="3556" max="3556" width="13.625" style="3" customWidth="1"/>
    <col min="3557" max="3804" width="9" style="3" customWidth="1"/>
    <col min="3805" max="3805" width="9.125" style="3" customWidth="1"/>
    <col min="3806" max="3806" width="7.625" style="3" customWidth="1"/>
    <col min="3807" max="3807" width="12.125" style="3" customWidth="1"/>
    <col min="3808" max="3808" width="7" style="3" customWidth="1"/>
    <col min="3809" max="3809" width="16" style="3" customWidth="1"/>
    <col min="3810" max="3810" width="13" style="3" customWidth="1"/>
    <col min="3811" max="3811" width="12.125" style="3" customWidth="1"/>
    <col min="3812" max="3812" width="13.625" style="3" customWidth="1"/>
    <col min="3813" max="4060" width="9" style="3" customWidth="1"/>
    <col min="4061" max="4061" width="9.125" style="3" customWidth="1"/>
    <col min="4062" max="4062" width="7.625" style="3" customWidth="1"/>
    <col min="4063" max="4063" width="12.125" style="3" customWidth="1"/>
    <col min="4064" max="4064" width="7" style="3" customWidth="1"/>
    <col min="4065" max="4065" width="16" style="3" customWidth="1"/>
    <col min="4066" max="4066" width="13" style="3" customWidth="1"/>
    <col min="4067" max="4067" width="12.125" style="3" customWidth="1"/>
    <col min="4068" max="4068" width="13.625" style="3" customWidth="1"/>
    <col min="4069" max="4316" width="9" style="3" customWidth="1"/>
    <col min="4317" max="4317" width="9.125" style="3" customWidth="1"/>
    <col min="4318" max="4318" width="7.625" style="3" customWidth="1"/>
    <col min="4319" max="4319" width="12.125" style="3" customWidth="1"/>
    <col min="4320" max="4320" width="7" style="3" customWidth="1"/>
    <col min="4321" max="4321" width="16" style="3" customWidth="1"/>
    <col min="4322" max="4322" width="13" style="3" customWidth="1"/>
    <col min="4323" max="4323" width="12.125" style="3" customWidth="1"/>
    <col min="4324" max="4324" width="13.625" style="3" customWidth="1"/>
    <col min="4325" max="4572" width="9" style="3" customWidth="1"/>
    <col min="4573" max="4573" width="9.125" style="3" customWidth="1"/>
    <col min="4574" max="4574" width="7.625" style="3" customWidth="1"/>
    <col min="4575" max="4575" width="12.125" style="3" customWidth="1"/>
    <col min="4576" max="4576" width="7" style="3" customWidth="1"/>
    <col min="4577" max="4577" width="16" style="3" customWidth="1"/>
    <col min="4578" max="4578" width="13" style="3" customWidth="1"/>
    <col min="4579" max="4579" width="12.125" style="3" customWidth="1"/>
    <col min="4580" max="4580" width="13.625" style="3" customWidth="1"/>
    <col min="4581" max="4828" width="9" style="3" customWidth="1"/>
    <col min="4829" max="4829" width="9.125" style="3" customWidth="1"/>
    <col min="4830" max="4830" width="7.625" style="3" customWidth="1"/>
    <col min="4831" max="4831" width="12.125" style="3" customWidth="1"/>
    <col min="4832" max="4832" width="7" style="3" customWidth="1"/>
    <col min="4833" max="4833" width="16" style="3" customWidth="1"/>
    <col min="4834" max="4834" width="13" style="3" customWidth="1"/>
    <col min="4835" max="4835" width="12.125" style="3" customWidth="1"/>
    <col min="4836" max="4836" width="13.625" style="3" customWidth="1"/>
    <col min="4837" max="5084" width="9" style="3" customWidth="1"/>
    <col min="5085" max="5085" width="9.125" style="3" customWidth="1"/>
    <col min="5086" max="5086" width="7.625" style="3" customWidth="1"/>
    <col min="5087" max="5087" width="12.125" style="3" customWidth="1"/>
    <col min="5088" max="5088" width="7" style="3" customWidth="1"/>
    <col min="5089" max="5089" width="16" style="3" customWidth="1"/>
    <col min="5090" max="5090" width="13" style="3" customWidth="1"/>
    <col min="5091" max="5091" width="12.125" style="3" customWidth="1"/>
    <col min="5092" max="5092" width="13.625" style="3" customWidth="1"/>
    <col min="5093" max="5340" width="9" style="3" customWidth="1"/>
    <col min="5341" max="5341" width="9.125" style="3" customWidth="1"/>
    <col min="5342" max="5342" width="7.625" style="3" customWidth="1"/>
    <col min="5343" max="5343" width="12.125" style="3" customWidth="1"/>
    <col min="5344" max="5344" width="7" style="3" customWidth="1"/>
    <col min="5345" max="5345" width="16" style="3" customWidth="1"/>
    <col min="5346" max="5346" width="13" style="3" customWidth="1"/>
    <col min="5347" max="5347" width="12.125" style="3" customWidth="1"/>
    <col min="5348" max="5348" width="13.625" style="3" customWidth="1"/>
    <col min="5349" max="5596" width="9" style="3" customWidth="1"/>
    <col min="5597" max="5597" width="9.125" style="3" customWidth="1"/>
    <col min="5598" max="5598" width="7.625" style="3" customWidth="1"/>
    <col min="5599" max="5599" width="12.125" style="3" customWidth="1"/>
    <col min="5600" max="5600" width="7" style="3" customWidth="1"/>
    <col min="5601" max="5601" width="16" style="3" customWidth="1"/>
    <col min="5602" max="5602" width="13" style="3" customWidth="1"/>
    <col min="5603" max="5603" width="12.125" style="3" customWidth="1"/>
    <col min="5604" max="5604" width="13.625" style="3" customWidth="1"/>
    <col min="5605" max="5852" width="9" style="3" customWidth="1"/>
    <col min="5853" max="5853" width="9.125" style="3" customWidth="1"/>
    <col min="5854" max="5854" width="7.625" style="3" customWidth="1"/>
    <col min="5855" max="5855" width="12.125" style="3" customWidth="1"/>
    <col min="5856" max="5856" width="7" style="3" customWidth="1"/>
    <col min="5857" max="5857" width="16" style="3" customWidth="1"/>
    <col min="5858" max="5858" width="13" style="3" customWidth="1"/>
    <col min="5859" max="5859" width="12.125" style="3" customWidth="1"/>
    <col min="5860" max="5860" width="13.625" style="3" customWidth="1"/>
    <col min="5861" max="6108" width="9" style="3" customWidth="1"/>
    <col min="6109" max="6109" width="9.125" style="3" customWidth="1"/>
    <col min="6110" max="6110" width="7.625" style="3" customWidth="1"/>
    <col min="6111" max="6111" width="12.125" style="3" customWidth="1"/>
    <col min="6112" max="6112" width="7" style="3" customWidth="1"/>
    <col min="6113" max="6113" width="16" style="3" customWidth="1"/>
    <col min="6114" max="6114" width="13" style="3" customWidth="1"/>
    <col min="6115" max="6115" width="12.125" style="3" customWidth="1"/>
    <col min="6116" max="6116" width="13.625" style="3" customWidth="1"/>
    <col min="6117" max="6364" width="9" style="3" customWidth="1"/>
    <col min="6365" max="6365" width="9.125" style="3" customWidth="1"/>
    <col min="6366" max="6366" width="7.625" style="3" customWidth="1"/>
    <col min="6367" max="6367" width="12.125" style="3" customWidth="1"/>
    <col min="6368" max="6368" width="7" style="3" customWidth="1"/>
    <col min="6369" max="6369" width="16" style="3" customWidth="1"/>
    <col min="6370" max="6370" width="13" style="3" customWidth="1"/>
    <col min="6371" max="6371" width="12.125" style="3" customWidth="1"/>
    <col min="6372" max="6372" width="13.625" style="3" customWidth="1"/>
    <col min="6373" max="6620" width="9" style="3" customWidth="1"/>
    <col min="6621" max="6621" width="9.125" style="3" customWidth="1"/>
    <col min="6622" max="6622" width="7.625" style="3" customWidth="1"/>
    <col min="6623" max="6623" width="12.125" style="3" customWidth="1"/>
    <col min="6624" max="6624" width="7" style="3" customWidth="1"/>
    <col min="6625" max="6625" width="16" style="3" customWidth="1"/>
    <col min="6626" max="6626" width="13" style="3" customWidth="1"/>
    <col min="6627" max="6627" width="12.125" style="3" customWidth="1"/>
    <col min="6628" max="6628" width="13.625" style="3" customWidth="1"/>
    <col min="6629" max="6876" width="9" style="3" customWidth="1"/>
    <col min="6877" max="6877" width="9.125" style="3" customWidth="1"/>
    <col min="6878" max="6878" width="7.625" style="3" customWidth="1"/>
    <col min="6879" max="6879" width="12.125" style="3" customWidth="1"/>
    <col min="6880" max="6880" width="7" style="3" customWidth="1"/>
    <col min="6881" max="6881" width="16" style="3" customWidth="1"/>
    <col min="6882" max="6882" width="13" style="3" customWidth="1"/>
    <col min="6883" max="6883" width="12.125" style="3" customWidth="1"/>
    <col min="6884" max="6884" width="13.625" style="3" customWidth="1"/>
    <col min="6885" max="7132" width="9" style="3" customWidth="1"/>
    <col min="7133" max="7133" width="9.125" style="3" customWidth="1"/>
    <col min="7134" max="7134" width="7.625" style="3" customWidth="1"/>
    <col min="7135" max="7135" width="12.125" style="3" customWidth="1"/>
    <col min="7136" max="7136" width="7" style="3" customWidth="1"/>
    <col min="7137" max="7137" width="16" style="3" customWidth="1"/>
    <col min="7138" max="7138" width="13" style="3" customWidth="1"/>
    <col min="7139" max="7139" width="12.125" style="3" customWidth="1"/>
    <col min="7140" max="7140" width="13.625" style="3" customWidth="1"/>
    <col min="7141" max="7388" width="9" style="3" customWidth="1"/>
    <col min="7389" max="7389" width="9.125" style="3" customWidth="1"/>
    <col min="7390" max="7390" width="7.625" style="3" customWidth="1"/>
    <col min="7391" max="7391" width="12.125" style="3" customWidth="1"/>
    <col min="7392" max="7392" width="7" style="3" customWidth="1"/>
    <col min="7393" max="7393" width="16" style="3" customWidth="1"/>
    <col min="7394" max="7394" width="13" style="3" customWidth="1"/>
    <col min="7395" max="7395" width="12.125" style="3" customWidth="1"/>
    <col min="7396" max="7396" width="13.625" style="3" customWidth="1"/>
    <col min="7397" max="7644" width="9" style="3" customWidth="1"/>
    <col min="7645" max="7645" width="9.125" style="3" customWidth="1"/>
    <col min="7646" max="7646" width="7.625" style="3" customWidth="1"/>
    <col min="7647" max="7647" width="12.125" style="3" customWidth="1"/>
    <col min="7648" max="7648" width="7" style="3" customWidth="1"/>
    <col min="7649" max="7649" width="16" style="3" customWidth="1"/>
    <col min="7650" max="7650" width="13" style="3" customWidth="1"/>
    <col min="7651" max="7651" width="12.125" style="3" customWidth="1"/>
    <col min="7652" max="7652" width="13.625" style="3" customWidth="1"/>
    <col min="7653" max="7900" width="9" style="3" customWidth="1"/>
    <col min="7901" max="7901" width="9.125" style="3" customWidth="1"/>
    <col min="7902" max="7902" width="7.625" style="3" customWidth="1"/>
    <col min="7903" max="7903" width="12.125" style="3" customWidth="1"/>
    <col min="7904" max="7904" width="7" style="3" customWidth="1"/>
    <col min="7905" max="7905" width="16" style="3" customWidth="1"/>
    <col min="7906" max="7906" width="13" style="3" customWidth="1"/>
    <col min="7907" max="7907" width="12.125" style="3" customWidth="1"/>
    <col min="7908" max="7908" width="13.625" style="3" customWidth="1"/>
    <col min="7909" max="8156" width="9" style="3" customWidth="1"/>
    <col min="8157" max="8157" width="9.125" style="3" customWidth="1"/>
    <col min="8158" max="8158" width="7.625" style="3" customWidth="1"/>
    <col min="8159" max="8159" width="12.125" style="3" customWidth="1"/>
    <col min="8160" max="8160" width="7" style="3" customWidth="1"/>
    <col min="8161" max="8161" width="16" style="3" customWidth="1"/>
    <col min="8162" max="8162" width="13" style="3" customWidth="1"/>
    <col min="8163" max="8163" width="12.125" style="3" customWidth="1"/>
    <col min="8164" max="8164" width="13.625" style="3" customWidth="1"/>
    <col min="8165" max="8412" width="9" style="3" customWidth="1"/>
    <col min="8413" max="8413" width="9.125" style="3" customWidth="1"/>
    <col min="8414" max="8414" width="7.625" style="3" customWidth="1"/>
    <col min="8415" max="8415" width="12.125" style="3" customWidth="1"/>
    <col min="8416" max="8416" width="7" style="3" customWidth="1"/>
    <col min="8417" max="8417" width="16" style="3" customWidth="1"/>
    <col min="8418" max="8418" width="13" style="3" customWidth="1"/>
    <col min="8419" max="8419" width="12.125" style="3" customWidth="1"/>
    <col min="8420" max="8420" width="13.625" style="3" customWidth="1"/>
    <col min="8421" max="8668" width="9" style="3" customWidth="1"/>
    <col min="8669" max="8669" width="9.125" style="3" customWidth="1"/>
    <col min="8670" max="8670" width="7.625" style="3" customWidth="1"/>
    <col min="8671" max="8671" width="12.125" style="3" customWidth="1"/>
    <col min="8672" max="8672" width="7" style="3" customWidth="1"/>
    <col min="8673" max="8673" width="16" style="3" customWidth="1"/>
    <col min="8674" max="8674" width="13" style="3" customWidth="1"/>
    <col min="8675" max="8675" width="12.125" style="3" customWidth="1"/>
    <col min="8676" max="8676" width="13.625" style="3" customWidth="1"/>
    <col min="8677" max="8924" width="9" style="3" customWidth="1"/>
    <col min="8925" max="8925" width="9.125" style="3" customWidth="1"/>
    <col min="8926" max="8926" width="7.625" style="3" customWidth="1"/>
    <col min="8927" max="8927" width="12.125" style="3" customWidth="1"/>
    <col min="8928" max="8928" width="7" style="3" customWidth="1"/>
    <col min="8929" max="8929" width="16" style="3" customWidth="1"/>
    <col min="8930" max="8930" width="13" style="3" customWidth="1"/>
    <col min="8931" max="8931" width="12.125" style="3" customWidth="1"/>
    <col min="8932" max="8932" width="13.625" style="3" customWidth="1"/>
    <col min="8933" max="9180" width="9" style="3" customWidth="1"/>
    <col min="9181" max="9181" width="9.125" style="3" customWidth="1"/>
    <col min="9182" max="9182" width="7.625" style="3" customWidth="1"/>
    <col min="9183" max="9183" width="12.125" style="3" customWidth="1"/>
    <col min="9184" max="9184" width="7" style="3" customWidth="1"/>
    <col min="9185" max="9185" width="16" style="3" customWidth="1"/>
    <col min="9186" max="9186" width="13" style="3" customWidth="1"/>
    <col min="9187" max="9187" width="12.125" style="3" customWidth="1"/>
    <col min="9188" max="9188" width="13.625" style="3" customWidth="1"/>
    <col min="9189" max="9436" width="9" style="3" customWidth="1"/>
    <col min="9437" max="9437" width="9.125" style="3" customWidth="1"/>
    <col min="9438" max="9438" width="7.625" style="3" customWidth="1"/>
    <col min="9439" max="9439" width="12.125" style="3" customWidth="1"/>
    <col min="9440" max="9440" width="7" style="3" customWidth="1"/>
    <col min="9441" max="9441" width="16" style="3" customWidth="1"/>
    <col min="9442" max="9442" width="13" style="3" customWidth="1"/>
    <col min="9443" max="9443" width="12.125" style="3" customWidth="1"/>
    <col min="9444" max="9444" width="13.625" style="3" customWidth="1"/>
    <col min="9445" max="9692" width="9" style="3" customWidth="1"/>
    <col min="9693" max="9693" width="9.125" style="3" customWidth="1"/>
    <col min="9694" max="9694" width="7.625" style="3" customWidth="1"/>
    <col min="9695" max="9695" width="12.125" style="3" customWidth="1"/>
    <col min="9696" max="9696" width="7" style="3" customWidth="1"/>
    <col min="9697" max="9697" width="16" style="3" customWidth="1"/>
    <col min="9698" max="9698" width="13" style="3" customWidth="1"/>
    <col min="9699" max="9699" width="12.125" style="3" customWidth="1"/>
    <col min="9700" max="9700" width="13.625" style="3" customWidth="1"/>
    <col min="9701" max="9948" width="9" style="3" customWidth="1"/>
    <col min="9949" max="9949" width="9.125" style="3" customWidth="1"/>
    <col min="9950" max="9950" width="7.625" style="3" customWidth="1"/>
    <col min="9951" max="9951" width="12.125" style="3" customWidth="1"/>
    <col min="9952" max="9952" width="7" style="3" customWidth="1"/>
    <col min="9953" max="9953" width="16" style="3" customWidth="1"/>
    <col min="9954" max="9954" width="13" style="3" customWidth="1"/>
    <col min="9955" max="9955" width="12.125" style="3" customWidth="1"/>
    <col min="9956" max="9956" width="13.625" style="3" customWidth="1"/>
    <col min="9957" max="10204" width="9" style="3" customWidth="1"/>
    <col min="10205" max="10205" width="9.125" style="3" customWidth="1"/>
    <col min="10206" max="10206" width="7.625" style="3" customWidth="1"/>
    <col min="10207" max="10207" width="12.125" style="3" customWidth="1"/>
    <col min="10208" max="10208" width="7" style="3" customWidth="1"/>
    <col min="10209" max="10209" width="16" style="3" customWidth="1"/>
    <col min="10210" max="10210" width="13" style="3" customWidth="1"/>
    <col min="10211" max="10211" width="12.125" style="3" customWidth="1"/>
    <col min="10212" max="10212" width="13.625" style="3" customWidth="1"/>
    <col min="10213" max="10460" width="9" style="3" customWidth="1"/>
    <col min="10461" max="10461" width="9.125" style="3" customWidth="1"/>
    <col min="10462" max="10462" width="7.625" style="3" customWidth="1"/>
    <col min="10463" max="10463" width="12.125" style="3" customWidth="1"/>
    <col min="10464" max="10464" width="7" style="3" customWidth="1"/>
    <col min="10465" max="10465" width="16" style="3" customWidth="1"/>
    <col min="10466" max="10466" width="13" style="3" customWidth="1"/>
    <col min="10467" max="10467" width="12.125" style="3" customWidth="1"/>
    <col min="10468" max="10468" width="13.625" style="3" customWidth="1"/>
    <col min="10469" max="10716" width="9" style="3" customWidth="1"/>
    <col min="10717" max="10717" width="9.125" style="3" customWidth="1"/>
    <col min="10718" max="10718" width="7.625" style="3" customWidth="1"/>
    <col min="10719" max="10719" width="12.125" style="3" customWidth="1"/>
    <col min="10720" max="10720" width="7" style="3" customWidth="1"/>
    <col min="10721" max="10721" width="16" style="3" customWidth="1"/>
    <col min="10722" max="10722" width="13" style="3" customWidth="1"/>
    <col min="10723" max="10723" width="12.125" style="3" customWidth="1"/>
    <col min="10724" max="10724" width="13.625" style="3" customWidth="1"/>
    <col min="10725" max="10972" width="9" style="3" customWidth="1"/>
    <col min="10973" max="10973" width="9.125" style="3" customWidth="1"/>
    <col min="10974" max="10974" width="7.625" style="3" customWidth="1"/>
    <col min="10975" max="10975" width="12.125" style="3" customWidth="1"/>
    <col min="10976" max="10976" width="7" style="3" customWidth="1"/>
    <col min="10977" max="10977" width="16" style="3" customWidth="1"/>
    <col min="10978" max="10978" width="13" style="3" customWidth="1"/>
    <col min="10979" max="10979" width="12.125" style="3" customWidth="1"/>
    <col min="10980" max="10980" width="13.625" style="3" customWidth="1"/>
    <col min="10981" max="11228" width="9" style="3" customWidth="1"/>
    <col min="11229" max="11229" width="9.125" style="3" customWidth="1"/>
    <col min="11230" max="11230" width="7.625" style="3" customWidth="1"/>
    <col min="11231" max="11231" width="12.125" style="3" customWidth="1"/>
    <col min="11232" max="11232" width="7" style="3" customWidth="1"/>
    <col min="11233" max="11233" width="16" style="3" customWidth="1"/>
    <col min="11234" max="11234" width="13" style="3" customWidth="1"/>
    <col min="11235" max="11235" width="12.125" style="3" customWidth="1"/>
    <col min="11236" max="11236" width="13.625" style="3" customWidth="1"/>
    <col min="11237" max="11484" width="9" style="3" customWidth="1"/>
    <col min="11485" max="11485" width="9.125" style="3" customWidth="1"/>
    <col min="11486" max="11486" width="7.625" style="3" customWidth="1"/>
    <col min="11487" max="11487" width="12.125" style="3" customWidth="1"/>
    <col min="11488" max="11488" width="7" style="3" customWidth="1"/>
    <col min="11489" max="11489" width="16" style="3" customWidth="1"/>
    <col min="11490" max="11490" width="13" style="3" customWidth="1"/>
    <col min="11491" max="11491" width="12.125" style="3" customWidth="1"/>
    <col min="11492" max="11492" width="13.625" style="3" customWidth="1"/>
    <col min="11493" max="11740" width="9" style="3" customWidth="1"/>
    <col min="11741" max="11741" width="9.125" style="3" customWidth="1"/>
    <col min="11742" max="11742" width="7.625" style="3" customWidth="1"/>
    <col min="11743" max="11743" width="12.125" style="3" customWidth="1"/>
    <col min="11744" max="11744" width="7" style="3" customWidth="1"/>
    <col min="11745" max="11745" width="16" style="3" customWidth="1"/>
    <col min="11746" max="11746" width="13" style="3" customWidth="1"/>
    <col min="11747" max="11747" width="12.125" style="3" customWidth="1"/>
    <col min="11748" max="11748" width="13.625" style="3" customWidth="1"/>
    <col min="11749" max="11996" width="9" style="3" customWidth="1"/>
    <col min="11997" max="11997" width="9.125" style="3" customWidth="1"/>
    <col min="11998" max="11998" width="7.625" style="3" customWidth="1"/>
    <col min="11999" max="11999" width="12.125" style="3" customWidth="1"/>
    <col min="12000" max="12000" width="7" style="3" customWidth="1"/>
    <col min="12001" max="12001" width="16" style="3" customWidth="1"/>
    <col min="12002" max="12002" width="13" style="3" customWidth="1"/>
    <col min="12003" max="12003" width="12.125" style="3" customWidth="1"/>
    <col min="12004" max="12004" width="13.625" style="3" customWidth="1"/>
    <col min="12005" max="12252" width="9" style="3" customWidth="1"/>
    <col min="12253" max="12253" width="9.125" style="3" customWidth="1"/>
    <col min="12254" max="12254" width="7.625" style="3" customWidth="1"/>
    <col min="12255" max="12255" width="12.125" style="3" customWidth="1"/>
    <col min="12256" max="12256" width="7" style="3" customWidth="1"/>
    <col min="12257" max="12257" width="16" style="3" customWidth="1"/>
    <col min="12258" max="12258" width="13" style="3" customWidth="1"/>
    <col min="12259" max="12259" width="12.125" style="3" customWidth="1"/>
    <col min="12260" max="12260" width="13.625" style="3" customWidth="1"/>
    <col min="12261" max="12508" width="9" style="3" customWidth="1"/>
    <col min="12509" max="12509" width="9.125" style="3" customWidth="1"/>
    <col min="12510" max="12510" width="7.625" style="3" customWidth="1"/>
    <col min="12511" max="12511" width="12.125" style="3" customWidth="1"/>
    <col min="12512" max="12512" width="7" style="3" customWidth="1"/>
    <col min="12513" max="12513" width="16" style="3" customWidth="1"/>
    <col min="12514" max="12514" width="13" style="3" customWidth="1"/>
    <col min="12515" max="12515" width="12.125" style="3" customWidth="1"/>
    <col min="12516" max="12516" width="13.625" style="3" customWidth="1"/>
    <col min="12517" max="12764" width="9" style="3" customWidth="1"/>
    <col min="12765" max="12765" width="9.125" style="3" customWidth="1"/>
    <col min="12766" max="12766" width="7.625" style="3" customWidth="1"/>
    <col min="12767" max="12767" width="12.125" style="3" customWidth="1"/>
    <col min="12768" max="12768" width="7" style="3" customWidth="1"/>
    <col min="12769" max="12769" width="16" style="3" customWidth="1"/>
    <col min="12770" max="12770" width="13" style="3" customWidth="1"/>
    <col min="12771" max="12771" width="12.125" style="3" customWidth="1"/>
    <col min="12772" max="12772" width="13.625" style="3" customWidth="1"/>
    <col min="12773" max="13020" width="9" style="3" customWidth="1"/>
    <col min="13021" max="13021" width="9.125" style="3" customWidth="1"/>
    <col min="13022" max="13022" width="7.625" style="3" customWidth="1"/>
    <col min="13023" max="13023" width="12.125" style="3" customWidth="1"/>
    <col min="13024" max="13024" width="7" style="3" customWidth="1"/>
    <col min="13025" max="13025" width="16" style="3" customWidth="1"/>
    <col min="13026" max="13026" width="13" style="3" customWidth="1"/>
    <col min="13027" max="13027" width="12.125" style="3" customWidth="1"/>
    <col min="13028" max="13028" width="13.625" style="3" customWidth="1"/>
    <col min="13029" max="13276" width="9" style="3" customWidth="1"/>
    <col min="13277" max="13277" width="9.125" style="3" customWidth="1"/>
    <col min="13278" max="13278" width="7.625" style="3" customWidth="1"/>
    <col min="13279" max="13279" width="12.125" style="3" customWidth="1"/>
    <col min="13280" max="13280" width="7" style="3" customWidth="1"/>
    <col min="13281" max="13281" width="16" style="3" customWidth="1"/>
    <col min="13282" max="13282" width="13" style="3" customWidth="1"/>
    <col min="13283" max="13283" width="12.125" style="3" customWidth="1"/>
    <col min="13284" max="13284" width="13.625" style="3" customWidth="1"/>
    <col min="13285" max="13532" width="9" style="3" customWidth="1"/>
    <col min="13533" max="13533" width="9.125" style="3" customWidth="1"/>
    <col min="13534" max="13534" width="7.625" style="3" customWidth="1"/>
    <col min="13535" max="13535" width="12.125" style="3" customWidth="1"/>
    <col min="13536" max="13536" width="7" style="3" customWidth="1"/>
    <col min="13537" max="13537" width="16" style="3" customWidth="1"/>
    <col min="13538" max="13538" width="13" style="3" customWidth="1"/>
    <col min="13539" max="13539" width="12.125" style="3" customWidth="1"/>
    <col min="13540" max="13540" width="13.625" style="3" customWidth="1"/>
    <col min="13541" max="13788" width="9" style="3" customWidth="1"/>
    <col min="13789" max="13789" width="9.125" style="3" customWidth="1"/>
    <col min="13790" max="13790" width="7.625" style="3" customWidth="1"/>
    <col min="13791" max="13791" width="12.125" style="3" customWidth="1"/>
    <col min="13792" max="13792" width="7" style="3" customWidth="1"/>
    <col min="13793" max="13793" width="16" style="3" customWidth="1"/>
    <col min="13794" max="13794" width="13" style="3" customWidth="1"/>
    <col min="13795" max="13795" width="12.125" style="3" customWidth="1"/>
    <col min="13796" max="13796" width="13.625" style="3" customWidth="1"/>
    <col min="13797" max="14044" width="9" style="3" customWidth="1"/>
    <col min="14045" max="14045" width="9.125" style="3" customWidth="1"/>
    <col min="14046" max="14046" width="7.625" style="3" customWidth="1"/>
    <col min="14047" max="14047" width="12.125" style="3" customWidth="1"/>
    <col min="14048" max="14048" width="7" style="3" customWidth="1"/>
    <col min="14049" max="14049" width="16" style="3" customWidth="1"/>
    <col min="14050" max="14050" width="13" style="3" customWidth="1"/>
    <col min="14051" max="14051" width="12.125" style="3" customWidth="1"/>
    <col min="14052" max="14052" width="13.625" style="3" customWidth="1"/>
    <col min="14053" max="14300" width="9" style="3" customWidth="1"/>
    <col min="14301" max="14301" width="9.125" style="3" customWidth="1"/>
    <col min="14302" max="14302" width="7.625" style="3" customWidth="1"/>
    <col min="14303" max="14303" width="12.125" style="3" customWidth="1"/>
    <col min="14304" max="14304" width="7" style="3" customWidth="1"/>
    <col min="14305" max="14305" width="16" style="3" customWidth="1"/>
    <col min="14306" max="14306" width="13" style="3" customWidth="1"/>
    <col min="14307" max="14307" width="12.125" style="3" customWidth="1"/>
    <col min="14308" max="14308" width="13.625" style="3" customWidth="1"/>
    <col min="14309" max="14556" width="9" style="3" customWidth="1"/>
    <col min="14557" max="14557" width="9.125" style="3" customWidth="1"/>
    <col min="14558" max="14558" width="7.625" style="3" customWidth="1"/>
    <col min="14559" max="14559" width="12.125" style="3" customWidth="1"/>
    <col min="14560" max="14560" width="7" style="3" customWidth="1"/>
    <col min="14561" max="14561" width="16" style="3" customWidth="1"/>
    <col min="14562" max="14562" width="13" style="3" customWidth="1"/>
    <col min="14563" max="14563" width="12.125" style="3" customWidth="1"/>
    <col min="14564" max="14564" width="13.625" style="3" customWidth="1"/>
    <col min="14565" max="14812" width="9" style="3" customWidth="1"/>
    <col min="14813" max="14813" width="9.125" style="3" customWidth="1"/>
    <col min="14814" max="14814" width="7.625" style="3" customWidth="1"/>
    <col min="14815" max="14815" width="12.125" style="3" customWidth="1"/>
    <col min="14816" max="14816" width="7" style="3" customWidth="1"/>
    <col min="14817" max="14817" width="16" style="3" customWidth="1"/>
    <col min="14818" max="14818" width="13" style="3" customWidth="1"/>
    <col min="14819" max="14819" width="12.125" style="3" customWidth="1"/>
    <col min="14820" max="14820" width="13.625" style="3" customWidth="1"/>
    <col min="14821" max="15068" width="9" style="3" customWidth="1"/>
    <col min="15069" max="15069" width="9.125" style="3" customWidth="1"/>
    <col min="15070" max="15070" width="7.625" style="3" customWidth="1"/>
    <col min="15071" max="15071" width="12.125" style="3" customWidth="1"/>
    <col min="15072" max="15072" width="7" style="3" customWidth="1"/>
    <col min="15073" max="15073" width="16" style="3" customWidth="1"/>
    <col min="15074" max="15074" width="13" style="3" customWidth="1"/>
    <col min="15075" max="15075" width="12.125" style="3" customWidth="1"/>
    <col min="15076" max="15076" width="13.625" style="3" customWidth="1"/>
    <col min="15077" max="15324" width="9" style="3" customWidth="1"/>
    <col min="15325" max="15325" width="9.125" style="3" customWidth="1"/>
    <col min="15326" max="15326" width="7.625" style="3" customWidth="1"/>
    <col min="15327" max="15327" width="12.125" style="3" customWidth="1"/>
    <col min="15328" max="15328" width="7" style="3" customWidth="1"/>
    <col min="15329" max="15329" width="16" style="3" customWidth="1"/>
    <col min="15330" max="15330" width="13" style="3" customWidth="1"/>
    <col min="15331" max="15331" width="12.125" style="3" customWidth="1"/>
    <col min="15332" max="15332" width="13.625" style="3" customWidth="1"/>
    <col min="15333" max="15580" width="9" style="3" customWidth="1"/>
    <col min="15581" max="15581" width="9.125" style="3" customWidth="1"/>
    <col min="15582" max="15582" width="7.625" style="3" customWidth="1"/>
    <col min="15583" max="15583" width="12.125" style="3" customWidth="1"/>
    <col min="15584" max="15584" width="7" style="3" customWidth="1"/>
    <col min="15585" max="15585" width="16" style="3" customWidth="1"/>
    <col min="15586" max="15586" width="13" style="3" customWidth="1"/>
    <col min="15587" max="15587" width="12.125" style="3" customWidth="1"/>
    <col min="15588" max="15588" width="13.625" style="3" customWidth="1"/>
    <col min="15589" max="15836" width="9" style="3" customWidth="1"/>
    <col min="15837" max="15837" width="9.125" style="3" customWidth="1"/>
    <col min="15838" max="15838" width="7.625" style="3" customWidth="1"/>
    <col min="15839" max="15839" width="12.125" style="3" customWidth="1"/>
    <col min="15840" max="15840" width="7" style="3" customWidth="1"/>
    <col min="15841" max="15841" width="16" style="3" customWidth="1"/>
    <col min="15842" max="15842" width="13" style="3" customWidth="1"/>
    <col min="15843" max="15843" width="12.125" style="3" customWidth="1"/>
    <col min="15844" max="15844" width="13.625" style="3" customWidth="1"/>
    <col min="15845" max="16092" width="9" style="3" customWidth="1"/>
    <col min="16093" max="16093" width="9.125" style="3" customWidth="1"/>
    <col min="16094" max="16094" width="7.625" style="3" customWidth="1"/>
    <col min="16095" max="16095" width="12.125" style="3" customWidth="1"/>
    <col min="16096" max="16096" width="7" style="3" customWidth="1"/>
    <col min="16097" max="16097" width="16" style="3" customWidth="1"/>
    <col min="16098" max="16098" width="13" style="3" customWidth="1"/>
    <col min="16099" max="16099" width="12.125" style="3" customWidth="1"/>
    <col min="16100" max="16100" width="13.625" style="3" customWidth="1"/>
    <col min="16101" max="16384" width="9" style="3" customWidth="1"/>
  </cols>
  <sheetData>
    <row r="1" ht="30" customHeight="1" spans="1:25" x14ac:dyDescent="0.25">
      <c r="A1" s="202" t="s">
        <v>24</v>
      </c>
      <c r="B1" s="202"/>
      <c r="C1" s="202"/>
      <c r="D1" s="202"/>
      <c r="E1" s="202"/>
      <c r="F1" s="202"/>
      <c r="G1" s="202"/>
      <c r="H1" s="20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x14ac:dyDescent="0.25">
      <c r="A2" s="297" t="s">
        <v>25</v>
      </c>
      <c r="B2" s="297"/>
      <c r="C2" s="297"/>
      <c r="D2" s="297"/>
      <c r="E2" s="297"/>
      <c r="F2" s="297"/>
      <c r="G2" s="297"/>
      <c r="H2" s="297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8" customHeight="1" spans="1:25" x14ac:dyDescent="0.25">
      <c r="A3" s="189"/>
      <c r="B3" s="189"/>
      <c r="C3" s="189"/>
      <c r="D3" s="189"/>
      <c r="E3" s="189"/>
      <c r="F3" s="149"/>
      <c r="G3" s="149"/>
      <c r="H3" s="149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25">
      <c r="A4" s="204" t="s">
        <v>75</v>
      </c>
      <c r="B4" s="204"/>
      <c r="C4" s="204"/>
      <c r="D4" s="204"/>
      <c r="E4" s="298"/>
      <c r="F4" s="11" t="s">
        <v>76</v>
      </c>
      <c r="G4" s="205"/>
      <c r="H4" s="189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75" customHeight="1" spans="1:25" x14ac:dyDescent="0.25">
      <c r="A5" s="299"/>
      <c r="B5" s="298"/>
      <c r="C5" s="3"/>
      <c r="D5" s="3"/>
      <c r="E5" s="298"/>
      <c r="F5" s="8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2.75" customHeight="1" spans="1:25" x14ac:dyDescent="0.25">
      <c r="A6" s="204" t="s">
        <v>77</v>
      </c>
      <c r="B6" s="204"/>
      <c r="C6" s="204"/>
      <c r="D6" s="3"/>
      <c r="E6" s="3" t="s">
        <v>78</v>
      </c>
      <c r="F6" s="11" t="s">
        <v>79</v>
      </c>
      <c r="G6" s="298" t="s">
        <v>25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 spans="1:25" x14ac:dyDescent="0.25">
      <c r="A7" s="298" t="s">
        <v>78</v>
      </c>
      <c r="B7" s="298"/>
      <c r="C7" s="3"/>
      <c r="D7" s="3"/>
      <c r="E7" s="3"/>
      <c r="F7" s="149"/>
      <c r="G7" s="3"/>
      <c r="H7" s="298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30.75" customHeight="1" spans="1:25" x14ac:dyDescent="0.25">
      <c r="A8" s="3"/>
      <c r="B8" s="3"/>
      <c r="C8" s="300" t="s">
        <v>80</v>
      </c>
      <c r="D8" s="301"/>
      <c r="E8" s="301"/>
      <c r="F8" s="301"/>
      <c r="G8" s="302"/>
      <c r="H8" s="149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7.25" customHeight="1" spans="1:25" x14ac:dyDescent="0.25">
      <c r="A9" s="3"/>
      <c r="B9" s="3"/>
      <c r="C9" s="3"/>
      <c r="D9" s="3"/>
      <c r="E9" s="3"/>
      <c r="F9" s="3"/>
      <c r="G9" s="3"/>
      <c r="H9" s="189" t="s">
        <v>81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.95" customHeight="1" spans="1:25" x14ac:dyDescent="0.25">
      <c r="A10" s="303" t="s">
        <v>82</v>
      </c>
      <c r="B10" s="304"/>
      <c r="C10" s="305"/>
      <c r="D10" s="306" t="s">
        <v>83</v>
      </c>
      <c r="E10" s="303" t="s">
        <v>84</v>
      </c>
      <c r="F10" s="305"/>
      <c r="G10" s="307" t="s">
        <v>85</v>
      </c>
      <c r="H10" s="307" t="s">
        <v>49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21.95" customHeight="1" spans="1:25" x14ac:dyDescent="0.25">
      <c r="A11" s="158" t="s">
        <v>86</v>
      </c>
      <c r="B11" s="159"/>
      <c r="C11" s="308" t="s">
        <v>87</v>
      </c>
      <c r="D11" s="309"/>
      <c r="E11" s="308" t="s">
        <v>86</v>
      </c>
      <c r="F11" s="308" t="s">
        <v>87</v>
      </c>
      <c r="G11" s="32"/>
      <c r="H11" s="3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21.95" customHeight="1" spans="1:25" x14ac:dyDescent="0.25">
      <c r="A12" s="310"/>
      <c r="B12" s="310"/>
      <c r="C12" s="311"/>
      <c r="D12" s="53"/>
      <c r="E12" s="53"/>
      <c r="F12" s="50"/>
      <c r="G12" s="50"/>
      <c r="H12" s="50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21.95" customHeight="1" spans="1:25" x14ac:dyDescent="0.25">
      <c r="A13" s="312"/>
      <c r="B13" s="312"/>
      <c r="C13" s="312"/>
      <c r="D13" s="226"/>
      <c r="E13" s="226"/>
      <c r="F13" s="313"/>
      <c r="G13" s="313"/>
      <c r="H13" s="31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21.95" customHeight="1" spans="1:25" x14ac:dyDescent="0.25">
      <c r="A14" s="312"/>
      <c r="B14" s="312"/>
      <c r="C14" s="312"/>
      <c r="D14" s="226"/>
      <c r="E14" s="226"/>
      <c r="F14" s="313"/>
      <c r="G14" s="313"/>
      <c r="H14" s="31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21.95" customHeight="1" spans="1:25" x14ac:dyDescent="0.25">
      <c r="A15" s="312"/>
      <c r="B15" s="312"/>
      <c r="C15" s="312"/>
      <c r="D15" s="226"/>
      <c r="E15" s="226"/>
      <c r="F15" s="313"/>
      <c r="G15" s="313"/>
      <c r="H15" s="31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21.95" customHeight="1" spans="1:25" x14ac:dyDescent="0.25">
      <c r="A16" s="314"/>
      <c r="B16" s="314"/>
      <c r="C16" s="314"/>
      <c r="D16" s="315"/>
      <c r="E16" s="315"/>
      <c r="F16" s="316"/>
      <c r="G16" s="315"/>
      <c r="H16" s="11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21.95" customHeight="1" spans="1:25" x14ac:dyDescent="0.25">
      <c r="A17" s="311"/>
      <c r="B17" s="311"/>
      <c r="C17" s="311"/>
      <c r="D17" s="53"/>
      <c r="E17" s="53"/>
      <c r="F17" s="317"/>
      <c r="G17" s="53"/>
      <c r="H17" s="5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21.95" customHeight="1" spans="1:25" x14ac:dyDescent="0.25">
      <c r="A18" s="312"/>
      <c r="B18" s="312"/>
      <c r="C18" s="312"/>
      <c r="D18" s="226"/>
      <c r="E18" s="226"/>
      <c r="F18" s="318"/>
      <c r="G18" s="226"/>
      <c r="H18" s="31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21.95" customHeight="1" spans="1:25" x14ac:dyDescent="0.25">
      <c r="A19" s="312"/>
      <c r="B19" s="312"/>
      <c r="C19" s="312"/>
      <c r="D19" s="226"/>
      <c r="E19" s="226"/>
      <c r="F19" s="318"/>
      <c r="G19" s="226"/>
      <c r="H19" s="31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21.95" customHeight="1" spans="1:25" x14ac:dyDescent="0.25">
      <c r="A20" s="312"/>
      <c r="B20" s="312"/>
      <c r="C20" s="312"/>
      <c r="D20" s="226"/>
      <c r="E20" s="226"/>
      <c r="F20" s="318"/>
      <c r="G20" s="226"/>
      <c r="H20" s="31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21.95" customHeight="1" spans="1:25" x14ac:dyDescent="0.25">
      <c r="A21" s="314"/>
      <c r="B21" s="314"/>
      <c r="C21" s="314"/>
      <c r="D21" s="315"/>
      <c r="E21" s="315"/>
      <c r="F21" s="114"/>
      <c r="G21" s="315"/>
      <c r="H21" s="114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21.95" customHeight="1" spans="1:25" x14ac:dyDescent="0.25">
      <c r="A22" s="311"/>
      <c r="B22" s="311"/>
      <c r="C22" s="311"/>
      <c r="D22" s="53"/>
      <c r="E22" s="53"/>
      <c r="F22" s="50"/>
      <c r="G22" s="53"/>
      <c r="H22" s="50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21.95" customHeight="1" spans="1:25" x14ac:dyDescent="0.25">
      <c r="A23" s="312"/>
      <c r="B23" s="312"/>
      <c r="C23" s="312"/>
      <c r="D23" s="226"/>
      <c r="E23" s="226"/>
      <c r="F23" s="313"/>
      <c r="G23" s="226"/>
      <c r="H23" s="31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21.95" customHeight="1" spans="1:25" x14ac:dyDescent="0.25">
      <c r="A24" s="312"/>
      <c r="B24" s="312"/>
      <c r="C24" s="312"/>
      <c r="D24" s="226"/>
      <c r="E24" s="226"/>
      <c r="F24" s="313"/>
      <c r="G24" s="226"/>
      <c r="H24" s="31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21.95" customHeight="1" spans="1:25" x14ac:dyDescent="0.25">
      <c r="A25" s="312"/>
      <c r="B25" s="312"/>
      <c r="C25" s="312"/>
      <c r="D25" s="226"/>
      <c r="E25" s="226"/>
      <c r="F25" s="313"/>
      <c r="G25" s="226"/>
      <c r="H25" s="31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21.95" customHeight="1" spans="1:25" x14ac:dyDescent="0.25">
      <c r="A26" s="319"/>
      <c r="B26" s="319"/>
      <c r="C26" s="319"/>
      <c r="D26" s="307"/>
      <c r="E26" s="307"/>
      <c r="F26" s="57"/>
      <c r="G26" s="307"/>
      <c r="H26" s="319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21.95" customHeight="1" spans="1:25" x14ac:dyDescent="0.25">
      <c r="A27" s="320"/>
      <c r="B27" s="321"/>
      <c r="C27" s="322"/>
      <c r="D27" s="322"/>
      <c r="E27" s="322"/>
      <c r="F27" s="322"/>
      <c r="G27" s="322"/>
      <c r="H27" s="32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21.95" customHeight="1" spans="1:25" x14ac:dyDescent="0.25">
      <c r="A28" s="323"/>
      <c r="B28" s="324"/>
      <c r="C28" s="312"/>
      <c r="D28" s="312"/>
      <c r="E28" s="312"/>
      <c r="F28" s="312"/>
      <c r="G28" s="312"/>
      <c r="H28" s="31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21.95" customHeight="1" spans="1:25" x14ac:dyDescent="0.25">
      <c r="A29" s="323"/>
      <c r="B29" s="324"/>
      <c r="C29" s="325"/>
      <c r="D29" s="325"/>
      <c r="E29" s="325"/>
      <c r="F29" s="325"/>
      <c r="G29" s="325"/>
      <c r="H29" s="325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21.95" customHeight="1" spans="1:25" x14ac:dyDescent="0.25">
      <c r="A30" s="323"/>
      <c r="B30" s="324"/>
      <c r="C30" s="325"/>
      <c r="D30" s="325"/>
      <c r="E30" s="325"/>
      <c r="F30" s="325"/>
      <c r="G30" s="325"/>
      <c r="H30" s="325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21.95" customHeight="1" spans="1:25" x14ac:dyDescent="0.25">
      <c r="A31" s="323"/>
      <c r="B31" s="324"/>
      <c r="C31" s="325"/>
      <c r="D31" s="325"/>
      <c r="E31" s="325"/>
      <c r="F31" s="325"/>
      <c r="G31" s="325"/>
      <c r="H31" s="325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9" customHeight="1" spans="1:25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23.1" customHeight="1" spans="1:25" x14ac:dyDescent="0.25">
      <c r="A33" s="209" t="s">
        <v>88</v>
      </c>
      <c r="B33" s="206" t="s">
        <v>89</v>
      </c>
      <c r="C33" s="22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23.1" customHeight="1" spans="1:25" x14ac:dyDescent="0.25">
      <c r="A34" s="326"/>
      <c r="B34" s="206" t="s">
        <v>90</v>
      </c>
      <c r="C34" s="22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23.1" customHeight="1" spans="1:25" x14ac:dyDescent="0.25">
      <c r="A35" s="209" t="s">
        <v>91</v>
      </c>
      <c r="B35" s="206" t="s">
        <v>89</v>
      </c>
      <c r="C35" s="22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23.1" customHeight="1" spans="1:25" x14ac:dyDescent="0.25">
      <c r="A36" s="213"/>
      <c r="B36" s="210" t="s">
        <v>90</v>
      </c>
      <c r="C36" s="35">
        <v>1</v>
      </c>
      <c r="D36" s="3"/>
      <c r="E36" s="3"/>
      <c r="F36" s="3"/>
      <c r="G36" s="199"/>
      <c r="H36" s="199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23.1" customHeight="1" spans="1:25" x14ac:dyDescent="0.25">
      <c r="A37" s="281" t="s">
        <v>92</v>
      </c>
      <c r="B37" s="282"/>
      <c r="C37" s="226">
        <f>SUM(C33:C36)</f>
        <v>1</v>
      </c>
      <c r="D37" s="3"/>
      <c r="E37" s="3"/>
      <c r="F37" s="3"/>
      <c r="G37" s="200" t="s">
        <v>22</v>
      </c>
      <c r="H37" s="200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30" customHeight="1" spans="1:25" x14ac:dyDescent="0.25">
      <c r="A38" s="202" t="s">
        <v>24</v>
      </c>
      <c r="B38" s="202"/>
      <c r="C38" s="202"/>
      <c r="D38" s="202"/>
      <c r="E38" s="202"/>
      <c r="F38" s="202"/>
      <c r="G38" s="202"/>
      <c r="H38" s="20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8" customHeight="1" spans="1:25" x14ac:dyDescent="0.25">
      <c r="A39" s="297" t="s">
        <v>25</v>
      </c>
      <c r="B39" s="297"/>
      <c r="C39" s="297"/>
      <c r="D39" s="297"/>
      <c r="E39" s="297"/>
      <c r="F39" s="297"/>
      <c r="G39" s="297"/>
      <c r="H39" s="29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8" customHeight="1" spans="1:25" x14ac:dyDescent="0.25">
      <c r="A40" s="189"/>
      <c r="B40" s="189"/>
      <c r="C40" s="189"/>
      <c r="D40" s="189"/>
      <c r="E40" s="189"/>
      <c r="F40" s="149"/>
      <c r="G40" s="149"/>
      <c r="H40" s="149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04" t="s">
        <v>93</v>
      </c>
      <c r="B41" s="204"/>
      <c r="C41" s="204"/>
      <c r="D41" s="204"/>
      <c r="E41" s="298"/>
      <c r="F41" s="11" t="s">
        <v>76</v>
      </c>
      <c r="G41" s="327">
        <f>'Final Work'!L4</f>
        <v>46222</v>
      </c>
      <c r="H41" s="328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.75" customHeight="1" spans="1:25" x14ac:dyDescent="0.25">
      <c r="A42" s="299"/>
      <c r="B42" s="298"/>
      <c r="C42" s="3"/>
      <c r="D42" s="3"/>
      <c r="E42" s="298"/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2.75" customHeight="1" spans="1:25" x14ac:dyDescent="0.25">
      <c r="A43" s="204" t="s">
        <v>94</v>
      </c>
      <c r="B43" s="204"/>
      <c r="C43" s="204"/>
      <c r="D43" s="3"/>
      <c r="E43" s="3" t="s">
        <v>78</v>
      </c>
      <c r="F43" s="11" t="s">
        <v>79</v>
      </c>
      <c r="G43" s="298" t="s">
        <v>25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 spans="1:25" x14ac:dyDescent="0.25">
      <c r="A44" s="298" t="s">
        <v>78</v>
      </c>
      <c r="B44" s="298"/>
      <c r="C44" s="3"/>
      <c r="D44" s="3"/>
      <c r="E44" s="3"/>
      <c r="F44" s="149"/>
      <c r="G44" s="3"/>
      <c r="H44" s="298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30.75" customHeight="1" spans="1:25" x14ac:dyDescent="0.25">
      <c r="A45" s="3"/>
      <c r="B45" s="3"/>
      <c r="C45" s="300" t="s">
        <v>80</v>
      </c>
      <c r="D45" s="301"/>
      <c r="E45" s="301"/>
      <c r="F45" s="301"/>
      <c r="G45" s="302"/>
      <c r="H45" s="329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7.25" customHeight="1" spans="1:25" x14ac:dyDescent="0.25">
      <c r="A46" s="3"/>
      <c r="B46" s="3"/>
      <c r="C46" s="3"/>
      <c r="D46" s="3"/>
      <c r="E46" s="3"/>
      <c r="F46" s="3"/>
      <c r="G46" s="3"/>
      <c r="H46" s="189" t="s">
        <v>95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1.95" customHeight="1" spans="1:25" x14ac:dyDescent="0.25">
      <c r="A47" s="303" t="s">
        <v>82</v>
      </c>
      <c r="B47" s="304"/>
      <c r="C47" s="305"/>
      <c r="D47" s="306" t="s">
        <v>83</v>
      </c>
      <c r="E47" s="303" t="s">
        <v>84</v>
      </c>
      <c r="F47" s="305"/>
      <c r="G47" s="307" t="s">
        <v>85</v>
      </c>
      <c r="H47" s="307" t="s">
        <v>49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21.95" customHeight="1" spans="1:25" x14ac:dyDescent="0.25">
      <c r="A48" s="158" t="s">
        <v>86</v>
      </c>
      <c r="B48" s="159"/>
      <c r="C48" s="308" t="s">
        <v>87</v>
      </c>
      <c r="D48" s="309"/>
      <c r="E48" s="308" t="s">
        <v>86</v>
      </c>
      <c r="F48" s="308" t="s">
        <v>87</v>
      </c>
      <c r="G48" s="32"/>
      <c r="H48" s="3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21.95" customHeight="1" spans="1:25" x14ac:dyDescent="0.25">
      <c r="A49" s="310"/>
      <c r="B49" s="310"/>
      <c r="C49" s="311"/>
      <c r="D49" s="53"/>
      <c r="E49" s="53"/>
      <c r="F49" s="50"/>
      <c r="G49" s="50"/>
      <c r="H49" s="50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21.95" customHeight="1" spans="1:25" x14ac:dyDescent="0.25">
      <c r="A50" s="312"/>
      <c r="B50" s="312"/>
      <c r="C50" s="312"/>
      <c r="D50" s="226"/>
      <c r="E50" s="226"/>
      <c r="F50" s="313"/>
      <c r="G50" s="313"/>
      <c r="H50" s="31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21.95" customHeight="1" spans="1:25" x14ac:dyDescent="0.25">
      <c r="A51" s="312"/>
      <c r="B51" s="312"/>
      <c r="C51" s="312"/>
      <c r="D51" s="226"/>
      <c r="E51" s="226"/>
      <c r="F51" s="313"/>
      <c r="G51" s="313"/>
      <c r="H51" s="31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21.95" customHeight="1" spans="1:25" x14ac:dyDescent="0.25">
      <c r="A52" s="312"/>
      <c r="B52" s="312"/>
      <c r="C52" s="312"/>
      <c r="D52" s="226"/>
      <c r="E52" s="226"/>
      <c r="F52" s="313"/>
      <c r="G52" s="313"/>
      <c r="H52" s="31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21.95" customHeight="1" spans="1:25" x14ac:dyDescent="0.25">
      <c r="A53" s="314"/>
      <c r="B53" s="314"/>
      <c r="C53" s="314"/>
      <c r="D53" s="330"/>
      <c r="E53" s="315"/>
      <c r="F53" s="316"/>
      <c r="G53" s="315"/>
      <c r="H53" s="114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21.95" customHeight="1" spans="1:25" x14ac:dyDescent="0.25">
      <c r="A54" s="311"/>
      <c r="B54" s="311"/>
      <c r="C54" s="311"/>
      <c r="D54" s="53"/>
      <c r="E54" s="53"/>
      <c r="F54" s="317"/>
      <c r="G54" s="53"/>
      <c r="H54" s="50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21.95" customHeight="1" spans="1:25" x14ac:dyDescent="0.25">
      <c r="A55" s="312"/>
      <c r="B55" s="312"/>
      <c r="C55" s="312"/>
      <c r="D55" s="226"/>
      <c r="E55" s="226"/>
      <c r="F55" s="318"/>
      <c r="G55" s="226"/>
      <c r="H55" s="31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21.95" customHeight="1" spans="1:25" x14ac:dyDescent="0.25">
      <c r="A56" s="312"/>
      <c r="B56" s="312"/>
      <c r="C56" s="312"/>
      <c r="D56" s="226"/>
      <c r="E56" s="226"/>
      <c r="F56" s="318"/>
      <c r="G56" s="226"/>
      <c r="H56" s="31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21.95" customHeight="1" spans="1:25" x14ac:dyDescent="0.25">
      <c r="A57" s="312"/>
      <c r="B57" s="312"/>
      <c r="C57" s="312"/>
      <c r="D57" s="226"/>
      <c r="E57" s="226"/>
      <c r="F57" s="318"/>
      <c r="G57" s="226"/>
      <c r="H57" s="31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21.95" customHeight="1" spans="1:25" x14ac:dyDescent="0.25">
      <c r="A58" s="314"/>
      <c r="B58" s="314"/>
      <c r="C58" s="314"/>
      <c r="D58" s="330"/>
      <c r="E58" s="315"/>
      <c r="F58" s="114"/>
      <c r="G58" s="315"/>
      <c r="H58" s="114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21.95" customHeight="1" spans="1:25" x14ac:dyDescent="0.25">
      <c r="A59" s="311"/>
      <c r="B59" s="311"/>
      <c r="C59" s="311"/>
      <c r="D59" s="53"/>
      <c r="E59" s="53"/>
      <c r="F59" s="50"/>
      <c r="G59" s="53"/>
      <c r="H59" s="50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21.95" customHeight="1" spans="1:25" x14ac:dyDescent="0.25">
      <c r="A60" s="312"/>
      <c r="B60" s="312"/>
      <c r="C60" s="312"/>
      <c r="D60" s="226"/>
      <c r="E60" s="226"/>
      <c r="F60" s="313"/>
      <c r="G60" s="226"/>
      <c r="H60" s="31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21.95" customHeight="1" spans="1:25" x14ac:dyDescent="0.25">
      <c r="A61" s="226"/>
      <c r="B61" s="226"/>
      <c r="C61" s="331"/>
      <c r="D61" s="226"/>
      <c r="E61" s="226"/>
      <c r="F61" s="226"/>
      <c r="G61" s="226"/>
      <c r="H61" s="31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21.95" customHeight="1" spans="1:25" x14ac:dyDescent="0.25">
      <c r="A62" s="226"/>
      <c r="B62" s="226"/>
      <c r="C62" s="331"/>
      <c r="D62" s="226"/>
      <c r="E62" s="226"/>
      <c r="F62" s="226"/>
      <c r="G62" s="226"/>
      <c r="H62" s="31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21.95" customHeight="1" spans="1:25" x14ac:dyDescent="0.25">
      <c r="A63" s="332"/>
      <c r="B63" s="332"/>
      <c r="C63" s="333"/>
      <c r="D63" s="315"/>
      <c r="E63" s="332"/>
      <c r="F63" s="332"/>
      <c r="G63" s="332"/>
      <c r="H63" s="33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21.95" customHeight="1" spans="1:25" x14ac:dyDescent="0.25">
      <c r="A64" s="334"/>
      <c r="B64" s="334"/>
      <c r="C64" s="335"/>
      <c r="D64" s="28"/>
      <c r="E64" s="334"/>
      <c r="F64" s="334"/>
      <c r="G64" s="334"/>
      <c r="H64" s="334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21.95" customHeight="1" spans="1:25" x14ac:dyDescent="0.25">
      <c r="A65" s="336"/>
      <c r="B65" s="336"/>
      <c r="C65" s="337"/>
      <c r="D65" s="226"/>
      <c r="E65" s="336"/>
      <c r="F65" s="336"/>
      <c r="G65" s="336"/>
      <c r="H65" s="33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21.95" customHeight="1" spans="1:25" x14ac:dyDescent="0.25">
      <c r="A66" s="311"/>
      <c r="B66" s="311"/>
      <c r="C66" s="337"/>
      <c r="D66" s="226"/>
      <c r="E66" s="336"/>
      <c r="F66" s="336"/>
      <c r="G66" s="336"/>
      <c r="H66" s="33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21.95" customHeight="1" spans="1:25" x14ac:dyDescent="0.25">
      <c r="A67" s="336"/>
      <c r="B67" s="336"/>
      <c r="C67" s="337"/>
      <c r="D67" s="336"/>
      <c r="E67" s="336"/>
      <c r="F67" s="336"/>
      <c r="G67" s="336"/>
      <c r="H67" s="33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21.95" customHeight="1" spans="1:25" x14ac:dyDescent="0.25">
      <c r="A68" s="336"/>
      <c r="B68" s="336"/>
      <c r="C68" s="337"/>
      <c r="D68" s="336"/>
      <c r="E68" s="336"/>
      <c r="F68" s="337"/>
      <c r="G68" s="336"/>
      <c r="H68" s="33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9" customHeight="1" spans="1:25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23.1" customHeight="1" spans="1:25" x14ac:dyDescent="0.25">
      <c r="A70" s="209" t="s">
        <v>88</v>
      </c>
      <c r="B70" s="206" t="s">
        <v>89</v>
      </c>
      <c r="C70" s="22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23.1" customHeight="1" spans="1:25" x14ac:dyDescent="0.25">
      <c r="A71" s="326"/>
      <c r="B71" s="206" t="s">
        <v>90</v>
      </c>
      <c r="C71" s="22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23.1" customHeight="1" spans="1:25" x14ac:dyDescent="0.25">
      <c r="A72" s="209" t="s">
        <v>91</v>
      </c>
      <c r="B72" s="206" t="s">
        <v>89</v>
      </c>
      <c r="C72" s="22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23.1" customHeight="1" spans="1:25" x14ac:dyDescent="0.25">
      <c r="A73" s="213"/>
      <c r="B73" s="210" t="s">
        <v>90</v>
      </c>
      <c r="C73" s="35"/>
      <c r="D73" s="3"/>
      <c r="E73" s="3"/>
      <c r="F73" s="3"/>
      <c r="G73" s="199"/>
      <c r="H73" s="199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23.1" customHeight="1" spans="1:25" x14ac:dyDescent="0.25">
      <c r="A74" s="281" t="s">
        <v>92</v>
      </c>
      <c r="B74" s="282"/>
      <c r="C74" s="226">
        <f>SUM(C70:C73)</f>
        <v>0</v>
      </c>
      <c r="D74" s="3"/>
      <c r="E74" s="3"/>
      <c r="F74" s="3"/>
      <c r="G74" s="200" t="s">
        <v>22</v>
      </c>
      <c r="H74" s="20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</sheetData>
  <mergeCells count="52">
    <mergeCell ref="A1:H1"/>
    <mergeCell ref="A2:H2"/>
    <mergeCell ref="A4:D4"/>
    <mergeCell ref="G4:H4"/>
    <mergeCell ref="A6:C6"/>
    <mergeCell ref="C8:G8"/>
    <mergeCell ref="A10:C10"/>
    <mergeCell ref="E10:F10"/>
    <mergeCell ref="A11:B11"/>
    <mergeCell ref="D10:D11"/>
    <mergeCell ref="G10:G11"/>
    <mergeCell ref="H10:H11"/>
    <mergeCell ref="A33:A34"/>
    <mergeCell ref="A35:A36"/>
    <mergeCell ref="A37:B37"/>
    <mergeCell ref="G37:H37"/>
    <mergeCell ref="A38:H38"/>
    <mergeCell ref="A39:H39"/>
    <mergeCell ref="A41:D41"/>
    <mergeCell ref="G41:H41"/>
    <mergeCell ref="A43:C43"/>
    <mergeCell ref="C45:G45"/>
    <mergeCell ref="A47:C47"/>
    <mergeCell ref="E47:F47"/>
    <mergeCell ref="A48:B48"/>
    <mergeCell ref="D47:D48"/>
    <mergeCell ref="G47:G48"/>
    <mergeCell ref="H47:H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70:A71"/>
    <mergeCell ref="A72:A73"/>
    <mergeCell ref="A74:B74"/>
    <mergeCell ref="G74:H74"/>
  </mergeCells>
  <printOptions horizontalCentered="1" verticalCentered="1"/>
  <pageMargins left="0.3937007874015748" right="0.3937007874015748" top="0.3937007874015748" bottom="0.3937007874015748" header="0.1968503937007874" footer="0.15748031496062992"/>
  <pageSetup paperSize="9" orientation="portrait" horizontalDpi="4294967295" verticalDpi="4294967295" scale="99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32"/>
  <sheetViews>
    <sheetView workbookViewId="0" zoomScale="90" zoomScaleNormal="90">
      <selection activeCell="A4" sqref="A4"/>
    </sheetView>
  </sheetViews>
  <sheetFormatPr defaultRowHeight="17.25" outlineLevelRow="0" outlineLevelCol="0" x14ac:dyDescent="0" customHeight="1"/>
  <cols>
    <col min="1" max="1" width="15.625" style="1" customWidth="1"/>
    <col min="2" max="2" width="9.875" style="1" customWidth="1"/>
    <col min="3" max="3" width="8.125" style="1" customWidth="1"/>
    <col min="4" max="4" width="7.625" style="1" customWidth="1"/>
    <col min="5" max="5" width="5.625" style="1" customWidth="1"/>
    <col min="6" max="7" width="9.125" style="1" customWidth="1"/>
    <col min="8" max="9" width="11.125" style="1" customWidth="1"/>
    <col min="10" max="240" width="9" style="1" customWidth="1"/>
    <col min="241" max="241" width="13.875" style="1" customWidth="1"/>
    <col min="242" max="242" width="9.875" style="1" customWidth="1"/>
    <col min="243" max="243" width="8.375" style="1" customWidth="1"/>
    <col min="244" max="244" width="8.25" style="1" customWidth="1"/>
    <col min="245" max="245" width="5.625" style="1" customWidth="1"/>
    <col min="246" max="247" width="8.375" style="1" customWidth="1"/>
    <col min="248" max="248" width="11.125" style="1" customWidth="1"/>
    <col min="249" max="249" width="11.625" style="1" customWidth="1"/>
    <col min="250" max="496" width="9" style="1" customWidth="1"/>
    <col min="497" max="497" width="13.875" style="1" customWidth="1"/>
    <col min="498" max="498" width="9.875" style="1" customWidth="1"/>
    <col min="499" max="499" width="8.375" style="1" customWidth="1"/>
    <col min="500" max="500" width="8.25" style="1" customWidth="1"/>
    <col min="501" max="501" width="5.625" style="1" customWidth="1"/>
    <col min="502" max="503" width="8.375" style="1" customWidth="1"/>
    <col min="504" max="504" width="11.125" style="1" customWidth="1"/>
    <col min="505" max="505" width="11.625" style="1" customWidth="1"/>
    <col min="506" max="752" width="9" style="1" customWidth="1"/>
    <col min="753" max="753" width="13.875" style="1" customWidth="1"/>
    <col min="754" max="754" width="9.875" style="1" customWidth="1"/>
    <col min="755" max="755" width="8.375" style="1" customWidth="1"/>
    <col min="756" max="756" width="8.25" style="1" customWidth="1"/>
    <col min="757" max="757" width="5.625" style="1" customWidth="1"/>
    <col min="758" max="759" width="8.375" style="1" customWidth="1"/>
    <col min="760" max="760" width="11.125" style="1" customWidth="1"/>
    <col min="761" max="761" width="11.625" style="1" customWidth="1"/>
    <col min="762" max="1008" width="9" style="1" customWidth="1"/>
    <col min="1009" max="1009" width="13.875" style="1" customWidth="1"/>
    <col min="1010" max="1010" width="9.875" style="1" customWidth="1"/>
    <col min="1011" max="1011" width="8.375" style="1" customWidth="1"/>
    <col min="1012" max="1012" width="8.25" style="1" customWidth="1"/>
    <col min="1013" max="1013" width="5.625" style="1" customWidth="1"/>
    <col min="1014" max="1015" width="8.375" style="1" customWidth="1"/>
    <col min="1016" max="1016" width="11.125" style="1" customWidth="1"/>
    <col min="1017" max="1017" width="11.625" style="1" customWidth="1"/>
    <col min="1018" max="1264" width="9" style="1" customWidth="1"/>
    <col min="1265" max="1265" width="13.875" style="1" customWidth="1"/>
    <col min="1266" max="1266" width="9.875" style="1" customWidth="1"/>
    <col min="1267" max="1267" width="8.375" style="1" customWidth="1"/>
    <col min="1268" max="1268" width="8.25" style="1" customWidth="1"/>
    <col min="1269" max="1269" width="5.625" style="1" customWidth="1"/>
    <col min="1270" max="1271" width="8.375" style="1" customWidth="1"/>
    <col min="1272" max="1272" width="11.125" style="1" customWidth="1"/>
    <col min="1273" max="1273" width="11.625" style="1" customWidth="1"/>
    <col min="1274" max="1520" width="9" style="1" customWidth="1"/>
    <col min="1521" max="1521" width="13.875" style="1" customWidth="1"/>
    <col min="1522" max="1522" width="9.875" style="1" customWidth="1"/>
    <col min="1523" max="1523" width="8.375" style="1" customWidth="1"/>
    <col min="1524" max="1524" width="8.25" style="1" customWidth="1"/>
    <col min="1525" max="1525" width="5.625" style="1" customWidth="1"/>
    <col min="1526" max="1527" width="8.375" style="1" customWidth="1"/>
    <col min="1528" max="1528" width="11.125" style="1" customWidth="1"/>
    <col min="1529" max="1529" width="11.625" style="1" customWidth="1"/>
    <col min="1530" max="1776" width="9" style="1" customWidth="1"/>
    <col min="1777" max="1777" width="13.875" style="1" customWidth="1"/>
    <col min="1778" max="1778" width="9.875" style="1" customWidth="1"/>
    <col min="1779" max="1779" width="8.375" style="1" customWidth="1"/>
    <col min="1780" max="1780" width="8.25" style="1" customWidth="1"/>
    <col min="1781" max="1781" width="5.625" style="1" customWidth="1"/>
    <col min="1782" max="1783" width="8.375" style="1" customWidth="1"/>
    <col min="1784" max="1784" width="11.125" style="1" customWidth="1"/>
    <col min="1785" max="1785" width="11.625" style="1" customWidth="1"/>
    <col min="1786" max="2032" width="9" style="1" customWidth="1"/>
    <col min="2033" max="2033" width="13.875" style="1" customWidth="1"/>
    <col min="2034" max="2034" width="9.875" style="1" customWidth="1"/>
    <col min="2035" max="2035" width="8.375" style="1" customWidth="1"/>
    <col min="2036" max="2036" width="8.25" style="1" customWidth="1"/>
    <col min="2037" max="2037" width="5.625" style="1" customWidth="1"/>
    <col min="2038" max="2039" width="8.375" style="1" customWidth="1"/>
    <col min="2040" max="2040" width="11.125" style="1" customWidth="1"/>
    <col min="2041" max="2041" width="11.625" style="1" customWidth="1"/>
    <col min="2042" max="2288" width="9" style="1" customWidth="1"/>
    <col min="2289" max="2289" width="13.875" style="1" customWidth="1"/>
    <col min="2290" max="2290" width="9.875" style="1" customWidth="1"/>
    <col min="2291" max="2291" width="8.375" style="1" customWidth="1"/>
    <col min="2292" max="2292" width="8.25" style="1" customWidth="1"/>
    <col min="2293" max="2293" width="5.625" style="1" customWidth="1"/>
    <col min="2294" max="2295" width="8.375" style="1" customWidth="1"/>
    <col min="2296" max="2296" width="11.125" style="1" customWidth="1"/>
    <col min="2297" max="2297" width="11.625" style="1" customWidth="1"/>
    <col min="2298" max="2544" width="9" style="1" customWidth="1"/>
    <col min="2545" max="2545" width="13.875" style="1" customWidth="1"/>
    <col min="2546" max="2546" width="9.875" style="1" customWidth="1"/>
    <col min="2547" max="2547" width="8.375" style="1" customWidth="1"/>
    <col min="2548" max="2548" width="8.25" style="1" customWidth="1"/>
    <col min="2549" max="2549" width="5.625" style="1" customWidth="1"/>
    <col min="2550" max="2551" width="8.375" style="1" customWidth="1"/>
    <col min="2552" max="2552" width="11.125" style="1" customWidth="1"/>
    <col min="2553" max="2553" width="11.625" style="1" customWidth="1"/>
    <col min="2554" max="2800" width="9" style="1" customWidth="1"/>
    <col min="2801" max="2801" width="13.875" style="1" customWidth="1"/>
    <col min="2802" max="2802" width="9.875" style="1" customWidth="1"/>
    <col min="2803" max="2803" width="8.375" style="1" customWidth="1"/>
    <col min="2804" max="2804" width="8.25" style="1" customWidth="1"/>
    <col min="2805" max="2805" width="5.625" style="1" customWidth="1"/>
    <col min="2806" max="2807" width="8.375" style="1" customWidth="1"/>
    <col min="2808" max="2808" width="11.125" style="1" customWidth="1"/>
    <col min="2809" max="2809" width="11.625" style="1" customWidth="1"/>
    <col min="2810" max="3056" width="9" style="1" customWidth="1"/>
    <col min="3057" max="3057" width="13.875" style="1" customWidth="1"/>
    <col min="3058" max="3058" width="9.875" style="1" customWidth="1"/>
    <col min="3059" max="3059" width="8.375" style="1" customWidth="1"/>
    <col min="3060" max="3060" width="8.25" style="1" customWidth="1"/>
    <col min="3061" max="3061" width="5.625" style="1" customWidth="1"/>
    <col min="3062" max="3063" width="8.375" style="1" customWidth="1"/>
    <col min="3064" max="3064" width="11.125" style="1" customWidth="1"/>
    <col min="3065" max="3065" width="11.625" style="1" customWidth="1"/>
    <col min="3066" max="3312" width="9" style="1" customWidth="1"/>
    <col min="3313" max="3313" width="13.875" style="1" customWidth="1"/>
    <col min="3314" max="3314" width="9.875" style="1" customWidth="1"/>
    <col min="3315" max="3315" width="8.375" style="1" customWidth="1"/>
    <col min="3316" max="3316" width="8.25" style="1" customWidth="1"/>
    <col min="3317" max="3317" width="5.625" style="1" customWidth="1"/>
    <col min="3318" max="3319" width="8.375" style="1" customWidth="1"/>
    <col min="3320" max="3320" width="11.125" style="1" customWidth="1"/>
    <col min="3321" max="3321" width="11.625" style="1" customWidth="1"/>
    <col min="3322" max="3568" width="9" style="1" customWidth="1"/>
    <col min="3569" max="3569" width="13.875" style="1" customWidth="1"/>
    <col min="3570" max="3570" width="9.875" style="1" customWidth="1"/>
    <col min="3571" max="3571" width="8.375" style="1" customWidth="1"/>
    <col min="3572" max="3572" width="8.25" style="1" customWidth="1"/>
    <col min="3573" max="3573" width="5.625" style="1" customWidth="1"/>
    <col min="3574" max="3575" width="8.375" style="1" customWidth="1"/>
    <col min="3576" max="3576" width="11.125" style="1" customWidth="1"/>
    <col min="3577" max="3577" width="11.625" style="1" customWidth="1"/>
    <col min="3578" max="3824" width="9" style="1" customWidth="1"/>
    <col min="3825" max="3825" width="13.875" style="1" customWidth="1"/>
    <col min="3826" max="3826" width="9.875" style="1" customWidth="1"/>
    <col min="3827" max="3827" width="8.375" style="1" customWidth="1"/>
    <col min="3828" max="3828" width="8.25" style="1" customWidth="1"/>
    <col min="3829" max="3829" width="5.625" style="1" customWidth="1"/>
    <col min="3830" max="3831" width="8.375" style="1" customWidth="1"/>
    <col min="3832" max="3832" width="11.125" style="1" customWidth="1"/>
    <col min="3833" max="3833" width="11.625" style="1" customWidth="1"/>
    <col min="3834" max="4080" width="9" style="1" customWidth="1"/>
    <col min="4081" max="4081" width="13.875" style="1" customWidth="1"/>
    <col min="4082" max="4082" width="9.875" style="1" customWidth="1"/>
    <col min="4083" max="4083" width="8.375" style="1" customWidth="1"/>
    <col min="4084" max="4084" width="8.25" style="1" customWidth="1"/>
    <col min="4085" max="4085" width="5.625" style="1" customWidth="1"/>
    <col min="4086" max="4087" width="8.375" style="1" customWidth="1"/>
    <col min="4088" max="4088" width="11.125" style="1" customWidth="1"/>
    <col min="4089" max="4089" width="11.625" style="1" customWidth="1"/>
    <col min="4090" max="4336" width="9" style="1" customWidth="1"/>
    <col min="4337" max="4337" width="13.875" style="1" customWidth="1"/>
    <col min="4338" max="4338" width="9.875" style="1" customWidth="1"/>
    <col min="4339" max="4339" width="8.375" style="1" customWidth="1"/>
    <col min="4340" max="4340" width="8.25" style="1" customWidth="1"/>
    <col min="4341" max="4341" width="5.625" style="1" customWidth="1"/>
    <col min="4342" max="4343" width="8.375" style="1" customWidth="1"/>
    <col min="4344" max="4344" width="11.125" style="1" customWidth="1"/>
    <col min="4345" max="4345" width="11.625" style="1" customWidth="1"/>
    <col min="4346" max="4592" width="9" style="1" customWidth="1"/>
    <col min="4593" max="4593" width="13.875" style="1" customWidth="1"/>
    <col min="4594" max="4594" width="9.875" style="1" customWidth="1"/>
    <col min="4595" max="4595" width="8.375" style="1" customWidth="1"/>
    <col min="4596" max="4596" width="8.25" style="1" customWidth="1"/>
    <col min="4597" max="4597" width="5.625" style="1" customWidth="1"/>
    <col min="4598" max="4599" width="8.375" style="1" customWidth="1"/>
    <col min="4600" max="4600" width="11.125" style="1" customWidth="1"/>
    <col min="4601" max="4601" width="11.625" style="1" customWidth="1"/>
    <col min="4602" max="4848" width="9" style="1" customWidth="1"/>
    <col min="4849" max="4849" width="13.875" style="1" customWidth="1"/>
    <col min="4850" max="4850" width="9.875" style="1" customWidth="1"/>
    <col min="4851" max="4851" width="8.375" style="1" customWidth="1"/>
    <col min="4852" max="4852" width="8.25" style="1" customWidth="1"/>
    <col min="4853" max="4853" width="5.625" style="1" customWidth="1"/>
    <col min="4854" max="4855" width="8.375" style="1" customWidth="1"/>
    <col min="4856" max="4856" width="11.125" style="1" customWidth="1"/>
    <col min="4857" max="4857" width="11.625" style="1" customWidth="1"/>
    <col min="4858" max="5104" width="9" style="1" customWidth="1"/>
    <col min="5105" max="5105" width="13.875" style="1" customWidth="1"/>
    <col min="5106" max="5106" width="9.875" style="1" customWidth="1"/>
    <col min="5107" max="5107" width="8.375" style="1" customWidth="1"/>
    <col min="5108" max="5108" width="8.25" style="1" customWidth="1"/>
    <col min="5109" max="5109" width="5.625" style="1" customWidth="1"/>
    <col min="5110" max="5111" width="8.375" style="1" customWidth="1"/>
    <col min="5112" max="5112" width="11.125" style="1" customWidth="1"/>
    <col min="5113" max="5113" width="11.625" style="1" customWidth="1"/>
    <col min="5114" max="5360" width="9" style="1" customWidth="1"/>
    <col min="5361" max="5361" width="13.875" style="1" customWidth="1"/>
    <col min="5362" max="5362" width="9.875" style="1" customWidth="1"/>
    <col min="5363" max="5363" width="8.375" style="1" customWidth="1"/>
    <col min="5364" max="5364" width="8.25" style="1" customWidth="1"/>
    <col min="5365" max="5365" width="5.625" style="1" customWidth="1"/>
    <col min="5366" max="5367" width="8.375" style="1" customWidth="1"/>
    <col min="5368" max="5368" width="11.125" style="1" customWidth="1"/>
    <col min="5369" max="5369" width="11.625" style="1" customWidth="1"/>
    <col min="5370" max="5616" width="9" style="1" customWidth="1"/>
    <col min="5617" max="5617" width="13.875" style="1" customWidth="1"/>
    <col min="5618" max="5618" width="9.875" style="1" customWidth="1"/>
    <col min="5619" max="5619" width="8.375" style="1" customWidth="1"/>
    <col min="5620" max="5620" width="8.25" style="1" customWidth="1"/>
    <col min="5621" max="5621" width="5.625" style="1" customWidth="1"/>
    <col min="5622" max="5623" width="8.375" style="1" customWidth="1"/>
    <col min="5624" max="5624" width="11.125" style="1" customWidth="1"/>
    <col min="5625" max="5625" width="11.625" style="1" customWidth="1"/>
    <col min="5626" max="5872" width="9" style="1" customWidth="1"/>
    <col min="5873" max="5873" width="13.875" style="1" customWidth="1"/>
    <col min="5874" max="5874" width="9.875" style="1" customWidth="1"/>
    <col min="5875" max="5875" width="8.375" style="1" customWidth="1"/>
    <col min="5876" max="5876" width="8.25" style="1" customWidth="1"/>
    <col min="5877" max="5877" width="5.625" style="1" customWidth="1"/>
    <col min="5878" max="5879" width="8.375" style="1" customWidth="1"/>
    <col min="5880" max="5880" width="11.125" style="1" customWidth="1"/>
    <col min="5881" max="5881" width="11.625" style="1" customWidth="1"/>
    <col min="5882" max="6128" width="9" style="1" customWidth="1"/>
    <col min="6129" max="6129" width="13.875" style="1" customWidth="1"/>
    <col min="6130" max="6130" width="9.875" style="1" customWidth="1"/>
    <col min="6131" max="6131" width="8.375" style="1" customWidth="1"/>
    <col min="6132" max="6132" width="8.25" style="1" customWidth="1"/>
    <col min="6133" max="6133" width="5.625" style="1" customWidth="1"/>
    <col min="6134" max="6135" width="8.375" style="1" customWidth="1"/>
    <col min="6136" max="6136" width="11.125" style="1" customWidth="1"/>
    <col min="6137" max="6137" width="11.625" style="1" customWidth="1"/>
    <col min="6138" max="6384" width="9" style="1" customWidth="1"/>
    <col min="6385" max="6385" width="13.875" style="1" customWidth="1"/>
    <col min="6386" max="6386" width="9.875" style="1" customWidth="1"/>
    <col min="6387" max="6387" width="8.375" style="1" customWidth="1"/>
    <col min="6388" max="6388" width="8.25" style="1" customWidth="1"/>
    <col min="6389" max="6389" width="5.625" style="1" customWidth="1"/>
    <col min="6390" max="6391" width="8.375" style="1" customWidth="1"/>
    <col min="6392" max="6392" width="11.125" style="1" customWidth="1"/>
    <col min="6393" max="6393" width="11.625" style="1" customWidth="1"/>
    <col min="6394" max="6640" width="9" style="1" customWidth="1"/>
    <col min="6641" max="6641" width="13.875" style="1" customWidth="1"/>
    <col min="6642" max="6642" width="9.875" style="1" customWidth="1"/>
    <col min="6643" max="6643" width="8.375" style="1" customWidth="1"/>
    <col min="6644" max="6644" width="8.25" style="1" customWidth="1"/>
    <col min="6645" max="6645" width="5.625" style="1" customWidth="1"/>
    <col min="6646" max="6647" width="8.375" style="1" customWidth="1"/>
    <col min="6648" max="6648" width="11.125" style="1" customWidth="1"/>
    <col min="6649" max="6649" width="11.625" style="1" customWidth="1"/>
    <col min="6650" max="6896" width="9" style="1" customWidth="1"/>
    <col min="6897" max="6897" width="13.875" style="1" customWidth="1"/>
    <col min="6898" max="6898" width="9.875" style="1" customWidth="1"/>
    <col min="6899" max="6899" width="8.375" style="1" customWidth="1"/>
    <col min="6900" max="6900" width="8.25" style="1" customWidth="1"/>
    <col min="6901" max="6901" width="5.625" style="1" customWidth="1"/>
    <col min="6902" max="6903" width="8.375" style="1" customWidth="1"/>
    <col min="6904" max="6904" width="11.125" style="1" customWidth="1"/>
    <col min="6905" max="6905" width="11.625" style="1" customWidth="1"/>
    <col min="6906" max="7152" width="9" style="1" customWidth="1"/>
    <col min="7153" max="7153" width="13.875" style="1" customWidth="1"/>
    <col min="7154" max="7154" width="9.875" style="1" customWidth="1"/>
    <col min="7155" max="7155" width="8.375" style="1" customWidth="1"/>
    <col min="7156" max="7156" width="8.25" style="1" customWidth="1"/>
    <col min="7157" max="7157" width="5.625" style="1" customWidth="1"/>
    <col min="7158" max="7159" width="8.375" style="1" customWidth="1"/>
    <col min="7160" max="7160" width="11.125" style="1" customWidth="1"/>
    <col min="7161" max="7161" width="11.625" style="1" customWidth="1"/>
    <col min="7162" max="7408" width="9" style="1" customWidth="1"/>
    <col min="7409" max="7409" width="13.875" style="1" customWidth="1"/>
    <col min="7410" max="7410" width="9.875" style="1" customWidth="1"/>
    <col min="7411" max="7411" width="8.375" style="1" customWidth="1"/>
    <col min="7412" max="7412" width="8.25" style="1" customWidth="1"/>
    <col min="7413" max="7413" width="5.625" style="1" customWidth="1"/>
    <col min="7414" max="7415" width="8.375" style="1" customWidth="1"/>
    <col min="7416" max="7416" width="11.125" style="1" customWidth="1"/>
    <col min="7417" max="7417" width="11.625" style="1" customWidth="1"/>
    <col min="7418" max="7664" width="9" style="1" customWidth="1"/>
    <col min="7665" max="7665" width="13.875" style="1" customWidth="1"/>
    <col min="7666" max="7666" width="9.875" style="1" customWidth="1"/>
    <col min="7667" max="7667" width="8.375" style="1" customWidth="1"/>
    <col min="7668" max="7668" width="8.25" style="1" customWidth="1"/>
    <col min="7669" max="7669" width="5.625" style="1" customWidth="1"/>
    <col min="7670" max="7671" width="8.375" style="1" customWidth="1"/>
    <col min="7672" max="7672" width="11.125" style="1" customWidth="1"/>
    <col min="7673" max="7673" width="11.625" style="1" customWidth="1"/>
    <col min="7674" max="7920" width="9" style="1" customWidth="1"/>
    <col min="7921" max="7921" width="13.875" style="1" customWidth="1"/>
    <col min="7922" max="7922" width="9.875" style="1" customWidth="1"/>
    <col min="7923" max="7923" width="8.375" style="1" customWidth="1"/>
    <col min="7924" max="7924" width="8.25" style="1" customWidth="1"/>
    <col min="7925" max="7925" width="5.625" style="1" customWidth="1"/>
    <col min="7926" max="7927" width="8.375" style="1" customWidth="1"/>
    <col min="7928" max="7928" width="11.125" style="1" customWidth="1"/>
    <col min="7929" max="7929" width="11.625" style="1" customWidth="1"/>
    <col min="7930" max="8176" width="9" style="1" customWidth="1"/>
    <col min="8177" max="8177" width="13.875" style="1" customWidth="1"/>
    <col min="8178" max="8178" width="9.875" style="1" customWidth="1"/>
    <col min="8179" max="8179" width="8.375" style="1" customWidth="1"/>
    <col min="8180" max="8180" width="8.25" style="1" customWidth="1"/>
    <col min="8181" max="8181" width="5.625" style="1" customWidth="1"/>
    <col min="8182" max="8183" width="8.375" style="1" customWidth="1"/>
    <col min="8184" max="8184" width="11.125" style="1" customWidth="1"/>
    <col min="8185" max="8185" width="11.625" style="1" customWidth="1"/>
    <col min="8186" max="8432" width="9" style="1" customWidth="1"/>
    <col min="8433" max="8433" width="13.875" style="1" customWidth="1"/>
    <col min="8434" max="8434" width="9.875" style="1" customWidth="1"/>
    <col min="8435" max="8435" width="8.375" style="1" customWidth="1"/>
    <col min="8436" max="8436" width="8.25" style="1" customWidth="1"/>
    <col min="8437" max="8437" width="5.625" style="1" customWidth="1"/>
    <col min="8438" max="8439" width="8.375" style="1" customWidth="1"/>
    <col min="8440" max="8440" width="11.125" style="1" customWidth="1"/>
    <col min="8441" max="8441" width="11.625" style="1" customWidth="1"/>
    <col min="8442" max="8688" width="9" style="1" customWidth="1"/>
    <col min="8689" max="8689" width="13.875" style="1" customWidth="1"/>
    <col min="8690" max="8690" width="9.875" style="1" customWidth="1"/>
    <col min="8691" max="8691" width="8.375" style="1" customWidth="1"/>
    <col min="8692" max="8692" width="8.25" style="1" customWidth="1"/>
    <col min="8693" max="8693" width="5.625" style="1" customWidth="1"/>
    <col min="8694" max="8695" width="8.375" style="1" customWidth="1"/>
    <col min="8696" max="8696" width="11.125" style="1" customWidth="1"/>
    <col min="8697" max="8697" width="11.625" style="1" customWidth="1"/>
    <col min="8698" max="8944" width="9" style="1" customWidth="1"/>
    <col min="8945" max="8945" width="13.875" style="1" customWidth="1"/>
    <col min="8946" max="8946" width="9.875" style="1" customWidth="1"/>
    <col min="8947" max="8947" width="8.375" style="1" customWidth="1"/>
    <col min="8948" max="8948" width="8.25" style="1" customWidth="1"/>
    <col min="8949" max="8949" width="5.625" style="1" customWidth="1"/>
    <col min="8950" max="8951" width="8.375" style="1" customWidth="1"/>
    <col min="8952" max="8952" width="11.125" style="1" customWidth="1"/>
    <col min="8953" max="8953" width="11.625" style="1" customWidth="1"/>
    <col min="8954" max="9200" width="9" style="1" customWidth="1"/>
    <col min="9201" max="9201" width="13.875" style="1" customWidth="1"/>
    <col min="9202" max="9202" width="9.875" style="1" customWidth="1"/>
    <col min="9203" max="9203" width="8.375" style="1" customWidth="1"/>
    <col min="9204" max="9204" width="8.25" style="1" customWidth="1"/>
    <col min="9205" max="9205" width="5.625" style="1" customWidth="1"/>
    <col min="9206" max="9207" width="8.375" style="1" customWidth="1"/>
    <col min="9208" max="9208" width="11.125" style="1" customWidth="1"/>
    <col min="9209" max="9209" width="11.625" style="1" customWidth="1"/>
    <col min="9210" max="9456" width="9" style="1" customWidth="1"/>
    <col min="9457" max="9457" width="13.875" style="1" customWidth="1"/>
    <col min="9458" max="9458" width="9.875" style="1" customWidth="1"/>
    <col min="9459" max="9459" width="8.375" style="1" customWidth="1"/>
    <col min="9460" max="9460" width="8.25" style="1" customWidth="1"/>
    <col min="9461" max="9461" width="5.625" style="1" customWidth="1"/>
    <col min="9462" max="9463" width="8.375" style="1" customWidth="1"/>
    <col min="9464" max="9464" width="11.125" style="1" customWidth="1"/>
    <col min="9465" max="9465" width="11.625" style="1" customWidth="1"/>
    <col min="9466" max="9712" width="9" style="1" customWidth="1"/>
    <col min="9713" max="9713" width="13.875" style="1" customWidth="1"/>
    <col min="9714" max="9714" width="9.875" style="1" customWidth="1"/>
    <col min="9715" max="9715" width="8.375" style="1" customWidth="1"/>
    <col min="9716" max="9716" width="8.25" style="1" customWidth="1"/>
    <col min="9717" max="9717" width="5.625" style="1" customWidth="1"/>
    <col min="9718" max="9719" width="8.375" style="1" customWidth="1"/>
    <col min="9720" max="9720" width="11.125" style="1" customWidth="1"/>
    <col min="9721" max="9721" width="11.625" style="1" customWidth="1"/>
    <col min="9722" max="9968" width="9" style="1" customWidth="1"/>
    <col min="9969" max="9969" width="13.875" style="1" customWidth="1"/>
    <col min="9970" max="9970" width="9.875" style="1" customWidth="1"/>
    <col min="9971" max="9971" width="8.375" style="1" customWidth="1"/>
    <col min="9972" max="9972" width="8.25" style="1" customWidth="1"/>
    <col min="9973" max="9973" width="5.625" style="1" customWidth="1"/>
    <col min="9974" max="9975" width="8.375" style="1" customWidth="1"/>
    <col min="9976" max="9976" width="11.125" style="1" customWidth="1"/>
    <col min="9977" max="9977" width="11.625" style="1" customWidth="1"/>
    <col min="9978" max="10224" width="9" style="1" customWidth="1"/>
    <col min="10225" max="10225" width="13.875" style="1" customWidth="1"/>
    <col min="10226" max="10226" width="9.875" style="1" customWidth="1"/>
    <col min="10227" max="10227" width="8.375" style="1" customWidth="1"/>
    <col min="10228" max="10228" width="8.25" style="1" customWidth="1"/>
    <col min="10229" max="10229" width="5.625" style="1" customWidth="1"/>
    <col min="10230" max="10231" width="8.375" style="1" customWidth="1"/>
    <col min="10232" max="10232" width="11.125" style="1" customWidth="1"/>
    <col min="10233" max="10233" width="11.625" style="1" customWidth="1"/>
    <col min="10234" max="10480" width="9" style="1" customWidth="1"/>
    <col min="10481" max="10481" width="13.875" style="1" customWidth="1"/>
    <col min="10482" max="10482" width="9.875" style="1" customWidth="1"/>
    <col min="10483" max="10483" width="8.375" style="1" customWidth="1"/>
    <col min="10484" max="10484" width="8.25" style="1" customWidth="1"/>
    <col min="10485" max="10485" width="5.625" style="1" customWidth="1"/>
    <col min="10486" max="10487" width="8.375" style="1" customWidth="1"/>
    <col min="10488" max="10488" width="11.125" style="1" customWidth="1"/>
    <col min="10489" max="10489" width="11.625" style="1" customWidth="1"/>
    <col min="10490" max="10736" width="9" style="1" customWidth="1"/>
    <col min="10737" max="10737" width="13.875" style="1" customWidth="1"/>
    <col min="10738" max="10738" width="9.875" style="1" customWidth="1"/>
    <col min="10739" max="10739" width="8.375" style="1" customWidth="1"/>
    <col min="10740" max="10740" width="8.25" style="1" customWidth="1"/>
    <col min="10741" max="10741" width="5.625" style="1" customWidth="1"/>
    <col min="10742" max="10743" width="8.375" style="1" customWidth="1"/>
    <col min="10744" max="10744" width="11.125" style="1" customWidth="1"/>
    <col min="10745" max="10745" width="11.625" style="1" customWidth="1"/>
    <col min="10746" max="10992" width="9" style="1" customWidth="1"/>
    <col min="10993" max="10993" width="13.875" style="1" customWidth="1"/>
    <col min="10994" max="10994" width="9.875" style="1" customWidth="1"/>
    <col min="10995" max="10995" width="8.375" style="1" customWidth="1"/>
    <col min="10996" max="10996" width="8.25" style="1" customWidth="1"/>
    <col min="10997" max="10997" width="5.625" style="1" customWidth="1"/>
    <col min="10998" max="10999" width="8.375" style="1" customWidth="1"/>
    <col min="11000" max="11000" width="11.125" style="1" customWidth="1"/>
    <col min="11001" max="11001" width="11.625" style="1" customWidth="1"/>
    <col min="11002" max="11248" width="9" style="1" customWidth="1"/>
    <col min="11249" max="11249" width="13.875" style="1" customWidth="1"/>
    <col min="11250" max="11250" width="9.875" style="1" customWidth="1"/>
    <col min="11251" max="11251" width="8.375" style="1" customWidth="1"/>
    <col min="11252" max="11252" width="8.25" style="1" customWidth="1"/>
    <col min="11253" max="11253" width="5.625" style="1" customWidth="1"/>
    <col min="11254" max="11255" width="8.375" style="1" customWidth="1"/>
    <col min="11256" max="11256" width="11.125" style="1" customWidth="1"/>
    <col min="11257" max="11257" width="11.625" style="1" customWidth="1"/>
    <col min="11258" max="11504" width="9" style="1" customWidth="1"/>
    <col min="11505" max="11505" width="13.875" style="1" customWidth="1"/>
    <col min="11506" max="11506" width="9.875" style="1" customWidth="1"/>
    <col min="11507" max="11507" width="8.375" style="1" customWidth="1"/>
    <col min="11508" max="11508" width="8.25" style="1" customWidth="1"/>
    <col min="11509" max="11509" width="5.625" style="1" customWidth="1"/>
    <col min="11510" max="11511" width="8.375" style="1" customWidth="1"/>
    <col min="11512" max="11512" width="11.125" style="1" customWidth="1"/>
    <col min="11513" max="11513" width="11.625" style="1" customWidth="1"/>
    <col min="11514" max="11760" width="9" style="1" customWidth="1"/>
    <col min="11761" max="11761" width="13.875" style="1" customWidth="1"/>
    <col min="11762" max="11762" width="9.875" style="1" customWidth="1"/>
    <col min="11763" max="11763" width="8.375" style="1" customWidth="1"/>
    <col min="11764" max="11764" width="8.25" style="1" customWidth="1"/>
    <col min="11765" max="11765" width="5.625" style="1" customWidth="1"/>
    <col min="11766" max="11767" width="8.375" style="1" customWidth="1"/>
    <col min="11768" max="11768" width="11.125" style="1" customWidth="1"/>
    <col min="11769" max="11769" width="11.625" style="1" customWidth="1"/>
    <col min="11770" max="12016" width="9" style="1" customWidth="1"/>
    <col min="12017" max="12017" width="13.875" style="1" customWidth="1"/>
    <col min="12018" max="12018" width="9.875" style="1" customWidth="1"/>
    <col min="12019" max="12019" width="8.375" style="1" customWidth="1"/>
    <col min="12020" max="12020" width="8.25" style="1" customWidth="1"/>
    <col min="12021" max="12021" width="5.625" style="1" customWidth="1"/>
    <col min="12022" max="12023" width="8.375" style="1" customWidth="1"/>
    <col min="12024" max="12024" width="11.125" style="1" customWidth="1"/>
    <col min="12025" max="12025" width="11.625" style="1" customWidth="1"/>
    <col min="12026" max="12272" width="9" style="1" customWidth="1"/>
    <col min="12273" max="12273" width="13.875" style="1" customWidth="1"/>
    <col min="12274" max="12274" width="9.875" style="1" customWidth="1"/>
    <col min="12275" max="12275" width="8.375" style="1" customWidth="1"/>
    <col min="12276" max="12276" width="8.25" style="1" customWidth="1"/>
    <col min="12277" max="12277" width="5.625" style="1" customWidth="1"/>
    <col min="12278" max="12279" width="8.375" style="1" customWidth="1"/>
    <col min="12280" max="12280" width="11.125" style="1" customWidth="1"/>
    <col min="12281" max="12281" width="11.625" style="1" customWidth="1"/>
    <col min="12282" max="12528" width="9" style="1" customWidth="1"/>
    <col min="12529" max="12529" width="13.875" style="1" customWidth="1"/>
    <col min="12530" max="12530" width="9.875" style="1" customWidth="1"/>
    <col min="12531" max="12531" width="8.375" style="1" customWidth="1"/>
    <col min="12532" max="12532" width="8.25" style="1" customWidth="1"/>
    <col min="12533" max="12533" width="5.625" style="1" customWidth="1"/>
    <col min="12534" max="12535" width="8.375" style="1" customWidth="1"/>
    <col min="12536" max="12536" width="11.125" style="1" customWidth="1"/>
    <col min="12537" max="12537" width="11.625" style="1" customWidth="1"/>
    <col min="12538" max="12784" width="9" style="1" customWidth="1"/>
    <col min="12785" max="12785" width="13.875" style="1" customWidth="1"/>
    <col min="12786" max="12786" width="9.875" style="1" customWidth="1"/>
    <col min="12787" max="12787" width="8.375" style="1" customWidth="1"/>
    <col min="12788" max="12788" width="8.25" style="1" customWidth="1"/>
    <col min="12789" max="12789" width="5.625" style="1" customWidth="1"/>
    <col min="12790" max="12791" width="8.375" style="1" customWidth="1"/>
    <col min="12792" max="12792" width="11.125" style="1" customWidth="1"/>
    <col min="12793" max="12793" width="11.625" style="1" customWidth="1"/>
    <col min="12794" max="13040" width="9" style="1" customWidth="1"/>
    <col min="13041" max="13041" width="13.875" style="1" customWidth="1"/>
    <col min="13042" max="13042" width="9.875" style="1" customWidth="1"/>
    <col min="13043" max="13043" width="8.375" style="1" customWidth="1"/>
    <col min="13044" max="13044" width="8.25" style="1" customWidth="1"/>
    <col min="13045" max="13045" width="5.625" style="1" customWidth="1"/>
    <col min="13046" max="13047" width="8.375" style="1" customWidth="1"/>
    <col min="13048" max="13048" width="11.125" style="1" customWidth="1"/>
    <col min="13049" max="13049" width="11.625" style="1" customWidth="1"/>
    <col min="13050" max="13296" width="9" style="1" customWidth="1"/>
    <col min="13297" max="13297" width="13.875" style="1" customWidth="1"/>
    <col min="13298" max="13298" width="9.875" style="1" customWidth="1"/>
    <col min="13299" max="13299" width="8.375" style="1" customWidth="1"/>
    <col min="13300" max="13300" width="8.25" style="1" customWidth="1"/>
    <col min="13301" max="13301" width="5.625" style="1" customWidth="1"/>
    <col min="13302" max="13303" width="8.375" style="1" customWidth="1"/>
    <col min="13304" max="13304" width="11.125" style="1" customWidth="1"/>
    <col min="13305" max="13305" width="11.625" style="1" customWidth="1"/>
    <col min="13306" max="13552" width="9" style="1" customWidth="1"/>
    <col min="13553" max="13553" width="13.875" style="1" customWidth="1"/>
    <col min="13554" max="13554" width="9.875" style="1" customWidth="1"/>
    <col min="13555" max="13555" width="8.375" style="1" customWidth="1"/>
    <col min="13556" max="13556" width="8.25" style="1" customWidth="1"/>
    <col min="13557" max="13557" width="5.625" style="1" customWidth="1"/>
    <col min="13558" max="13559" width="8.375" style="1" customWidth="1"/>
    <col min="13560" max="13560" width="11.125" style="1" customWidth="1"/>
    <col min="13561" max="13561" width="11.625" style="1" customWidth="1"/>
    <col min="13562" max="13808" width="9" style="1" customWidth="1"/>
    <col min="13809" max="13809" width="13.875" style="1" customWidth="1"/>
    <col min="13810" max="13810" width="9.875" style="1" customWidth="1"/>
    <col min="13811" max="13811" width="8.375" style="1" customWidth="1"/>
    <col min="13812" max="13812" width="8.25" style="1" customWidth="1"/>
    <col min="13813" max="13813" width="5.625" style="1" customWidth="1"/>
    <col min="13814" max="13815" width="8.375" style="1" customWidth="1"/>
    <col min="13816" max="13816" width="11.125" style="1" customWidth="1"/>
    <col min="13817" max="13817" width="11.625" style="1" customWidth="1"/>
    <col min="13818" max="14064" width="9" style="1" customWidth="1"/>
    <col min="14065" max="14065" width="13.875" style="1" customWidth="1"/>
    <col min="14066" max="14066" width="9.875" style="1" customWidth="1"/>
    <col min="14067" max="14067" width="8.375" style="1" customWidth="1"/>
    <col min="14068" max="14068" width="8.25" style="1" customWidth="1"/>
    <col min="14069" max="14069" width="5.625" style="1" customWidth="1"/>
    <col min="14070" max="14071" width="8.375" style="1" customWidth="1"/>
    <col min="14072" max="14072" width="11.125" style="1" customWidth="1"/>
    <col min="14073" max="14073" width="11.625" style="1" customWidth="1"/>
    <col min="14074" max="14320" width="9" style="1" customWidth="1"/>
    <col min="14321" max="14321" width="13.875" style="1" customWidth="1"/>
    <col min="14322" max="14322" width="9.875" style="1" customWidth="1"/>
    <col min="14323" max="14323" width="8.375" style="1" customWidth="1"/>
    <col min="14324" max="14324" width="8.25" style="1" customWidth="1"/>
    <col min="14325" max="14325" width="5.625" style="1" customWidth="1"/>
    <col min="14326" max="14327" width="8.375" style="1" customWidth="1"/>
    <col min="14328" max="14328" width="11.125" style="1" customWidth="1"/>
    <col min="14329" max="14329" width="11.625" style="1" customWidth="1"/>
    <col min="14330" max="14576" width="9" style="1" customWidth="1"/>
    <col min="14577" max="14577" width="13.875" style="1" customWidth="1"/>
    <col min="14578" max="14578" width="9.875" style="1" customWidth="1"/>
    <col min="14579" max="14579" width="8.375" style="1" customWidth="1"/>
    <col min="14580" max="14580" width="8.25" style="1" customWidth="1"/>
    <col min="14581" max="14581" width="5.625" style="1" customWidth="1"/>
    <col min="14582" max="14583" width="8.375" style="1" customWidth="1"/>
    <col min="14584" max="14584" width="11.125" style="1" customWidth="1"/>
    <col min="14585" max="14585" width="11.625" style="1" customWidth="1"/>
    <col min="14586" max="14832" width="9" style="1" customWidth="1"/>
    <col min="14833" max="14833" width="13.875" style="1" customWidth="1"/>
    <col min="14834" max="14834" width="9.875" style="1" customWidth="1"/>
    <col min="14835" max="14835" width="8.375" style="1" customWidth="1"/>
    <col min="14836" max="14836" width="8.25" style="1" customWidth="1"/>
    <col min="14837" max="14837" width="5.625" style="1" customWidth="1"/>
    <col min="14838" max="14839" width="8.375" style="1" customWidth="1"/>
    <col min="14840" max="14840" width="11.125" style="1" customWidth="1"/>
    <col min="14841" max="14841" width="11.625" style="1" customWidth="1"/>
    <col min="14842" max="15088" width="9" style="1" customWidth="1"/>
    <col min="15089" max="15089" width="13.875" style="1" customWidth="1"/>
    <col min="15090" max="15090" width="9.875" style="1" customWidth="1"/>
    <col min="15091" max="15091" width="8.375" style="1" customWidth="1"/>
    <col min="15092" max="15092" width="8.25" style="1" customWidth="1"/>
    <col min="15093" max="15093" width="5.625" style="1" customWidth="1"/>
    <col min="15094" max="15095" width="8.375" style="1" customWidth="1"/>
    <col min="15096" max="15096" width="11.125" style="1" customWidth="1"/>
    <col min="15097" max="15097" width="11.625" style="1" customWidth="1"/>
    <col min="15098" max="15344" width="9" style="1" customWidth="1"/>
    <col min="15345" max="15345" width="13.875" style="1" customWidth="1"/>
    <col min="15346" max="15346" width="9.875" style="1" customWidth="1"/>
    <col min="15347" max="15347" width="8.375" style="1" customWidth="1"/>
    <col min="15348" max="15348" width="8.25" style="1" customWidth="1"/>
    <col min="15349" max="15349" width="5.625" style="1" customWidth="1"/>
    <col min="15350" max="15351" width="8.375" style="1" customWidth="1"/>
    <col min="15352" max="15352" width="11.125" style="1" customWidth="1"/>
    <col min="15353" max="15353" width="11.625" style="1" customWidth="1"/>
    <col min="15354" max="15600" width="9" style="1" customWidth="1"/>
    <col min="15601" max="15601" width="13.875" style="1" customWidth="1"/>
    <col min="15602" max="15602" width="9.875" style="1" customWidth="1"/>
    <col min="15603" max="15603" width="8.375" style="1" customWidth="1"/>
    <col min="15604" max="15604" width="8.25" style="1" customWidth="1"/>
    <col min="15605" max="15605" width="5.625" style="1" customWidth="1"/>
    <col min="15606" max="15607" width="8.375" style="1" customWidth="1"/>
    <col min="15608" max="15608" width="11.125" style="1" customWidth="1"/>
    <col min="15609" max="15609" width="11.625" style="1" customWidth="1"/>
    <col min="15610" max="15856" width="9" style="1" customWidth="1"/>
    <col min="15857" max="15857" width="13.875" style="1" customWidth="1"/>
    <col min="15858" max="15858" width="9.875" style="1" customWidth="1"/>
    <col min="15859" max="15859" width="8.375" style="1" customWidth="1"/>
    <col min="15860" max="15860" width="8.25" style="1" customWidth="1"/>
    <col min="15861" max="15861" width="5.625" style="1" customWidth="1"/>
    <col min="15862" max="15863" width="8.375" style="1" customWidth="1"/>
    <col min="15864" max="15864" width="11.125" style="1" customWidth="1"/>
    <col min="15865" max="15865" width="11.625" style="1" customWidth="1"/>
    <col min="15866" max="16112" width="9" style="1" customWidth="1"/>
    <col min="16113" max="16113" width="13.875" style="1" customWidth="1"/>
    <col min="16114" max="16114" width="9.875" style="1" customWidth="1"/>
    <col min="16115" max="16115" width="8.375" style="1" customWidth="1"/>
    <col min="16116" max="16116" width="8.25" style="1" customWidth="1"/>
    <col min="16117" max="16117" width="5.625" style="1" customWidth="1"/>
    <col min="16118" max="16119" width="8.375" style="1" customWidth="1"/>
    <col min="16120" max="16120" width="11.125" style="1" customWidth="1"/>
    <col min="16121" max="16121" width="11.625" style="1" customWidth="1"/>
    <col min="16122" max="16384" width="9" style="1" customWidth="1"/>
  </cols>
  <sheetData>
    <row r="1" ht="27.95" customHeight="1" spans="1:25" s="3" customFormat="1" x14ac:dyDescent="0.25">
      <c r="A1" s="338" t="s">
        <v>24</v>
      </c>
      <c r="B1" s="338"/>
      <c r="C1" s="338"/>
      <c r="D1" s="338"/>
      <c r="E1" s="338"/>
      <c r="F1" s="338"/>
      <c r="G1" s="338"/>
      <c r="H1" s="338"/>
      <c r="I1" s="338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18" customHeight="1" spans="1:25" s="3" customFormat="1" x14ac:dyDescent="0.25">
      <c r="A2" s="297" t="s">
        <v>25</v>
      </c>
      <c r="B2" s="297"/>
      <c r="C2" s="297"/>
      <c r="D2" s="297"/>
      <c r="E2" s="297"/>
      <c r="F2" s="297"/>
      <c r="G2" s="297"/>
      <c r="H2" s="297"/>
      <c r="I2" s="297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1.25" customHeight="1" spans="1:25" s="3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ht="27" customHeight="1" spans="1:25" s="3" customFormat="1" x14ac:dyDescent="0.25">
      <c r="A4" s="203" t="s">
        <v>96</v>
      </c>
      <c r="B4" s="203"/>
      <c r="C4" s="203"/>
      <c r="D4" s="203"/>
      <c r="E4" s="203"/>
      <c r="F4" s="203"/>
      <c r="G4" s="203"/>
      <c r="H4" s="203"/>
      <c r="I4" s="20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2.95" customHeight="1" spans="1:25" s="3" customFormat="1" x14ac:dyDescent="0.25">
      <c r="A5" s="189" t="s">
        <v>97</v>
      </c>
      <c r="B5" s="189"/>
      <c r="C5" s="189"/>
      <c r="D5" s="189"/>
      <c r="E5" s="189"/>
      <c r="F5" s="189"/>
      <c r="G5" s="189"/>
      <c r="H5" s="189"/>
      <c r="I5" s="189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4.25" customHeight="1" spans="1:25" s="3" customFormat="1" x14ac:dyDescent="0.25">
      <c r="A6" s="189"/>
      <c r="B6" s="189"/>
      <c r="C6" s="189"/>
      <c r="D6" s="189"/>
      <c r="E6" s="189"/>
      <c r="F6" s="189"/>
      <c r="G6" s="189"/>
      <c r="H6" s="189"/>
      <c r="I6" s="8" t="s">
        <v>98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22.5" customHeight="1" spans="1:25" s="3" customFormat="1" x14ac:dyDescent="0.25">
      <c r="A7" s="3" t="s">
        <v>99</v>
      </c>
      <c r="B7" s="3"/>
      <c r="C7" s="3"/>
      <c r="D7" s="3" t="s">
        <v>4</v>
      </c>
      <c r="E7" s="189" t="str">
        <f>'OS-IN'!H6</f>
        <v>0220E</v>
      </c>
      <c r="F7" s="189"/>
      <c r="G7" s="8" t="s">
        <v>5</v>
      </c>
      <c r="H7" s="205">
        <f>'OS-IN'!L6</f>
        <v>46222</v>
      </c>
      <c r="I7" s="189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22.5" customHeight="1" spans="1:25" s="3" customFormat="1" x14ac:dyDescent="0.25">
      <c r="A8" s="3" t="s">
        <v>100</v>
      </c>
      <c r="B8" s="3"/>
      <c r="C8" s="3"/>
      <c r="D8" s="189" t="s">
        <v>7</v>
      </c>
      <c r="E8" s="189">
        <f>'Final Work'!G6</f>
        <v>6</v>
      </c>
      <c r="F8" s="189"/>
      <c r="G8" s="8" t="s">
        <v>8</v>
      </c>
      <c r="H8" s="189" t="s">
        <v>101</v>
      </c>
      <c r="I8" s="189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9" customHeight="1" spans="1:25" s="3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21" customHeight="1" spans="1:25" s="122" customFormat="1" x14ac:dyDescent="0.25">
      <c r="A10" s="307" t="s">
        <v>102</v>
      </c>
      <c r="B10" s="339" t="s">
        <v>87</v>
      </c>
      <c r="C10" s="307" t="s">
        <v>83</v>
      </c>
      <c r="D10" s="223" t="s">
        <v>103</v>
      </c>
      <c r="E10" s="168"/>
      <c r="F10" s="226" t="s">
        <v>104</v>
      </c>
      <c r="G10" s="223"/>
      <c r="H10" s="226" t="s">
        <v>105</v>
      </c>
      <c r="I10" s="307" t="s">
        <v>49</v>
      </c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</row>
    <row r="11" ht="21" customHeight="1" spans="1:25" s="122" customFormat="1" x14ac:dyDescent="0.25">
      <c r="A11" s="32"/>
      <c r="B11" s="104"/>
      <c r="C11" s="32"/>
      <c r="D11" s="340" t="s">
        <v>106</v>
      </c>
      <c r="E11" s="341"/>
      <c r="F11" s="342" t="s">
        <v>107</v>
      </c>
      <c r="G11" s="340" t="s">
        <v>108</v>
      </c>
      <c r="H11" s="343" t="s">
        <v>109</v>
      </c>
      <c r="I11" s="3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</row>
    <row r="12" ht="20.1" customHeight="1" spans="1:25" s="40" customFormat="1" x14ac:dyDescent="0.25">
      <c r="A12" s="344"/>
      <c r="B12" s="345"/>
      <c r="C12" s="345"/>
      <c r="D12" s="53"/>
      <c r="E12" s="53"/>
      <c r="F12" s="346"/>
      <c r="G12" s="346"/>
      <c r="H12" s="347"/>
      <c r="I12" s="348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</row>
    <row r="13" ht="20.1" customHeight="1" spans="1:25" s="40" customFormat="1" x14ac:dyDescent="0.25">
      <c r="A13" s="226"/>
      <c r="B13" s="349"/>
      <c r="C13" s="349"/>
      <c r="D13" s="226"/>
      <c r="E13" s="226"/>
      <c r="F13" s="350"/>
      <c r="G13" s="350"/>
      <c r="H13" s="351"/>
      <c r="I13" s="226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</row>
    <row r="14" ht="20.1" customHeight="1" spans="1:25" s="40" customFormat="1" x14ac:dyDescent="0.25">
      <c r="A14" s="226"/>
      <c r="B14" s="349"/>
      <c r="C14" s="349"/>
      <c r="D14" s="226"/>
      <c r="E14" s="226"/>
      <c r="F14" s="350"/>
      <c r="G14" s="350"/>
      <c r="H14" s="351"/>
      <c r="I14" s="226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</row>
    <row r="15" ht="20.1" customHeight="1" spans="1:25" s="40" customFormat="1" x14ac:dyDescent="0.25">
      <c r="A15" s="226"/>
      <c r="B15" s="349"/>
      <c r="C15" s="349"/>
      <c r="D15" s="226"/>
      <c r="E15" s="226"/>
      <c r="F15" s="350"/>
      <c r="G15" s="350"/>
      <c r="H15" s="351"/>
      <c r="I15" s="226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</row>
    <row r="16" ht="20.1" customHeight="1" spans="1:25" s="40" customFormat="1" x14ac:dyDescent="0.25">
      <c r="A16" s="315"/>
      <c r="B16" s="352"/>
      <c r="C16" s="352"/>
      <c r="D16" s="315"/>
      <c r="E16" s="315"/>
      <c r="F16" s="353"/>
      <c r="G16" s="353"/>
      <c r="H16" s="354"/>
      <c r="I16" s="315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</row>
    <row r="17" ht="20.1" customHeight="1" spans="1:25" s="40" customFormat="1" x14ac:dyDescent="0.25">
      <c r="A17" s="53"/>
      <c r="B17" s="345"/>
      <c r="C17" s="345"/>
      <c r="D17" s="53"/>
      <c r="E17" s="53"/>
      <c r="F17" s="346"/>
      <c r="G17" s="346"/>
      <c r="H17" s="347"/>
      <c r="I17" s="53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</row>
    <row r="18" ht="20.1" customHeight="1" spans="1:25" s="40" customFormat="1" x14ac:dyDescent="0.25">
      <c r="A18" s="226"/>
      <c r="B18" s="349"/>
      <c r="C18" s="349"/>
      <c r="D18" s="226"/>
      <c r="E18" s="226"/>
      <c r="F18" s="350"/>
      <c r="G18" s="350"/>
      <c r="H18" s="351"/>
      <c r="I18" s="226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</row>
    <row r="19" ht="20.1" customHeight="1" spans="1:25" s="40" customFormat="1" x14ac:dyDescent="0.25">
      <c r="A19" s="226"/>
      <c r="B19" s="349"/>
      <c r="C19" s="349"/>
      <c r="D19" s="226"/>
      <c r="E19" s="226"/>
      <c r="F19" s="350"/>
      <c r="G19" s="350"/>
      <c r="H19" s="351"/>
      <c r="I19" s="226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</row>
    <row r="20" ht="20.1" customHeight="1" spans="1:25" s="40" customFormat="1" x14ac:dyDescent="0.25">
      <c r="A20" s="226"/>
      <c r="B20" s="349"/>
      <c r="C20" s="349"/>
      <c r="D20" s="226"/>
      <c r="E20" s="226"/>
      <c r="F20" s="350"/>
      <c r="G20" s="350"/>
      <c r="H20" s="351"/>
      <c r="I20" s="226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</row>
    <row r="21" ht="20.1" customHeight="1" spans="1:25" s="40" customFormat="1" x14ac:dyDescent="0.25">
      <c r="A21" s="315"/>
      <c r="B21" s="352"/>
      <c r="C21" s="352"/>
      <c r="D21" s="315"/>
      <c r="E21" s="315"/>
      <c r="F21" s="353"/>
      <c r="G21" s="353"/>
      <c r="H21" s="354"/>
      <c r="I21" s="315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</row>
    <row r="22" ht="20.1" customHeight="1" spans="1:25" s="40" customFormat="1" x14ac:dyDescent="0.25">
      <c r="A22" s="53"/>
      <c r="B22" s="345"/>
      <c r="C22" s="345"/>
      <c r="D22" s="53"/>
      <c r="E22" s="53"/>
      <c r="F22" s="346"/>
      <c r="G22" s="346"/>
      <c r="H22" s="347"/>
      <c r="I22" s="53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</row>
    <row r="23" ht="20.1" customHeight="1" spans="1:25" s="40" customFormat="1" x14ac:dyDescent="0.25">
      <c r="A23" s="226"/>
      <c r="B23" s="349"/>
      <c r="C23" s="349"/>
      <c r="D23" s="226"/>
      <c r="E23" s="226"/>
      <c r="F23" s="350"/>
      <c r="G23" s="350"/>
      <c r="H23" s="351"/>
      <c r="I23" s="226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</row>
    <row r="24" ht="20.1" customHeight="1" spans="1:25" s="40" customFormat="1" x14ac:dyDescent="0.25">
      <c r="A24" s="226"/>
      <c r="B24" s="349"/>
      <c r="C24" s="349"/>
      <c r="D24" s="226"/>
      <c r="E24" s="226"/>
      <c r="F24" s="350"/>
      <c r="G24" s="350"/>
      <c r="H24" s="351"/>
      <c r="I24" s="226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</row>
    <row r="25" ht="20.1" customHeight="1" spans="1:25" s="40" customFormat="1" x14ac:dyDescent="0.25">
      <c r="A25" s="355"/>
      <c r="B25" s="349"/>
      <c r="C25" s="349"/>
      <c r="D25" s="226"/>
      <c r="E25" s="226"/>
      <c r="F25" s="350"/>
      <c r="G25" s="350"/>
      <c r="H25" s="351"/>
      <c r="I25" s="356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</row>
    <row r="26" ht="20.1" customHeight="1" spans="1:25" s="40" customFormat="1" x14ac:dyDescent="0.25">
      <c r="A26" s="357"/>
      <c r="B26" s="352"/>
      <c r="C26" s="352"/>
      <c r="D26" s="315"/>
      <c r="E26" s="315"/>
      <c r="F26" s="353"/>
      <c r="G26" s="353"/>
      <c r="H26" s="358"/>
      <c r="I26" s="359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</row>
    <row r="27" ht="20.1" customHeight="1" spans="1:25" s="40" customFormat="1" x14ac:dyDescent="0.25">
      <c r="A27" s="360"/>
      <c r="B27" s="345"/>
      <c r="C27" s="345"/>
      <c r="D27" s="53"/>
      <c r="E27" s="53"/>
      <c r="F27" s="346"/>
      <c r="G27" s="346"/>
      <c r="H27" s="361"/>
      <c r="I27" s="348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</row>
    <row r="28" ht="20.1" customHeight="1" spans="1:25" s="40" customFormat="1" x14ac:dyDescent="0.25">
      <c r="A28" s="355"/>
      <c r="B28" s="349"/>
      <c r="C28" s="349"/>
      <c r="D28" s="226"/>
      <c r="E28" s="226"/>
      <c r="F28" s="350"/>
      <c r="G28" s="350"/>
      <c r="H28" s="351"/>
      <c r="I28" s="356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</row>
    <row r="29" ht="20.1" customHeight="1" spans="1:25" s="40" customFormat="1" x14ac:dyDescent="0.25">
      <c r="A29" s="355"/>
      <c r="B29" s="349"/>
      <c r="C29" s="349"/>
      <c r="D29" s="226"/>
      <c r="E29" s="226"/>
      <c r="F29" s="350"/>
      <c r="G29" s="350"/>
      <c r="H29" s="351"/>
      <c r="I29" s="356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</row>
    <row r="30" ht="20.1" customHeight="1" spans="1:25" s="40" customFormat="1" x14ac:dyDescent="0.25">
      <c r="A30" s="355"/>
      <c r="B30" s="349"/>
      <c r="C30" s="349"/>
      <c r="D30" s="226"/>
      <c r="E30" s="226"/>
      <c r="F30" s="350"/>
      <c r="G30" s="350"/>
      <c r="H30" s="351"/>
      <c r="I30" s="356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</row>
    <row r="31" ht="20.1" customHeight="1" spans="1:25" s="40" customFormat="1" x14ac:dyDescent="0.25">
      <c r="A31" s="355"/>
      <c r="B31" s="349"/>
      <c r="C31" s="349"/>
      <c r="D31" s="226"/>
      <c r="E31" s="226"/>
      <c r="F31" s="350"/>
      <c r="G31" s="350"/>
      <c r="H31" s="351"/>
      <c r="I31" s="356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</row>
    <row r="32" ht="6.95" customHeight="1" spans="1:25" s="3" customForma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" customHeight="1" spans="1:25" s="40" customFormat="1" x14ac:dyDescent="0.25">
      <c r="A33" s="40"/>
      <c r="B33" s="40"/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</row>
    <row r="34" ht="14.25" customHeight="1" spans="1:25" s="40" customFormat="1" x14ac:dyDescent="0.25">
      <c r="A34" s="40"/>
      <c r="B34" s="40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</row>
    <row r="35" ht="14.25" customHeight="1" spans="1:25" s="40" customFormat="1" x14ac:dyDescent="0.25">
      <c r="A35" s="40"/>
      <c r="B35" s="40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</row>
    <row r="36" ht="14.25" customHeight="1" spans="1:25" s="40" customFormat="1" x14ac:dyDescent="0.25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</row>
    <row r="37" ht="14.25" customHeight="1" spans="1:25" s="40" customFormat="1" x14ac:dyDescent="0.25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</row>
    <row r="38" ht="14.25" customHeight="1" spans="1:25" s="40" customFormat="1" x14ac:dyDescent="0.25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</row>
    <row r="39" ht="12" customHeight="1" spans="1:25" s="40" customFormat="1" x14ac:dyDescent="0.25">
      <c r="A39" s="40"/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</row>
    <row r="40" ht="12" customHeight="1" spans="1:25" s="40" customFormat="1" x14ac:dyDescent="0.25">
      <c r="A40" s="40"/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</row>
    <row r="41" ht="12" customHeight="1" spans="1:25" s="3" customForma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2" customHeight="1" spans="1:25" s="3" customForma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8" customHeight="1" spans="1:25" s="40" customFormat="1" x14ac:dyDescent="0.25">
      <c r="A43" s="201" t="s">
        <v>22</v>
      </c>
      <c r="B43" s="201"/>
      <c r="C43" s="40"/>
      <c r="D43" s="201" t="s">
        <v>110</v>
      </c>
      <c r="E43" s="201"/>
      <c r="F43" s="201"/>
      <c r="G43" s="40"/>
      <c r="H43" s="201" t="s">
        <v>23</v>
      </c>
      <c r="I43" s="201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</row>
    <row r="44" ht="27" customHeight="1" spans="1:25" s="3" customFormat="1" x14ac:dyDescent="0.25">
      <c r="A44" s="338" t="s">
        <v>24</v>
      </c>
      <c r="B44" s="338"/>
      <c r="C44" s="338"/>
      <c r="D44" s="338"/>
      <c r="E44" s="338"/>
      <c r="F44" s="338"/>
      <c r="G44" s="338"/>
      <c r="H44" s="338"/>
      <c r="I44" s="338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8" customHeight="1" spans="1:25" s="3" customFormat="1" x14ac:dyDescent="0.25">
      <c r="A45" s="297" t="s">
        <v>25</v>
      </c>
      <c r="B45" s="297"/>
      <c r="C45" s="297"/>
      <c r="D45" s="297"/>
      <c r="E45" s="297"/>
      <c r="F45" s="297"/>
      <c r="G45" s="297"/>
      <c r="H45" s="297"/>
      <c r="I45" s="297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1.25" customHeight="1" spans="1:25" s="3" customForma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26.25" customHeight="1" spans="1:25" x14ac:dyDescent="0.25">
      <c r="A47" s="203" t="s">
        <v>96</v>
      </c>
      <c r="B47" s="203"/>
      <c r="C47" s="203"/>
      <c r="D47" s="203"/>
      <c r="E47" s="203"/>
      <c r="F47" s="203"/>
      <c r="G47" s="203"/>
      <c r="H47" s="203"/>
      <c r="I47" s="203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12.95" customHeight="1" spans="1:25" x14ac:dyDescent="0.25">
      <c r="A48" s="189" t="s">
        <v>97</v>
      </c>
      <c r="B48" s="189"/>
      <c r="C48" s="189"/>
      <c r="D48" s="189"/>
      <c r="E48" s="189"/>
      <c r="F48" s="189"/>
      <c r="G48" s="189"/>
      <c r="H48" s="189"/>
      <c r="I48" s="18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14.25" customHeight="1" spans="1:25" x14ac:dyDescent="0.25">
      <c r="A49" s="189"/>
      <c r="B49" s="189"/>
      <c r="C49" s="189"/>
      <c r="D49" s="189"/>
      <c r="E49" s="189"/>
      <c r="F49" s="189"/>
      <c r="G49" s="189"/>
      <c r="H49" s="189"/>
      <c r="I49" s="8" t="s">
        <v>98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2.5" customHeight="1" spans="1:25" x14ac:dyDescent="0.25">
      <c r="A50" s="3" t="s">
        <v>99</v>
      </c>
      <c r="B50" s="3"/>
      <c r="C50" s="3"/>
      <c r="D50" s="3" t="s">
        <v>4</v>
      </c>
      <c r="E50" s="189" t="str">
        <f>'OS-OUT'!H6</f>
        <v>0221W</v>
      </c>
      <c r="F50" s="189"/>
      <c r="G50" s="8" t="s">
        <v>5</v>
      </c>
      <c r="H50" s="205">
        <f>'Final Work'!L4</f>
        <v>46222</v>
      </c>
      <c r="I50" s="18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2.5" customHeight="1" spans="1:25" x14ac:dyDescent="0.25">
      <c r="A51" s="3" t="s">
        <v>100</v>
      </c>
      <c r="B51" s="3"/>
      <c r="C51" s="3"/>
      <c r="D51" s="189" t="s">
        <v>7</v>
      </c>
      <c r="E51" s="189">
        <f>'Final Work'!G6</f>
        <v>6</v>
      </c>
      <c r="F51" s="189"/>
      <c r="G51" s="8" t="s">
        <v>8</v>
      </c>
      <c r="H51" s="189" t="s">
        <v>101</v>
      </c>
      <c r="I51" s="189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9" customHeight="1" spans="1:25" x14ac:dyDescent="0.25">
      <c r="A52" s="3"/>
      <c r="B52" s="3"/>
      <c r="C52" s="3"/>
      <c r="D52" s="3"/>
      <c r="E52" s="3"/>
      <c r="F52" s="3"/>
      <c r="G52" s="3"/>
      <c r="H52" s="3"/>
      <c r="I52" s="3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1" customHeight="1" spans="1:25" x14ac:dyDescent="0.25">
      <c r="A53" s="307" t="s">
        <v>102</v>
      </c>
      <c r="B53" s="307" t="s">
        <v>87</v>
      </c>
      <c r="C53" s="307" t="s">
        <v>83</v>
      </c>
      <c r="D53" s="223" t="s">
        <v>103</v>
      </c>
      <c r="E53" s="168"/>
      <c r="F53" s="223" t="s">
        <v>104</v>
      </c>
      <c r="G53" s="168"/>
      <c r="H53" s="226" t="s">
        <v>105</v>
      </c>
      <c r="I53" s="307" t="s">
        <v>49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1" customHeight="1" spans="1:25" x14ac:dyDescent="0.25">
      <c r="A54" s="32"/>
      <c r="B54" s="32"/>
      <c r="C54" s="32"/>
      <c r="D54" s="340" t="s">
        <v>106</v>
      </c>
      <c r="E54" s="341"/>
      <c r="F54" s="342" t="s">
        <v>107</v>
      </c>
      <c r="G54" s="340" t="s">
        <v>108</v>
      </c>
      <c r="H54" s="343" t="s">
        <v>109</v>
      </c>
      <c r="I54" s="32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0.1" customHeight="1" spans="1:25" x14ac:dyDescent="0.25">
      <c r="A55" s="362" t="s">
        <v>111</v>
      </c>
      <c r="B55" s="363"/>
      <c r="C55" s="345" t="s">
        <v>112</v>
      </c>
      <c r="D55" s="53"/>
      <c r="E55" s="53"/>
      <c r="F55" s="346">
        <v>-18</v>
      </c>
      <c r="G55" s="346">
        <v>-17.2</v>
      </c>
      <c r="H55" s="347" t="s">
        <v>113</v>
      </c>
      <c r="I55" s="364" t="s">
        <v>114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0.1" customHeight="1" spans="1:25" x14ac:dyDescent="0.25">
      <c r="A56" s="365" t="s">
        <v>115</v>
      </c>
      <c r="B56" s="366"/>
      <c r="C56" s="349" t="s">
        <v>112</v>
      </c>
      <c r="D56" s="226"/>
      <c r="E56" s="226"/>
      <c r="F56" s="350">
        <v>-18</v>
      </c>
      <c r="G56" s="350">
        <v>-17.9</v>
      </c>
      <c r="H56" s="367" t="s">
        <v>116</v>
      </c>
      <c r="I56" s="368" t="s">
        <v>117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0.1" customHeight="1" spans="1:25" x14ac:dyDescent="0.25">
      <c r="A57" s="365" t="s">
        <v>118</v>
      </c>
      <c r="B57" s="366"/>
      <c r="C57" s="349" t="s">
        <v>112</v>
      </c>
      <c r="D57" s="223"/>
      <c r="E57" s="168"/>
      <c r="F57" s="350">
        <v>3</v>
      </c>
      <c r="G57" s="350">
        <v>3</v>
      </c>
      <c r="H57" s="367" t="s">
        <v>116</v>
      </c>
      <c r="I57" s="368" t="s">
        <v>117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0.1" customHeight="1" spans="1:25" x14ac:dyDescent="0.25">
      <c r="A58" s="365" t="s">
        <v>119</v>
      </c>
      <c r="B58" s="366"/>
      <c r="C58" s="349" t="s">
        <v>112</v>
      </c>
      <c r="D58" s="223"/>
      <c r="E58" s="168"/>
      <c r="F58" s="350">
        <v>-18</v>
      </c>
      <c r="G58" s="350">
        <v>-18.2</v>
      </c>
      <c r="H58" s="367" t="s">
        <v>116</v>
      </c>
      <c r="I58" s="368" t="s">
        <v>114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0.1" customHeight="1" spans="1:25" x14ac:dyDescent="0.25">
      <c r="A59" s="369" t="s">
        <v>120</v>
      </c>
      <c r="B59" s="370"/>
      <c r="C59" s="352" t="s">
        <v>112</v>
      </c>
      <c r="D59" s="371"/>
      <c r="E59" s="372"/>
      <c r="F59" s="353">
        <v>-18</v>
      </c>
      <c r="G59" s="353">
        <v>-18.3</v>
      </c>
      <c r="H59" s="373" t="s">
        <v>116</v>
      </c>
      <c r="I59" s="374" t="s">
        <v>114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0.1" customHeight="1" spans="1:25" x14ac:dyDescent="0.25">
      <c r="A60" s="375" t="s">
        <v>121</v>
      </c>
      <c r="B60" s="363"/>
      <c r="C60" s="345" t="s">
        <v>112</v>
      </c>
      <c r="D60" s="187"/>
      <c r="E60" s="56"/>
      <c r="F60" s="346">
        <v>-18</v>
      </c>
      <c r="G60" s="346">
        <v>-17.6</v>
      </c>
      <c r="H60" s="376" t="s">
        <v>116</v>
      </c>
      <c r="I60" s="364" t="s">
        <v>114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0.1" customHeight="1" spans="1:25" x14ac:dyDescent="0.25">
      <c r="A61" s="365" t="s">
        <v>122</v>
      </c>
      <c r="B61" s="349"/>
      <c r="C61" s="349" t="s">
        <v>112</v>
      </c>
      <c r="D61" s="223"/>
      <c r="E61" s="168"/>
      <c r="F61" s="350">
        <v>-18</v>
      </c>
      <c r="G61" s="350">
        <v>-17.9</v>
      </c>
      <c r="H61" s="367" t="s">
        <v>116</v>
      </c>
      <c r="I61" s="368" t="s">
        <v>114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0.1" customHeight="1" spans="1:25" x14ac:dyDescent="0.25">
      <c r="A62" s="365" t="s">
        <v>123</v>
      </c>
      <c r="B62" s="349"/>
      <c r="C62" s="349" t="s">
        <v>112</v>
      </c>
      <c r="D62" s="223"/>
      <c r="E62" s="168"/>
      <c r="F62" s="350">
        <v>-18</v>
      </c>
      <c r="G62" s="350">
        <v>-18.6</v>
      </c>
      <c r="H62" s="367" t="s">
        <v>116</v>
      </c>
      <c r="I62" s="368" t="s">
        <v>114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0.1" customHeight="1" spans="1:25" x14ac:dyDescent="0.25">
      <c r="A63" s="365" t="s">
        <v>124</v>
      </c>
      <c r="B63" s="349"/>
      <c r="C63" s="349" t="s">
        <v>112</v>
      </c>
      <c r="D63" s="223"/>
      <c r="E63" s="168"/>
      <c r="F63" s="350">
        <v>-18</v>
      </c>
      <c r="G63" s="350">
        <v>-18</v>
      </c>
      <c r="H63" s="367" t="s">
        <v>116</v>
      </c>
      <c r="I63" s="368" t="s">
        <v>114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0.1" customHeight="1" spans="1:25" x14ac:dyDescent="0.25">
      <c r="A64" s="377" t="s">
        <v>125</v>
      </c>
      <c r="B64" s="352"/>
      <c r="C64" s="352" t="s">
        <v>112</v>
      </c>
      <c r="D64" s="371"/>
      <c r="E64" s="372"/>
      <c r="F64" s="353">
        <v>-18</v>
      </c>
      <c r="G64" s="378">
        <v>-18.4</v>
      </c>
      <c r="H64" s="373" t="s">
        <v>116</v>
      </c>
      <c r="I64" s="374" t="s">
        <v>114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0.1" customHeight="1" spans="1:25" x14ac:dyDescent="0.25">
      <c r="A65" s="362" t="s">
        <v>126</v>
      </c>
      <c r="B65" s="345"/>
      <c r="C65" s="345" t="s">
        <v>112</v>
      </c>
      <c r="D65" s="187"/>
      <c r="E65" s="56"/>
      <c r="F65" s="346">
        <v>-18</v>
      </c>
      <c r="G65" s="379">
        <v>-18.4</v>
      </c>
      <c r="H65" s="376" t="s">
        <v>116</v>
      </c>
      <c r="I65" s="364" t="s">
        <v>114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0.1" customHeight="1" spans="1:25" x14ac:dyDescent="0.25">
      <c r="A66" s="380" t="s">
        <v>127</v>
      </c>
      <c r="B66" s="349"/>
      <c r="C66" s="349" t="s">
        <v>112</v>
      </c>
      <c r="D66" s="223"/>
      <c r="E66" s="168"/>
      <c r="F66" s="350">
        <v>-18</v>
      </c>
      <c r="G66" s="381">
        <v>-18.2</v>
      </c>
      <c r="H66" s="367" t="s">
        <v>116</v>
      </c>
      <c r="I66" s="368" t="s">
        <v>114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0.1" customHeight="1" spans="1:25" x14ac:dyDescent="0.25">
      <c r="A67" s="380" t="s">
        <v>128</v>
      </c>
      <c r="B67" s="349"/>
      <c r="C67" s="349" t="s">
        <v>112</v>
      </c>
      <c r="D67" s="223"/>
      <c r="E67" s="168"/>
      <c r="F67" s="350">
        <v>-18</v>
      </c>
      <c r="G67" s="381">
        <v>-18.1</v>
      </c>
      <c r="H67" s="367" t="s">
        <v>116</v>
      </c>
      <c r="I67" s="368" t="s">
        <v>117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0.1" customHeight="1" spans="1:25" x14ac:dyDescent="0.25">
      <c r="A68" s="349" t="s">
        <v>129</v>
      </c>
      <c r="B68" s="349"/>
      <c r="C68" s="349" t="s">
        <v>112</v>
      </c>
      <c r="D68" s="223"/>
      <c r="E68" s="168"/>
      <c r="F68" s="350">
        <v>-18</v>
      </c>
      <c r="G68" s="381">
        <v>-18.2</v>
      </c>
      <c r="H68" s="367" t="s">
        <v>116</v>
      </c>
      <c r="I68" s="349" t="s">
        <v>117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0.1" customHeight="1" spans="1:25" x14ac:dyDescent="0.25">
      <c r="A69" s="382" t="s">
        <v>130</v>
      </c>
      <c r="B69" s="382"/>
      <c r="C69" s="352" t="s">
        <v>112</v>
      </c>
      <c r="D69" s="371"/>
      <c r="E69" s="372"/>
      <c r="F69" s="353">
        <v>-18</v>
      </c>
      <c r="G69" s="383">
        <v>-18.1</v>
      </c>
      <c r="H69" s="373" t="s">
        <v>116</v>
      </c>
      <c r="I69" s="382" t="s">
        <v>117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0.1" customHeight="1" spans="1:25" x14ac:dyDescent="0.25">
      <c r="A70" s="384" t="s">
        <v>131</v>
      </c>
      <c r="B70" s="384"/>
      <c r="C70" s="345" t="s">
        <v>112</v>
      </c>
      <c r="D70" s="29"/>
      <c r="E70" s="27"/>
      <c r="F70" s="346">
        <v>-18</v>
      </c>
      <c r="G70" s="385">
        <v>-18</v>
      </c>
      <c r="H70" s="376" t="s">
        <v>116</v>
      </c>
      <c r="I70" s="384" t="s">
        <v>117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0.1" customHeight="1" spans="1:25" x14ac:dyDescent="0.25">
      <c r="A71" s="349" t="s">
        <v>132</v>
      </c>
      <c r="B71" s="349"/>
      <c r="C71" s="349" t="s">
        <v>112</v>
      </c>
      <c r="D71" s="223"/>
      <c r="E71" s="168"/>
      <c r="F71" s="350">
        <v>-18</v>
      </c>
      <c r="G71" s="381">
        <v>-17.9</v>
      </c>
      <c r="H71" s="367" t="s">
        <v>116</v>
      </c>
      <c r="I71" s="349" t="s">
        <v>117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0.1" customHeight="1" spans="1:25" x14ac:dyDescent="0.25">
      <c r="A72" s="312" t="s">
        <v>133</v>
      </c>
      <c r="B72" s="312"/>
      <c r="C72" s="349" t="s">
        <v>112</v>
      </c>
      <c r="D72" s="223"/>
      <c r="E72" s="168"/>
      <c r="F72" s="350">
        <v>-18</v>
      </c>
      <c r="G72" s="386">
        <v>-18.3</v>
      </c>
      <c r="H72" s="367" t="s">
        <v>116</v>
      </c>
      <c r="I72" s="226" t="s">
        <v>117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0.1" customHeight="1" spans="1:25" x14ac:dyDescent="0.25">
      <c r="A73" s="312"/>
      <c r="B73" s="312"/>
      <c r="C73" s="349"/>
      <c r="D73" s="223"/>
      <c r="E73" s="168"/>
      <c r="F73" s="350"/>
      <c r="G73" s="386"/>
      <c r="H73" s="367"/>
      <c r="I73" s="22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20.1" customHeight="1" spans="1:25" x14ac:dyDescent="0.25">
      <c r="A74" s="312"/>
      <c r="B74" s="312"/>
      <c r="C74" s="349"/>
      <c r="D74" s="223"/>
      <c r="E74" s="168"/>
      <c r="F74" s="350"/>
      <c r="G74" s="386"/>
      <c r="H74" s="367"/>
      <c r="I74" s="22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5.45" customHeight="1" spans="1:25" x14ac:dyDescent="0.25">
      <c r="A75" s="3"/>
      <c r="B75" s="3"/>
      <c r="C75" s="3"/>
      <c r="D75" s="3"/>
      <c r="E75" s="3"/>
      <c r="F75" s="3"/>
      <c r="G75" s="3"/>
      <c r="H75" s="3"/>
      <c r="I75" s="3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5" customHeight="1" spans="1:25" x14ac:dyDescent="0.25">
      <c r="A76" s="40" t="s">
        <v>134</v>
      </c>
      <c r="B76" s="40"/>
      <c r="C76" s="40"/>
      <c r="D76" s="40"/>
      <c r="E76" s="40"/>
      <c r="F76" s="40"/>
      <c r="G76" s="40"/>
      <c r="H76" s="40"/>
      <c r="I76" s="4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5" customHeight="1" spans="1:25" x14ac:dyDescent="0.25">
      <c r="A77" s="40" t="s">
        <v>135</v>
      </c>
      <c r="B77" s="40"/>
      <c r="C77" s="40"/>
      <c r="D77" s="40"/>
      <c r="E77" s="40"/>
      <c r="F77" s="40"/>
      <c r="G77" s="40"/>
      <c r="H77" s="40"/>
      <c r="I77" s="4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5" customHeight="1" spans="1:25" x14ac:dyDescent="0.25">
      <c r="A78" s="40" t="s">
        <v>136</v>
      </c>
      <c r="B78" s="40"/>
      <c r="C78" s="40"/>
      <c r="D78" s="40"/>
      <c r="E78" s="40"/>
      <c r="F78" s="40"/>
      <c r="G78" s="40"/>
      <c r="H78" s="40"/>
      <c r="I78" s="4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5" customHeight="1" spans="1:25" x14ac:dyDescent="0.25">
      <c r="A79" s="40" t="s">
        <v>137</v>
      </c>
      <c r="B79" s="40"/>
      <c r="C79" s="40"/>
      <c r="D79" s="40"/>
      <c r="E79" s="40"/>
      <c r="F79" s="40"/>
      <c r="G79" s="40"/>
      <c r="H79" s="40"/>
      <c r="I79" s="4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5" customHeight="1" spans="1:25" x14ac:dyDescent="0.25">
      <c r="A80" s="40" t="s">
        <v>138</v>
      </c>
      <c r="B80" s="40"/>
      <c r="C80" s="40"/>
      <c r="D80" s="40"/>
      <c r="E80" s="40"/>
      <c r="F80" s="40"/>
      <c r="G80" s="40"/>
      <c r="H80" s="40"/>
      <c r="I80" s="4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5" customHeight="1" spans="1:25" x14ac:dyDescent="0.25">
      <c r="A81" s="40" t="s">
        <v>139</v>
      </c>
      <c r="B81" s="40"/>
      <c r="C81" s="40"/>
      <c r="D81" s="40"/>
      <c r="E81" s="40"/>
      <c r="F81" s="40"/>
      <c r="G81" s="40"/>
      <c r="H81" s="40"/>
      <c r="I81" s="4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2" customHeight="1" spans="1:25" x14ac:dyDescent="0.25">
      <c r="A82" s="40"/>
      <c r="B82" s="40"/>
      <c r="C82" s="40"/>
      <c r="D82" s="40"/>
      <c r="E82" s="40"/>
      <c r="F82" s="40"/>
      <c r="G82" s="40"/>
      <c r="H82" s="40"/>
      <c r="I82" s="4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2" customHeight="1" spans="1:25" x14ac:dyDescent="0.25">
      <c r="A83" s="40"/>
      <c r="B83" s="40"/>
      <c r="C83" s="40"/>
      <c r="D83" s="40"/>
      <c r="E83" s="40"/>
      <c r="F83" s="40"/>
      <c r="G83" s="40"/>
      <c r="H83" s="40"/>
      <c r="I83" s="4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2" customHeight="1" spans="1:25" x14ac:dyDescent="0.25">
      <c r="A84" s="3"/>
      <c r="B84" s="3"/>
      <c r="C84" s="3"/>
      <c r="D84" s="3"/>
      <c r="E84" s="3"/>
      <c r="F84" s="3"/>
      <c r="G84" s="3"/>
      <c r="H84" s="3"/>
      <c r="I84" s="3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2" customHeight="1" spans="1:25" x14ac:dyDescent="0.25">
      <c r="A85" s="199"/>
      <c r="B85" s="199"/>
      <c r="C85" s="3"/>
      <c r="D85" s="199"/>
      <c r="E85" s="199"/>
      <c r="F85" s="199"/>
      <c r="G85" s="3"/>
      <c r="H85" s="199"/>
      <c r="I85" s="199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8" customHeight="1" spans="1:25" x14ac:dyDescent="0.25">
      <c r="A86" s="201" t="s">
        <v>22</v>
      </c>
      <c r="B86" s="201"/>
      <c r="C86" s="40"/>
      <c r="D86" s="201" t="s">
        <v>110</v>
      </c>
      <c r="E86" s="201"/>
      <c r="F86" s="201"/>
      <c r="G86" s="40"/>
      <c r="H86" s="201" t="s">
        <v>23</v>
      </c>
      <c r="I86" s="20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27" customHeight="1" hidden="1" spans="1:25" s="3" customFormat="1" x14ac:dyDescent="0.25">
      <c r="A87" s="338" t="s">
        <v>24</v>
      </c>
      <c r="B87" s="338"/>
      <c r="C87" s="338"/>
      <c r="D87" s="338"/>
      <c r="E87" s="338"/>
      <c r="F87" s="338"/>
      <c r="G87" s="338"/>
      <c r="H87" s="338"/>
      <c r="I87" s="338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8" customHeight="1" hidden="1" spans="1:25" s="3" customFormat="1" x14ac:dyDescent="0.25">
      <c r="A88" s="297" t="s">
        <v>25</v>
      </c>
      <c r="B88" s="297"/>
      <c r="C88" s="297"/>
      <c r="D88" s="297"/>
      <c r="E88" s="297"/>
      <c r="F88" s="297"/>
      <c r="G88" s="297"/>
      <c r="H88" s="297"/>
      <c r="I88" s="297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1.25" customHeight="1" hidden="1" spans="1:25" s="3" customForma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26.25" customHeight="1" hidden="1" spans="1:25" x14ac:dyDescent="0.25">
      <c r="A90" s="203" t="s">
        <v>96</v>
      </c>
      <c r="B90" s="203"/>
      <c r="C90" s="203"/>
      <c r="D90" s="203"/>
      <c r="E90" s="203"/>
      <c r="F90" s="203"/>
      <c r="G90" s="203"/>
      <c r="H90" s="203"/>
      <c r="I90" s="203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2.95" customHeight="1" hidden="1" spans="1:25" x14ac:dyDescent="0.25">
      <c r="A91" s="189" t="s">
        <v>97</v>
      </c>
      <c r="B91" s="189"/>
      <c r="C91" s="189"/>
      <c r="D91" s="189"/>
      <c r="E91" s="189"/>
      <c r="F91" s="189"/>
      <c r="G91" s="189"/>
      <c r="H91" s="189"/>
      <c r="I91" s="189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4.25" customHeight="1" hidden="1" spans="1:25" x14ac:dyDescent="0.25">
      <c r="A92" s="189"/>
      <c r="B92" s="189"/>
      <c r="C92" s="189"/>
      <c r="D92" s="189"/>
      <c r="E92" s="189"/>
      <c r="F92" s="189"/>
      <c r="G92" s="189"/>
      <c r="H92" s="189"/>
      <c r="I92" s="8" t="s">
        <v>140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22.5" customHeight="1" hidden="1" spans="1:25" x14ac:dyDescent="0.25">
      <c r="A93" s="3" t="s">
        <v>99</v>
      </c>
      <c r="B93" s="3"/>
      <c r="C93" s="3"/>
      <c r="D93" s="3" t="s">
        <v>4</v>
      </c>
      <c r="E93" s="189" t="str">
        <f>E50</f>
        <v>0221W</v>
      </c>
      <c r="F93" s="189"/>
      <c r="G93" s="8" t="s">
        <v>5</v>
      </c>
      <c r="H93" s="205">
        <f>H50</f>
        <v>46222</v>
      </c>
      <c r="I93" s="189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2.5" customHeight="1" hidden="1" spans="1:25" x14ac:dyDescent="0.25">
      <c r="A94" s="3" t="s">
        <v>100</v>
      </c>
      <c r="B94" s="3"/>
      <c r="C94" s="3"/>
      <c r="D94" s="189" t="s">
        <v>7</v>
      </c>
      <c r="E94" s="189">
        <f>E51</f>
        <v>6</v>
      </c>
      <c r="F94" s="189"/>
      <c r="G94" s="8" t="s">
        <v>8</v>
      </c>
      <c r="H94" s="189" t="s">
        <v>101</v>
      </c>
      <c r="I94" s="189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9" customHeight="1" hidden="1" spans="1:25" x14ac:dyDescent="0.25">
      <c r="A95" s="3"/>
      <c r="B95" s="3"/>
      <c r="C95" s="3"/>
      <c r="D95" s="3"/>
      <c r="E95" s="3"/>
      <c r="F95" s="3"/>
      <c r="G95" s="3"/>
      <c r="H95" s="3"/>
      <c r="I95" s="3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1" customHeight="1" hidden="1" spans="1:25" x14ac:dyDescent="0.25">
      <c r="A96" s="307" t="s">
        <v>102</v>
      </c>
      <c r="B96" s="307" t="s">
        <v>87</v>
      </c>
      <c r="C96" s="307" t="s">
        <v>83</v>
      </c>
      <c r="D96" s="223" t="s">
        <v>103</v>
      </c>
      <c r="E96" s="168"/>
      <c r="F96" s="223" t="s">
        <v>104</v>
      </c>
      <c r="G96" s="168"/>
      <c r="H96" s="226" t="s">
        <v>105</v>
      </c>
      <c r="I96" s="307" t="s">
        <v>49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1" customHeight="1" hidden="1" spans="1:25" x14ac:dyDescent="0.25">
      <c r="A97" s="32"/>
      <c r="B97" s="32"/>
      <c r="C97" s="32"/>
      <c r="D97" s="340" t="s">
        <v>106</v>
      </c>
      <c r="E97" s="341"/>
      <c r="F97" s="342" t="s">
        <v>107</v>
      </c>
      <c r="G97" s="340" t="s">
        <v>108</v>
      </c>
      <c r="H97" s="343" t="s">
        <v>109</v>
      </c>
      <c r="I97" s="3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0.1" customHeight="1" hidden="1" spans="1:25" x14ac:dyDescent="0.25">
      <c r="A98" s="362" t="s">
        <v>141</v>
      </c>
      <c r="B98" s="363"/>
      <c r="C98" s="345" t="s">
        <v>112</v>
      </c>
      <c r="D98" s="53"/>
      <c r="E98" s="53"/>
      <c r="F98" s="346">
        <v>-18</v>
      </c>
      <c r="G98" s="346">
        <v>-17.3</v>
      </c>
      <c r="H98" s="347">
        <f>H55</f>
      </c>
      <c r="I98" s="364" t="s">
        <v>114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0.1" customHeight="1" hidden="1" spans="1:25" x14ac:dyDescent="0.25">
      <c r="A99" s="365" t="s">
        <v>142</v>
      </c>
      <c r="B99" s="366"/>
      <c r="C99" s="349" t="s">
        <v>112</v>
      </c>
      <c r="D99" s="226"/>
      <c r="E99" s="226"/>
      <c r="F99" s="350">
        <v>-18</v>
      </c>
      <c r="G99" s="350">
        <v>-17.4</v>
      </c>
      <c r="H99" s="367" t="s">
        <v>116</v>
      </c>
      <c r="I99" s="368" t="s">
        <v>114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0.1" customHeight="1" hidden="1" spans="1:25" x14ac:dyDescent="0.25">
      <c r="A100" s="365" t="s">
        <v>143</v>
      </c>
      <c r="B100" s="366"/>
      <c r="C100" s="349" t="s">
        <v>112</v>
      </c>
      <c r="D100" s="223"/>
      <c r="E100" s="168"/>
      <c r="F100" s="350">
        <v>-18</v>
      </c>
      <c r="G100" s="350">
        <v>-18.1</v>
      </c>
      <c r="H100" s="367" t="s">
        <v>116</v>
      </c>
      <c r="I100" s="368" t="s">
        <v>114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0.1" customHeight="1" hidden="1" spans="1:25" x14ac:dyDescent="0.25">
      <c r="A101" s="365" t="s">
        <v>144</v>
      </c>
      <c r="B101" s="366"/>
      <c r="C101" s="349" t="s">
        <v>112</v>
      </c>
      <c r="D101" s="223"/>
      <c r="E101" s="168"/>
      <c r="F101" s="350">
        <v>-18</v>
      </c>
      <c r="G101" s="350">
        <v>-16.5</v>
      </c>
      <c r="H101" s="367" t="s">
        <v>116</v>
      </c>
      <c r="I101" s="368" t="s">
        <v>114</v>
      </c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0.1" customHeight="1" hidden="1" spans="1:25" x14ac:dyDescent="0.25">
      <c r="A102" s="369" t="s">
        <v>145</v>
      </c>
      <c r="B102" s="370"/>
      <c r="C102" s="352" t="s">
        <v>112</v>
      </c>
      <c r="D102" s="371"/>
      <c r="E102" s="372"/>
      <c r="F102" s="353">
        <v>-18</v>
      </c>
      <c r="G102" s="353">
        <v>-17</v>
      </c>
      <c r="H102" s="373" t="s">
        <v>116</v>
      </c>
      <c r="I102" s="374" t="s">
        <v>114</v>
      </c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0.1" customHeight="1" hidden="1" spans="1:25" x14ac:dyDescent="0.25">
      <c r="A103" s="375" t="s">
        <v>146</v>
      </c>
      <c r="B103" s="363"/>
      <c r="C103" s="345" t="s">
        <v>112</v>
      </c>
      <c r="D103" s="187"/>
      <c r="E103" s="56"/>
      <c r="F103" s="346">
        <v>-18</v>
      </c>
      <c r="G103" s="346">
        <v>-17.9</v>
      </c>
      <c r="H103" s="376" t="s">
        <v>116</v>
      </c>
      <c r="I103" s="364" t="s">
        <v>114</v>
      </c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0.1" customHeight="1" hidden="1" spans="1:25" x14ac:dyDescent="0.25">
      <c r="A104" s="365" t="s">
        <v>147</v>
      </c>
      <c r="B104" s="349"/>
      <c r="C104" s="349" t="s">
        <v>112</v>
      </c>
      <c r="D104" s="223"/>
      <c r="E104" s="168"/>
      <c r="F104" s="350">
        <v>-18</v>
      </c>
      <c r="G104" s="350">
        <v>-18</v>
      </c>
      <c r="H104" s="367" t="s">
        <v>116</v>
      </c>
      <c r="I104" s="368" t="s">
        <v>114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0.1" customHeight="1" hidden="1" spans="1:25" x14ac:dyDescent="0.25">
      <c r="A105" s="365" t="s">
        <v>148</v>
      </c>
      <c r="B105" s="349"/>
      <c r="C105" s="349" t="s">
        <v>112</v>
      </c>
      <c r="D105" s="223"/>
      <c r="E105" s="168"/>
      <c r="F105" s="350">
        <v>-18</v>
      </c>
      <c r="G105" s="350">
        <v>-16.7</v>
      </c>
      <c r="H105" s="367" t="s">
        <v>116</v>
      </c>
      <c r="I105" s="368" t="s">
        <v>114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0.1" customHeight="1" hidden="1" spans="1:25" x14ac:dyDescent="0.25">
      <c r="A106" s="365" t="s">
        <v>149</v>
      </c>
      <c r="B106" s="349"/>
      <c r="C106" s="349" t="s">
        <v>112</v>
      </c>
      <c r="D106" s="223"/>
      <c r="E106" s="168"/>
      <c r="F106" s="350">
        <v>-18</v>
      </c>
      <c r="G106" s="350">
        <v>-18.1</v>
      </c>
      <c r="H106" s="367" t="s">
        <v>116</v>
      </c>
      <c r="I106" s="368" t="s">
        <v>117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0.1" customHeight="1" hidden="1" spans="1:25" x14ac:dyDescent="0.25">
      <c r="A107" s="377" t="s">
        <v>150</v>
      </c>
      <c r="B107" s="352"/>
      <c r="C107" s="352" t="s">
        <v>112</v>
      </c>
      <c r="D107" s="371"/>
      <c r="E107" s="372"/>
      <c r="F107" s="353">
        <v>-18</v>
      </c>
      <c r="G107" s="378">
        <v>-17.5</v>
      </c>
      <c r="H107" s="373" t="s">
        <v>116</v>
      </c>
      <c r="I107" s="374" t="s">
        <v>117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0.1" customHeight="1" hidden="1" spans="1:25" x14ac:dyDescent="0.25">
      <c r="A108" s="362" t="s">
        <v>151</v>
      </c>
      <c r="B108" s="345"/>
      <c r="C108" s="345" t="s">
        <v>112</v>
      </c>
      <c r="D108" s="187"/>
      <c r="E108" s="56"/>
      <c r="F108" s="346">
        <v>-18</v>
      </c>
      <c r="G108" s="379">
        <v>-17.7</v>
      </c>
      <c r="H108" s="376" t="s">
        <v>116</v>
      </c>
      <c r="I108" s="364" t="s">
        <v>117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0.1" customHeight="1" hidden="1" spans="1:25" x14ac:dyDescent="0.25">
      <c r="A109" s="380" t="s">
        <v>152</v>
      </c>
      <c r="B109" s="349"/>
      <c r="C109" s="349" t="s">
        <v>112</v>
      </c>
      <c r="D109" s="223"/>
      <c r="E109" s="168"/>
      <c r="F109" s="350">
        <v>-18</v>
      </c>
      <c r="G109" s="381">
        <v>-17</v>
      </c>
      <c r="H109" s="367" t="s">
        <v>116</v>
      </c>
      <c r="I109" s="368" t="s">
        <v>117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0.1" customHeight="1" hidden="1" spans="1:25" x14ac:dyDescent="0.25">
      <c r="A110" s="380" t="s">
        <v>153</v>
      </c>
      <c r="B110" s="349"/>
      <c r="C110" s="349" t="s">
        <v>112</v>
      </c>
      <c r="D110" s="223"/>
      <c r="E110" s="168"/>
      <c r="F110" s="350">
        <v>-18</v>
      </c>
      <c r="G110" s="381">
        <v>-16.9</v>
      </c>
      <c r="H110" s="367" t="s">
        <v>116</v>
      </c>
      <c r="I110" s="368" t="s">
        <v>117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0.1" customHeight="1" hidden="1" spans="1:25" x14ac:dyDescent="0.25">
      <c r="A111" s="349" t="s">
        <v>154</v>
      </c>
      <c r="B111" s="349"/>
      <c r="C111" s="349" t="s">
        <v>112</v>
      </c>
      <c r="D111" s="223"/>
      <c r="E111" s="168"/>
      <c r="F111" s="350">
        <v>-18</v>
      </c>
      <c r="G111" s="381">
        <v>-17.5</v>
      </c>
      <c r="H111" s="367" t="s">
        <v>116</v>
      </c>
      <c r="I111" s="349" t="s">
        <v>117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0.1" customHeight="1" hidden="1" spans="1:25" x14ac:dyDescent="0.25">
      <c r="A112" s="382" t="s">
        <v>155</v>
      </c>
      <c r="B112" s="382"/>
      <c r="C112" s="352" t="s">
        <v>112</v>
      </c>
      <c r="D112" s="371"/>
      <c r="E112" s="372"/>
      <c r="F112" s="353">
        <v>-18</v>
      </c>
      <c r="G112" s="383">
        <v>-18</v>
      </c>
      <c r="H112" s="373" t="s">
        <v>116</v>
      </c>
      <c r="I112" s="382" t="s">
        <v>117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0.1" customHeight="1" hidden="1" spans="1:25" x14ac:dyDescent="0.25">
      <c r="A113" s="384" t="s">
        <v>156</v>
      </c>
      <c r="B113" s="384"/>
      <c r="C113" s="345" t="s">
        <v>112</v>
      </c>
      <c r="D113" s="29"/>
      <c r="E113" s="27"/>
      <c r="F113" s="346">
        <v>-18</v>
      </c>
      <c r="G113" s="385">
        <v>-17.8</v>
      </c>
      <c r="H113" s="376" t="s">
        <v>116</v>
      </c>
      <c r="I113" s="384" t="s">
        <v>117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0.1" customHeight="1" hidden="1" spans="1:25" x14ac:dyDescent="0.25">
      <c r="A114" s="349" t="s">
        <v>157</v>
      </c>
      <c r="B114" s="349"/>
      <c r="C114" s="349" t="s">
        <v>112</v>
      </c>
      <c r="D114" s="223"/>
      <c r="E114" s="168"/>
      <c r="F114" s="350">
        <v>-18</v>
      </c>
      <c r="G114" s="381">
        <v>-17.6</v>
      </c>
      <c r="H114" s="367" t="s">
        <v>116</v>
      </c>
      <c r="I114" s="349" t="s">
        <v>117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0.1" customHeight="1" hidden="1" spans="1:25" x14ac:dyDescent="0.25">
      <c r="A115" s="312" t="s">
        <v>158</v>
      </c>
      <c r="B115" s="312"/>
      <c r="C115" s="349" t="s">
        <v>112</v>
      </c>
      <c r="D115" s="223"/>
      <c r="E115" s="168"/>
      <c r="F115" s="350">
        <v>-18</v>
      </c>
      <c r="G115" s="386">
        <v>-17.5</v>
      </c>
      <c r="H115" s="367" t="s">
        <v>116</v>
      </c>
      <c r="I115" s="226" t="s">
        <v>117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20.1" customHeight="1" hidden="1" spans="1:25" x14ac:dyDescent="0.25">
      <c r="A116" s="312" t="s">
        <v>159</v>
      </c>
      <c r="B116" s="312"/>
      <c r="C116" s="349" t="s">
        <v>112</v>
      </c>
      <c r="D116" s="223"/>
      <c r="E116" s="168"/>
      <c r="F116" s="350">
        <v>-18</v>
      </c>
      <c r="G116" s="386">
        <v>-16.9</v>
      </c>
      <c r="H116" s="367" t="s">
        <v>116</v>
      </c>
      <c r="I116" s="226" t="s">
        <v>117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0.1" customHeight="1" hidden="1" spans="1:25" x14ac:dyDescent="0.25">
      <c r="A117" s="312"/>
      <c r="B117" s="312"/>
      <c r="C117" s="312"/>
      <c r="D117" s="223"/>
      <c r="E117" s="168"/>
      <c r="F117" s="350"/>
      <c r="G117" s="386"/>
      <c r="H117" s="226"/>
      <c r="I117" s="22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5.45" customHeight="1" hidden="1" spans="1:25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5" customHeight="1" hidden="1" spans="1:25" x14ac:dyDescent="0.25">
      <c r="A119" s="40" t="s">
        <v>134</v>
      </c>
      <c r="B119" s="40"/>
      <c r="C119" s="40"/>
      <c r="D119" s="40"/>
      <c r="E119" s="40"/>
      <c r="F119" s="40"/>
      <c r="G119" s="40"/>
      <c r="H119" s="40"/>
      <c r="I119" s="4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5" customHeight="1" hidden="1" spans="1:25" x14ac:dyDescent="0.25">
      <c r="A120" s="40" t="s">
        <v>135</v>
      </c>
      <c r="B120" s="40"/>
      <c r="C120" s="40"/>
      <c r="D120" s="40"/>
      <c r="E120" s="40"/>
      <c r="F120" s="40"/>
      <c r="G120" s="40"/>
      <c r="H120" s="40"/>
      <c r="I120" s="4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5" customHeight="1" hidden="1" spans="1:25" x14ac:dyDescent="0.25">
      <c r="A121" s="40" t="s">
        <v>136</v>
      </c>
      <c r="B121" s="40"/>
      <c r="C121" s="40"/>
      <c r="D121" s="40"/>
      <c r="E121" s="40"/>
      <c r="F121" s="40"/>
      <c r="G121" s="40"/>
      <c r="H121" s="40"/>
      <c r="I121" s="4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5" customHeight="1" hidden="1" spans="1:25" x14ac:dyDescent="0.25">
      <c r="A122" s="40" t="s">
        <v>137</v>
      </c>
      <c r="B122" s="40"/>
      <c r="C122" s="40"/>
      <c r="D122" s="40"/>
      <c r="E122" s="40"/>
      <c r="F122" s="40"/>
      <c r="G122" s="40"/>
      <c r="H122" s="40"/>
      <c r="I122" s="4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5" customHeight="1" hidden="1" spans="1:25" x14ac:dyDescent="0.25">
      <c r="A123" s="40" t="s">
        <v>138</v>
      </c>
      <c r="B123" s="40"/>
      <c r="C123" s="40"/>
      <c r="D123" s="40"/>
      <c r="E123" s="40"/>
      <c r="F123" s="40"/>
      <c r="G123" s="40"/>
      <c r="H123" s="40"/>
      <c r="I123" s="4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5" customHeight="1" hidden="1" spans="1:25" x14ac:dyDescent="0.25">
      <c r="A124" s="40" t="s">
        <v>139</v>
      </c>
      <c r="B124" s="40"/>
      <c r="C124" s="40"/>
      <c r="D124" s="40"/>
      <c r="E124" s="40"/>
      <c r="F124" s="40"/>
      <c r="G124" s="40"/>
      <c r="H124" s="40"/>
      <c r="I124" s="4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24" customHeight="1" hidden="1" spans="1:2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24" customHeight="1" hidden="1" spans="1:25" x14ac:dyDescent="0.25">
      <c r="A126" s="199"/>
      <c r="B126" s="199"/>
      <c r="C126" s="3"/>
      <c r="D126" s="199"/>
      <c r="E126" s="199"/>
      <c r="F126" s="199"/>
      <c r="G126" s="3"/>
      <c r="H126" s="199"/>
      <c r="I126" s="199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8" customHeight="1" hidden="1" spans="1:25" x14ac:dyDescent="0.25">
      <c r="A127" s="201" t="s">
        <v>22</v>
      </c>
      <c r="B127" s="201"/>
      <c r="C127" s="40"/>
      <c r="D127" s="201" t="s">
        <v>110</v>
      </c>
      <c r="E127" s="201"/>
      <c r="F127" s="201"/>
      <c r="G127" s="40"/>
      <c r="H127" s="201" t="s">
        <v>23</v>
      </c>
      <c r="I127" s="20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</sheetData>
  <mergeCells count="94">
    <mergeCell ref="A1:I1"/>
    <mergeCell ref="A2:I2"/>
    <mergeCell ref="A4:I4"/>
    <mergeCell ref="A5:I5"/>
    <mergeCell ref="E7:F7"/>
    <mergeCell ref="H7:I7"/>
    <mergeCell ref="E8:F8"/>
    <mergeCell ref="H8:I8"/>
    <mergeCell ref="D10:E10"/>
    <mergeCell ref="F10:G10"/>
    <mergeCell ref="A10:A11"/>
    <mergeCell ref="B10:B11"/>
    <mergeCell ref="C10:C11"/>
    <mergeCell ref="D11:E11"/>
    <mergeCell ref="I10:I11"/>
    <mergeCell ref="A43:B43"/>
    <mergeCell ref="D43:F43"/>
    <mergeCell ref="H43:I43"/>
    <mergeCell ref="A44:I44"/>
    <mergeCell ref="A45:I45"/>
    <mergeCell ref="A47:I47"/>
    <mergeCell ref="A48:I48"/>
    <mergeCell ref="E50:F50"/>
    <mergeCell ref="H50:I50"/>
    <mergeCell ref="E51:F51"/>
    <mergeCell ref="H51:I51"/>
    <mergeCell ref="D53:E53"/>
    <mergeCell ref="F53:G53"/>
    <mergeCell ref="A53:A54"/>
    <mergeCell ref="B53:B54"/>
    <mergeCell ref="C53:C54"/>
    <mergeCell ref="D54:E54"/>
    <mergeCell ref="I53:I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A86:B86"/>
    <mergeCell ref="D86:F86"/>
    <mergeCell ref="H86:I86"/>
    <mergeCell ref="A87:I87"/>
    <mergeCell ref="A88:I88"/>
    <mergeCell ref="A90:I90"/>
    <mergeCell ref="A91:I91"/>
    <mergeCell ref="E93:F93"/>
    <mergeCell ref="H93:I93"/>
    <mergeCell ref="E94:F94"/>
    <mergeCell ref="H94:I94"/>
    <mergeCell ref="D96:E96"/>
    <mergeCell ref="F96:G96"/>
    <mergeCell ref="A96:A97"/>
    <mergeCell ref="B96:B97"/>
    <mergeCell ref="C96:C97"/>
    <mergeCell ref="D97:E97"/>
    <mergeCell ref="I96:I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A127:B127"/>
    <mergeCell ref="D127:F127"/>
    <mergeCell ref="H127:I127"/>
  </mergeCells>
  <printOptions horizontalCentered="1" verticalCentered="1"/>
  <pageMargins left="0.3937007874015748" right="0.3937007874015748" top="0.3937007874015748" bottom="0.3937007874015748" header="0.15748031496062992" footer="0.15748031496062992"/>
  <pageSetup paperSize="9" orientation="portrait" horizontalDpi="4294967295" verticalDpi="4294967295" scale="100" fitToWidth="1" fitToHeight="0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"/>
  <sheetViews>
    <sheetView workbookViewId="0" zoomScale="100" zoomScaleNormal="100">
      <selection activeCell="A3" sqref="A3"/>
    </sheetView>
  </sheetViews>
  <sheetFormatPr defaultRowHeight="12" outlineLevelRow="0" outlineLevelCol="0" x14ac:dyDescent="0" customHeight="1"/>
  <cols>
    <col min="1" max="1" width="5.75" style="551" customWidth="1"/>
    <col min="2" max="2" width="15.625" style="551" customWidth="1"/>
    <col min="3" max="3" width="9.5" style="551" customWidth="1"/>
    <col min="4" max="4" width="5.875" style="551" customWidth="1"/>
    <col min="5" max="5" width="10.5" style="552" customWidth="1"/>
    <col min="6" max="6" width="6.5" style="551" customWidth="1"/>
    <col min="7" max="8" width="9.25" style="553" customWidth="1"/>
    <col min="9" max="9" width="6.125" style="551" customWidth="1"/>
    <col min="10" max="10" width="5.875" style="551" customWidth="1"/>
    <col min="11" max="11" width="15.625" style="554" customWidth="1"/>
    <col min="12" max="12" width="11.75" style="551" customWidth="1"/>
    <col min="13" max="15" width="9" style="551" customWidth="1"/>
    <col min="16" max="16" width="9" style="553" customWidth="1"/>
    <col min="17" max="17" width="11.875" style="551" customWidth="1"/>
    <col min="18" max="248" width="9" style="551" customWidth="1"/>
    <col min="249" max="249" width="5.75" style="551" customWidth="1"/>
    <col min="250" max="250" width="14.25" style="551" customWidth="1"/>
    <col min="251" max="251" width="6.375" style="551" customWidth="1"/>
    <col min="252" max="252" width="5.875" style="551" customWidth="1"/>
    <col min="253" max="253" width="5.625" style="551" customWidth="1"/>
    <col min="254" max="254" width="6.5" style="551" customWidth="1"/>
    <col min="255" max="255" width="8.875" style="551" customWidth="1"/>
    <col min="256" max="256" width="8.625" style="551" customWidth="1"/>
    <col min="257" max="257" width="6.125" style="551" customWidth="1"/>
    <col min="258" max="258" width="5.875" style="551" customWidth="1"/>
    <col min="259" max="259" width="6.375" style="551" customWidth="1"/>
    <col min="260" max="260" width="29.5" style="551" customWidth="1"/>
    <col min="261" max="261" width="8.375" style="551" customWidth="1"/>
    <col min="262" max="262" width="8.625" style="551" customWidth="1"/>
    <col min="263" max="265" width="9" style="551" customWidth="1"/>
    <col min="266" max="266" width="11.25" style="551" customWidth="1"/>
    <col min="267" max="268" width="11.75" style="551" customWidth="1"/>
    <col min="269" max="272" width="9" style="551" customWidth="1"/>
    <col min="273" max="273" width="11.875" style="551" customWidth="1"/>
    <col min="274" max="504" width="9" style="551" customWidth="1"/>
    <col min="505" max="505" width="5.75" style="551" customWidth="1"/>
    <col min="506" max="506" width="14.25" style="551" customWidth="1"/>
    <col min="507" max="507" width="6.375" style="551" customWidth="1"/>
    <col min="508" max="508" width="5.875" style="551" customWidth="1"/>
    <col min="509" max="509" width="5.625" style="551" customWidth="1"/>
    <col min="510" max="510" width="6.5" style="551" customWidth="1"/>
    <col min="511" max="511" width="8.875" style="551" customWidth="1"/>
    <col min="512" max="512" width="8.625" style="551" customWidth="1"/>
    <col min="513" max="513" width="6.125" style="551" customWidth="1"/>
    <col min="514" max="514" width="5.875" style="551" customWidth="1"/>
    <col min="515" max="515" width="6.375" style="551" customWidth="1"/>
    <col min="516" max="516" width="29.5" style="551" customWidth="1"/>
    <col min="517" max="517" width="8.375" style="551" customWidth="1"/>
    <col min="518" max="518" width="8.625" style="551" customWidth="1"/>
    <col min="519" max="521" width="9" style="551" customWidth="1"/>
    <col min="522" max="522" width="11.25" style="551" customWidth="1"/>
    <col min="523" max="524" width="11.75" style="551" customWidth="1"/>
    <col min="525" max="528" width="9" style="551" customWidth="1"/>
    <col min="529" max="529" width="11.875" style="551" customWidth="1"/>
    <col min="530" max="760" width="9" style="551" customWidth="1"/>
    <col min="761" max="761" width="5.75" style="551" customWidth="1"/>
    <col min="762" max="762" width="14.25" style="551" customWidth="1"/>
    <col min="763" max="763" width="6.375" style="551" customWidth="1"/>
    <col min="764" max="764" width="5.875" style="551" customWidth="1"/>
    <col min="765" max="765" width="5.625" style="551" customWidth="1"/>
    <col min="766" max="766" width="6.5" style="551" customWidth="1"/>
    <col min="767" max="767" width="8.875" style="551" customWidth="1"/>
    <col min="768" max="768" width="8.625" style="551" customWidth="1"/>
    <col min="769" max="769" width="6.125" style="551" customWidth="1"/>
    <col min="770" max="770" width="5.875" style="551" customWidth="1"/>
    <col min="771" max="771" width="6.375" style="551" customWidth="1"/>
    <col min="772" max="772" width="29.5" style="551" customWidth="1"/>
    <col min="773" max="773" width="8.375" style="551" customWidth="1"/>
    <col min="774" max="774" width="8.625" style="551" customWidth="1"/>
    <col min="775" max="777" width="9" style="551" customWidth="1"/>
    <col min="778" max="778" width="11.25" style="551" customWidth="1"/>
    <col min="779" max="780" width="11.75" style="551" customWidth="1"/>
    <col min="781" max="784" width="9" style="551" customWidth="1"/>
    <col min="785" max="785" width="11.875" style="551" customWidth="1"/>
    <col min="786" max="1016" width="9" style="551" customWidth="1"/>
    <col min="1017" max="1017" width="5.75" style="551" customWidth="1"/>
    <col min="1018" max="1018" width="14.25" style="551" customWidth="1"/>
    <col min="1019" max="1019" width="6.375" style="551" customWidth="1"/>
    <col min="1020" max="1020" width="5.875" style="551" customWidth="1"/>
    <col min="1021" max="1021" width="5.625" style="551" customWidth="1"/>
    <col min="1022" max="1022" width="6.5" style="551" customWidth="1"/>
    <col min="1023" max="1023" width="8.875" style="551" customWidth="1"/>
    <col min="1024" max="1024" width="8.625" style="551" customWidth="1"/>
    <col min="1025" max="1025" width="6.125" style="551" customWidth="1"/>
    <col min="1026" max="1026" width="5.875" style="551" customWidth="1"/>
    <col min="1027" max="1027" width="6.375" style="551" customWidth="1"/>
    <col min="1028" max="1028" width="29.5" style="551" customWidth="1"/>
    <col min="1029" max="1029" width="8.375" style="551" customWidth="1"/>
    <col min="1030" max="1030" width="8.625" style="551" customWidth="1"/>
    <col min="1031" max="1033" width="9" style="551" customWidth="1"/>
    <col min="1034" max="1034" width="11.25" style="551" customWidth="1"/>
    <col min="1035" max="1036" width="11.75" style="551" customWidth="1"/>
    <col min="1037" max="1040" width="9" style="551" customWidth="1"/>
    <col min="1041" max="1041" width="11.875" style="551" customWidth="1"/>
    <col min="1042" max="1272" width="9" style="551" customWidth="1"/>
    <col min="1273" max="1273" width="5.75" style="551" customWidth="1"/>
    <col min="1274" max="1274" width="14.25" style="551" customWidth="1"/>
    <col min="1275" max="1275" width="6.375" style="551" customWidth="1"/>
    <col min="1276" max="1276" width="5.875" style="551" customWidth="1"/>
    <col min="1277" max="1277" width="5.625" style="551" customWidth="1"/>
    <col min="1278" max="1278" width="6.5" style="551" customWidth="1"/>
    <col min="1279" max="1279" width="8.875" style="551" customWidth="1"/>
    <col min="1280" max="1280" width="8.625" style="551" customWidth="1"/>
    <col min="1281" max="1281" width="6.125" style="551" customWidth="1"/>
    <col min="1282" max="1282" width="5.875" style="551" customWidth="1"/>
    <col min="1283" max="1283" width="6.375" style="551" customWidth="1"/>
    <col min="1284" max="1284" width="29.5" style="551" customWidth="1"/>
    <col min="1285" max="1285" width="8.375" style="551" customWidth="1"/>
    <col min="1286" max="1286" width="8.625" style="551" customWidth="1"/>
    <col min="1287" max="1289" width="9" style="551" customWidth="1"/>
    <col min="1290" max="1290" width="11.25" style="551" customWidth="1"/>
    <col min="1291" max="1292" width="11.75" style="551" customWidth="1"/>
    <col min="1293" max="1296" width="9" style="551" customWidth="1"/>
    <col min="1297" max="1297" width="11.875" style="551" customWidth="1"/>
    <col min="1298" max="1528" width="9" style="551" customWidth="1"/>
    <col min="1529" max="1529" width="5.75" style="551" customWidth="1"/>
    <col min="1530" max="1530" width="14.25" style="551" customWidth="1"/>
    <col min="1531" max="1531" width="6.375" style="551" customWidth="1"/>
    <col min="1532" max="1532" width="5.875" style="551" customWidth="1"/>
    <col min="1533" max="1533" width="5.625" style="551" customWidth="1"/>
    <col min="1534" max="1534" width="6.5" style="551" customWidth="1"/>
    <col min="1535" max="1535" width="8.875" style="551" customWidth="1"/>
    <col min="1536" max="1536" width="8.625" style="551" customWidth="1"/>
    <col min="1537" max="1537" width="6.125" style="551" customWidth="1"/>
    <col min="1538" max="1538" width="5.875" style="551" customWidth="1"/>
    <col min="1539" max="1539" width="6.375" style="551" customWidth="1"/>
    <col min="1540" max="1540" width="29.5" style="551" customWidth="1"/>
    <col min="1541" max="1541" width="8.375" style="551" customWidth="1"/>
    <col min="1542" max="1542" width="8.625" style="551" customWidth="1"/>
    <col min="1543" max="1545" width="9" style="551" customWidth="1"/>
    <col min="1546" max="1546" width="11.25" style="551" customWidth="1"/>
    <col min="1547" max="1548" width="11.75" style="551" customWidth="1"/>
    <col min="1549" max="1552" width="9" style="551" customWidth="1"/>
    <col min="1553" max="1553" width="11.875" style="551" customWidth="1"/>
    <col min="1554" max="1784" width="9" style="551" customWidth="1"/>
    <col min="1785" max="1785" width="5.75" style="551" customWidth="1"/>
    <col min="1786" max="1786" width="14.25" style="551" customWidth="1"/>
    <col min="1787" max="1787" width="6.375" style="551" customWidth="1"/>
    <col min="1788" max="1788" width="5.875" style="551" customWidth="1"/>
    <col min="1789" max="1789" width="5.625" style="551" customWidth="1"/>
    <col min="1790" max="1790" width="6.5" style="551" customWidth="1"/>
    <col min="1791" max="1791" width="8.875" style="551" customWidth="1"/>
    <col min="1792" max="1792" width="8.625" style="551" customWidth="1"/>
    <col min="1793" max="1793" width="6.125" style="551" customWidth="1"/>
    <col min="1794" max="1794" width="5.875" style="551" customWidth="1"/>
    <col min="1795" max="1795" width="6.375" style="551" customWidth="1"/>
    <col min="1796" max="1796" width="29.5" style="551" customWidth="1"/>
    <col min="1797" max="1797" width="8.375" style="551" customWidth="1"/>
    <col min="1798" max="1798" width="8.625" style="551" customWidth="1"/>
    <col min="1799" max="1801" width="9" style="551" customWidth="1"/>
    <col min="1802" max="1802" width="11.25" style="551" customWidth="1"/>
    <col min="1803" max="1804" width="11.75" style="551" customWidth="1"/>
    <col min="1805" max="1808" width="9" style="551" customWidth="1"/>
    <col min="1809" max="1809" width="11.875" style="551" customWidth="1"/>
    <col min="1810" max="2040" width="9" style="551" customWidth="1"/>
    <col min="2041" max="2041" width="5.75" style="551" customWidth="1"/>
    <col min="2042" max="2042" width="14.25" style="551" customWidth="1"/>
    <col min="2043" max="2043" width="6.375" style="551" customWidth="1"/>
    <col min="2044" max="2044" width="5.875" style="551" customWidth="1"/>
    <col min="2045" max="2045" width="5.625" style="551" customWidth="1"/>
    <col min="2046" max="2046" width="6.5" style="551" customWidth="1"/>
    <col min="2047" max="2047" width="8.875" style="551" customWidth="1"/>
    <col min="2048" max="2048" width="8.625" style="551" customWidth="1"/>
    <col min="2049" max="2049" width="6.125" style="551" customWidth="1"/>
    <col min="2050" max="2050" width="5.875" style="551" customWidth="1"/>
    <col min="2051" max="2051" width="6.375" style="551" customWidth="1"/>
    <col min="2052" max="2052" width="29.5" style="551" customWidth="1"/>
    <col min="2053" max="2053" width="8.375" style="551" customWidth="1"/>
    <col min="2054" max="2054" width="8.625" style="551" customWidth="1"/>
    <col min="2055" max="2057" width="9" style="551" customWidth="1"/>
    <col min="2058" max="2058" width="11.25" style="551" customWidth="1"/>
    <col min="2059" max="2060" width="11.75" style="551" customWidth="1"/>
    <col min="2061" max="2064" width="9" style="551" customWidth="1"/>
    <col min="2065" max="2065" width="11.875" style="551" customWidth="1"/>
    <col min="2066" max="2296" width="9" style="551" customWidth="1"/>
    <col min="2297" max="2297" width="5.75" style="551" customWidth="1"/>
    <col min="2298" max="2298" width="14.25" style="551" customWidth="1"/>
    <col min="2299" max="2299" width="6.375" style="551" customWidth="1"/>
    <col min="2300" max="2300" width="5.875" style="551" customWidth="1"/>
    <col min="2301" max="2301" width="5.625" style="551" customWidth="1"/>
    <col min="2302" max="2302" width="6.5" style="551" customWidth="1"/>
    <col min="2303" max="2303" width="8.875" style="551" customWidth="1"/>
    <col min="2304" max="2304" width="8.625" style="551" customWidth="1"/>
    <col min="2305" max="2305" width="6.125" style="551" customWidth="1"/>
    <col min="2306" max="2306" width="5.875" style="551" customWidth="1"/>
    <col min="2307" max="2307" width="6.375" style="551" customWidth="1"/>
    <col min="2308" max="2308" width="29.5" style="551" customWidth="1"/>
    <col min="2309" max="2309" width="8.375" style="551" customWidth="1"/>
    <col min="2310" max="2310" width="8.625" style="551" customWidth="1"/>
    <col min="2311" max="2313" width="9" style="551" customWidth="1"/>
    <col min="2314" max="2314" width="11.25" style="551" customWidth="1"/>
    <col min="2315" max="2316" width="11.75" style="551" customWidth="1"/>
    <col min="2317" max="2320" width="9" style="551" customWidth="1"/>
    <col min="2321" max="2321" width="11.875" style="551" customWidth="1"/>
    <col min="2322" max="2552" width="9" style="551" customWidth="1"/>
    <col min="2553" max="2553" width="5.75" style="551" customWidth="1"/>
    <col min="2554" max="2554" width="14.25" style="551" customWidth="1"/>
    <col min="2555" max="2555" width="6.375" style="551" customWidth="1"/>
    <col min="2556" max="2556" width="5.875" style="551" customWidth="1"/>
    <col min="2557" max="2557" width="5.625" style="551" customWidth="1"/>
    <col min="2558" max="2558" width="6.5" style="551" customWidth="1"/>
    <col min="2559" max="2559" width="8.875" style="551" customWidth="1"/>
    <col min="2560" max="2560" width="8.625" style="551" customWidth="1"/>
    <col min="2561" max="2561" width="6.125" style="551" customWidth="1"/>
    <col min="2562" max="2562" width="5.875" style="551" customWidth="1"/>
    <col min="2563" max="2563" width="6.375" style="551" customWidth="1"/>
    <col min="2564" max="2564" width="29.5" style="551" customWidth="1"/>
    <col min="2565" max="2565" width="8.375" style="551" customWidth="1"/>
    <col min="2566" max="2566" width="8.625" style="551" customWidth="1"/>
    <col min="2567" max="2569" width="9" style="551" customWidth="1"/>
    <col min="2570" max="2570" width="11.25" style="551" customWidth="1"/>
    <col min="2571" max="2572" width="11.75" style="551" customWidth="1"/>
    <col min="2573" max="2576" width="9" style="551" customWidth="1"/>
    <col min="2577" max="2577" width="11.875" style="551" customWidth="1"/>
    <col min="2578" max="2808" width="9" style="551" customWidth="1"/>
    <col min="2809" max="2809" width="5.75" style="551" customWidth="1"/>
    <col min="2810" max="2810" width="14.25" style="551" customWidth="1"/>
    <col min="2811" max="2811" width="6.375" style="551" customWidth="1"/>
    <col min="2812" max="2812" width="5.875" style="551" customWidth="1"/>
    <col min="2813" max="2813" width="5.625" style="551" customWidth="1"/>
    <col min="2814" max="2814" width="6.5" style="551" customWidth="1"/>
    <col min="2815" max="2815" width="8.875" style="551" customWidth="1"/>
    <col min="2816" max="2816" width="8.625" style="551" customWidth="1"/>
    <col min="2817" max="2817" width="6.125" style="551" customWidth="1"/>
    <col min="2818" max="2818" width="5.875" style="551" customWidth="1"/>
    <col min="2819" max="2819" width="6.375" style="551" customWidth="1"/>
    <col min="2820" max="2820" width="29.5" style="551" customWidth="1"/>
    <col min="2821" max="2821" width="8.375" style="551" customWidth="1"/>
    <col min="2822" max="2822" width="8.625" style="551" customWidth="1"/>
    <col min="2823" max="2825" width="9" style="551" customWidth="1"/>
    <col min="2826" max="2826" width="11.25" style="551" customWidth="1"/>
    <col min="2827" max="2828" width="11.75" style="551" customWidth="1"/>
    <col min="2829" max="2832" width="9" style="551" customWidth="1"/>
    <col min="2833" max="2833" width="11.875" style="551" customWidth="1"/>
    <col min="2834" max="3064" width="9" style="551" customWidth="1"/>
    <col min="3065" max="3065" width="5.75" style="551" customWidth="1"/>
    <col min="3066" max="3066" width="14.25" style="551" customWidth="1"/>
    <col min="3067" max="3067" width="6.375" style="551" customWidth="1"/>
    <col min="3068" max="3068" width="5.875" style="551" customWidth="1"/>
    <col min="3069" max="3069" width="5.625" style="551" customWidth="1"/>
    <col min="3070" max="3070" width="6.5" style="551" customWidth="1"/>
    <col min="3071" max="3071" width="8.875" style="551" customWidth="1"/>
    <col min="3072" max="3072" width="8.625" style="551" customWidth="1"/>
    <col min="3073" max="3073" width="6.125" style="551" customWidth="1"/>
    <col min="3074" max="3074" width="5.875" style="551" customWidth="1"/>
    <col min="3075" max="3075" width="6.375" style="551" customWidth="1"/>
    <col min="3076" max="3076" width="29.5" style="551" customWidth="1"/>
    <col min="3077" max="3077" width="8.375" style="551" customWidth="1"/>
    <col min="3078" max="3078" width="8.625" style="551" customWidth="1"/>
    <col min="3079" max="3081" width="9" style="551" customWidth="1"/>
    <col min="3082" max="3082" width="11.25" style="551" customWidth="1"/>
    <col min="3083" max="3084" width="11.75" style="551" customWidth="1"/>
    <col min="3085" max="3088" width="9" style="551" customWidth="1"/>
    <col min="3089" max="3089" width="11.875" style="551" customWidth="1"/>
    <col min="3090" max="3320" width="9" style="551" customWidth="1"/>
    <col min="3321" max="3321" width="5.75" style="551" customWidth="1"/>
    <col min="3322" max="3322" width="14.25" style="551" customWidth="1"/>
    <col min="3323" max="3323" width="6.375" style="551" customWidth="1"/>
    <col min="3324" max="3324" width="5.875" style="551" customWidth="1"/>
    <col min="3325" max="3325" width="5.625" style="551" customWidth="1"/>
    <col min="3326" max="3326" width="6.5" style="551" customWidth="1"/>
    <col min="3327" max="3327" width="8.875" style="551" customWidth="1"/>
    <col min="3328" max="3328" width="8.625" style="551" customWidth="1"/>
    <col min="3329" max="3329" width="6.125" style="551" customWidth="1"/>
    <col min="3330" max="3330" width="5.875" style="551" customWidth="1"/>
    <col min="3331" max="3331" width="6.375" style="551" customWidth="1"/>
    <col min="3332" max="3332" width="29.5" style="551" customWidth="1"/>
    <col min="3333" max="3333" width="8.375" style="551" customWidth="1"/>
    <col min="3334" max="3334" width="8.625" style="551" customWidth="1"/>
    <col min="3335" max="3337" width="9" style="551" customWidth="1"/>
    <col min="3338" max="3338" width="11.25" style="551" customWidth="1"/>
    <col min="3339" max="3340" width="11.75" style="551" customWidth="1"/>
    <col min="3341" max="3344" width="9" style="551" customWidth="1"/>
    <col min="3345" max="3345" width="11.875" style="551" customWidth="1"/>
    <col min="3346" max="3576" width="9" style="551" customWidth="1"/>
    <col min="3577" max="3577" width="5.75" style="551" customWidth="1"/>
    <col min="3578" max="3578" width="14.25" style="551" customWidth="1"/>
    <col min="3579" max="3579" width="6.375" style="551" customWidth="1"/>
    <col min="3580" max="3580" width="5.875" style="551" customWidth="1"/>
    <col min="3581" max="3581" width="5.625" style="551" customWidth="1"/>
    <col min="3582" max="3582" width="6.5" style="551" customWidth="1"/>
    <col min="3583" max="3583" width="8.875" style="551" customWidth="1"/>
    <col min="3584" max="3584" width="8.625" style="551" customWidth="1"/>
    <col min="3585" max="3585" width="6.125" style="551" customWidth="1"/>
    <col min="3586" max="3586" width="5.875" style="551" customWidth="1"/>
    <col min="3587" max="3587" width="6.375" style="551" customWidth="1"/>
    <col min="3588" max="3588" width="29.5" style="551" customWidth="1"/>
    <col min="3589" max="3589" width="8.375" style="551" customWidth="1"/>
    <col min="3590" max="3590" width="8.625" style="551" customWidth="1"/>
    <col min="3591" max="3593" width="9" style="551" customWidth="1"/>
    <col min="3594" max="3594" width="11.25" style="551" customWidth="1"/>
    <col min="3595" max="3596" width="11.75" style="551" customWidth="1"/>
    <col min="3597" max="3600" width="9" style="551" customWidth="1"/>
    <col min="3601" max="3601" width="11.875" style="551" customWidth="1"/>
    <col min="3602" max="3832" width="9" style="551" customWidth="1"/>
    <col min="3833" max="3833" width="5.75" style="551" customWidth="1"/>
    <col min="3834" max="3834" width="14.25" style="551" customWidth="1"/>
    <col min="3835" max="3835" width="6.375" style="551" customWidth="1"/>
    <col min="3836" max="3836" width="5.875" style="551" customWidth="1"/>
    <col min="3837" max="3837" width="5.625" style="551" customWidth="1"/>
    <col min="3838" max="3838" width="6.5" style="551" customWidth="1"/>
    <col min="3839" max="3839" width="8.875" style="551" customWidth="1"/>
    <col min="3840" max="3840" width="8.625" style="551" customWidth="1"/>
    <col min="3841" max="3841" width="6.125" style="551" customWidth="1"/>
    <col min="3842" max="3842" width="5.875" style="551" customWidth="1"/>
    <col min="3843" max="3843" width="6.375" style="551" customWidth="1"/>
    <col min="3844" max="3844" width="29.5" style="551" customWidth="1"/>
    <col min="3845" max="3845" width="8.375" style="551" customWidth="1"/>
    <col min="3846" max="3846" width="8.625" style="551" customWidth="1"/>
    <col min="3847" max="3849" width="9" style="551" customWidth="1"/>
    <col min="3850" max="3850" width="11.25" style="551" customWidth="1"/>
    <col min="3851" max="3852" width="11.75" style="551" customWidth="1"/>
    <col min="3853" max="3856" width="9" style="551" customWidth="1"/>
    <col min="3857" max="3857" width="11.875" style="551" customWidth="1"/>
    <col min="3858" max="4088" width="9" style="551" customWidth="1"/>
    <col min="4089" max="4089" width="5.75" style="551" customWidth="1"/>
    <col min="4090" max="4090" width="14.25" style="551" customWidth="1"/>
    <col min="4091" max="4091" width="6.375" style="551" customWidth="1"/>
    <col min="4092" max="4092" width="5.875" style="551" customWidth="1"/>
    <col min="4093" max="4093" width="5.625" style="551" customWidth="1"/>
    <col min="4094" max="4094" width="6.5" style="551" customWidth="1"/>
    <col min="4095" max="4095" width="8.875" style="551" customWidth="1"/>
    <col min="4096" max="4096" width="8.625" style="551" customWidth="1"/>
    <col min="4097" max="4097" width="6.125" style="551" customWidth="1"/>
    <col min="4098" max="4098" width="5.875" style="551" customWidth="1"/>
    <col min="4099" max="4099" width="6.375" style="551" customWidth="1"/>
    <col min="4100" max="4100" width="29.5" style="551" customWidth="1"/>
    <col min="4101" max="4101" width="8.375" style="551" customWidth="1"/>
    <col min="4102" max="4102" width="8.625" style="551" customWidth="1"/>
    <col min="4103" max="4105" width="9" style="551" customWidth="1"/>
    <col min="4106" max="4106" width="11.25" style="551" customWidth="1"/>
    <col min="4107" max="4108" width="11.75" style="551" customWidth="1"/>
    <col min="4109" max="4112" width="9" style="551" customWidth="1"/>
    <col min="4113" max="4113" width="11.875" style="551" customWidth="1"/>
    <col min="4114" max="4344" width="9" style="551" customWidth="1"/>
    <col min="4345" max="4345" width="5.75" style="551" customWidth="1"/>
    <col min="4346" max="4346" width="14.25" style="551" customWidth="1"/>
    <col min="4347" max="4347" width="6.375" style="551" customWidth="1"/>
    <col min="4348" max="4348" width="5.875" style="551" customWidth="1"/>
    <col min="4349" max="4349" width="5.625" style="551" customWidth="1"/>
    <col min="4350" max="4350" width="6.5" style="551" customWidth="1"/>
    <col min="4351" max="4351" width="8.875" style="551" customWidth="1"/>
    <col min="4352" max="4352" width="8.625" style="551" customWidth="1"/>
    <col min="4353" max="4353" width="6.125" style="551" customWidth="1"/>
    <col min="4354" max="4354" width="5.875" style="551" customWidth="1"/>
    <col min="4355" max="4355" width="6.375" style="551" customWidth="1"/>
    <col min="4356" max="4356" width="29.5" style="551" customWidth="1"/>
    <col min="4357" max="4357" width="8.375" style="551" customWidth="1"/>
    <col min="4358" max="4358" width="8.625" style="551" customWidth="1"/>
    <col min="4359" max="4361" width="9" style="551" customWidth="1"/>
    <col min="4362" max="4362" width="11.25" style="551" customWidth="1"/>
    <col min="4363" max="4364" width="11.75" style="551" customWidth="1"/>
    <col min="4365" max="4368" width="9" style="551" customWidth="1"/>
    <col min="4369" max="4369" width="11.875" style="551" customWidth="1"/>
    <col min="4370" max="4600" width="9" style="551" customWidth="1"/>
    <col min="4601" max="4601" width="5.75" style="551" customWidth="1"/>
    <col min="4602" max="4602" width="14.25" style="551" customWidth="1"/>
    <col min="4603" max="4603" width="6.375" style="551" customWidth="1"/>
    <col min="4604" max="4604" width="5.875" style="551" customWidth="1"/>
    <col min="4605" max="4605" width="5.625" style="551" customWidth="1"/>
    <col min="4606" max="4606" width="6.5" style="551" customWidth="1"/>
    <col min="4607" max="4607" width="8.875" style="551" customWidth="1"/>
    <col min="4608" max="4608" width="8.625" style="551" customWidth="1"/>
    <col min="4609" max="4609" width="6.125" style="551" customWidth="1"/>
    <col min="4610" max="4610" width="5.875" style="551" customWidth="1"/>
    <col min="4611" max="4611" width="6.375" style="551" customWidth="1"/>
    <col min="4612" max="4612" width="29.5" style="551" customWidth="1"/>
    <col min="4613" max="4613" width="8.375" style="551" customWidth="1"/>
    <col min="4614" max="4614" width="8.625" style="551" customWidth="1"/>
    <col min="4615" max="4617" width="9" style="551" customWidth="1"/>
    <col min="4618" max="4618" width="11.25" style="551" customWidth="1"/>
    <col min="4619" max="4620" width="11.75" style="551" customWidth="1"/>
    <col min="4621" max="4624" width="9" style="551" customWidth="1"/>
    <col min="4625" max="4625" width="11.875" style="551" customWidth="1"/>
    <col min="4626" max="4856" width="9" style="551" customWidth="1"/>
    <col min="4857" max="4857" width="5.75" style="551" customWidth="1"/>
    <col min="4858" max="4858" width="14.25" style="551" customWidth="1"/>
    <col min="4859" max="4859" width="6.375" style="551" customWidth="1"/>
    <col min="4860" max="4860" width="5.875" style="551" customWidth="1"/>
    <col min="4861" max="4861" width="5.625" style="551" customWidth="1"/>
    <col min="4862" max="4862" width="6.5" style="551" customWidth="1"/>
    <col min="4863" max="4863" width="8.875" style="551" customWidth="1"/>
    <col min="4864" max="4864" width="8.625" style="551" customWidth="1"/>
    <col min="4865" max="4865" width="6.125" style="551" customWidth="1"/>
    <col min="4866" max="4866" width="5.875" style="551" customWidth="1"/>
    <col min="4867" max="4867" width="6.375" style="551" customWidth="1"/>
    <col min="4868" max="4868" width="29.5" style="551" customWidth="1"/>
    <col min="4869" max="4869" width="8.375" style="551" customWidth="1"/>
    <col min="4870" max="4870" width="8.625" style="551" customWidth="1"/>
    <col min="4871" max="4873" width="9" style="551" customWidth="1"/>
    <col min="4874" max="4874" width="11.25" style="551" customWidth="1"/>
    <col min="4875" max="4876" width="11.75" style="551" customWidth="1"/>
    <col min="4877" max="4880" width="9" style="551" customWidth="1"/>
    <col min="4881" max="4881" width="11.875" style="551" customWidth="1"/>
    <col min="4882" max="5112" width="9" style="551" customWidth="1"/>
    <col min="5113" max="5113" width="5.75" style="551" customWidth="1"/>
    <col min="5114" max="5114" width="14.25" style="551" customWidth="1"/>
    <col min="5115" max="5115" width="6.375" style="551" customWidth="1"/>
    <col min="5116" max="5116" width="5.875" style="551" customWidth="1"/>
    <col min="5117" max="5117" width="5.625" style="551" customWidth="1"/>
    <col min="5118" max="5118" width="6.5" style="551" customWidth="1"/>
    <col min="5119" max="5119" width="8.875" style="551" customWidth="1"/>
    <col min="5120" max="5120" width="8.625" style="551" customWidth="1"/>
    <col min="5121" max="5121" width="6.125" style="551" customWidth="1"/>
    <col min="5122" max="5122" width="5.875" style="551" customWidth="1"/>
    <col min="5123" max="5123" width="6.375" style="551" customWidth="1"/>
    <col min="5124" max="5124" width="29.5" style="551" customWidth="1"/>
    <col min="5125" max="5125" width="8.375" style="551" customWidth="1"/>
    <col min="5126" max="5126" width="8.625" style="551" customWidth="1"/>
    <col min="5127" max="5129" width="9" style="551" customWidth="1"/>
    <col min="5130" max="5130" width="11.25" style="551" customWidth="1"/>
    <col min="5131" max="5132" width="11.75" style="551" customWidth="1"/>
    <col min="5133" max="5136" width="9" style="551" customWidth="1"/>
    <col min="5137" max="5137" width="11.875" style="551" customWidth="1"/>
    <col min="5138" max="5368" width="9" style="551" customWidth="1"/>
    <col min="5369" max="5369" width="5.75" style="551" customWidth="1"/>
    <col min="5370" max="5370" width="14.25" style="551" customWidth="1"/>
    <col min="5371" max="5371" width="6.375" style="551" customWidth="1"/>
    <col min="5372" max="5372" width="5.875" style="551" customWidth="1"/>
    <col min="5373" max="5373" width="5.625" style="551" customWidth="1"/>
    <col min="5374" max="5374" width="6.5" style="551" customWidth="1"/>
    <col min="5375" max="5375" width="8.875" style="551" customWidth="1"/>
    <col min="5376" max="5376" width="8.625" style="551" customWidth="1"/>
    <col min="5377" max="5377" width="6.125" style="551" customWidth="1"/>
    <col min="5378" max="5378" width="5.875" style="551" customWidth="1"/>
    <col min="5379" max="5379" width="6.375" style="551" customWidth="1"/>
    <col min="5380" max="5380" width="29.5" style="551" customWidth="1"/>
    <col min="5381" max="5381" width="8.375" style="551" customWidth="1"/>
    <col min="5382" max="5382" width="8.625" style="551" customWidth="1"/>
    <col min="5383" max="5385" width="9" style="551" customWidth="1"/>
    <col min="5386" max="5386" width="11.25" style="551" customWidth="1"/>
    <col min="5387" max="5388" width="11.75" style="551" customWidth="1"/>
    <col min="5389" max="5392" width="9" style="551" customWidth="1"/>
    <col min="5393" max="5393" width="11.875" style="551" customWidth="1"/>
    <col min="5394" max="5624" width="9" style="551" customWidth="1"/>
    <col min="5625" max="5625" width="5.75" style="551" customWidth="1"/>
    <col min="5626" max="5626" width="14.25" style="551" customWidth="1"/>
    <col min="5627" max="5627" width="6.375" style="551" customWidth="1"/>
    <col min="5628" max="5628" width="5.875" style="551" customWidth="1"/>
    <col min="5629" max="5629" width="5.625" style="551" customWidth="1"/>
    <col min="5630" max="5630" width="6.5" style="551" customWidth="1"/>
    <col min="5631" max="5631" width="8.875" style="551" customWidth="1"/>
    <col min="5632" max="5632" width="8.625" style="551" customWidth="1"/>
    <col min="5633" max="5633" width="6.125" style="551" customWidth="1"/>
    <col min="5634" max="5634" width="5.875" style="551" customWidth="1"/>
    <col min="5635" max="5635" width="6.375" style="551" customWidth="1"/>
    <col min="5636" max="5636" width="29.5" style="551" customWidth="1"/>
    <col min="5637" max="5637" width="8.375" style="551" customWidth="1"/>
    <col min="5638" max="5638" width="8.625" style="551" customWidth="1"/>
    <col min="5639" max="5641" width="9" style="551" customWidth="1"/>
    <col min="5642" max="5642" width="11.25" style="551" customWidth="1"/>
    <col min="5643" max="5644" width="11.75" style="551" customWidth="1"/>
    <col min="5645" max="5648" width="9" style="551" customWidth="1"/>
    <col min="5649" max="5649" width="11.875" style="551" customWidth="1"/>
    <col min="5650" max="5880" width="9" style="551" customWidth="1"/>
    <col min="5881" max="5881" width="5.75" style="551" customWidth="1"/>
    <col min="5882" max="5882" width="14.25" style="551" customWidth="1"/>
    <col min="5883" max="5883" width="6.375" style="551" customWidth="1"/>
    <col min="5884" max="5884" width="5.875" style="551" customWidth="1"/>
    <col min="5885" max="5885" width="5.625" style="551" customWidth="1"/>
    <col min="5886" max="5886" width="6.5" style="551" customWidth="1"/>
    <col min="5887" max="5887" width="8.875" style="551" customWidth="1"/>
    <col min="5888" max="5888" width="8.625" style="551" customWidth="1"/>
    <col min="5889" max="5889" width="6.125" style="551" customWidth="1"/>
    <col min="5890" max="5890" width="5.875" style="551" customWidth="1"/>
    <col min="5891" max="5891" width="6.375" style="551" customWidth="1"/>
    <col min="5892" max="5892" width="29.5" style="551" customWidth="1"/>
    <col min="5893" max="5893" width="8.375" style="551" customWidth="1"/>
    <col min="5894" max="5894" width="8.625" style="551" customWidth="1"/>
    <col min="5895" max="5897" width="9" style="551" customWidth="1"/>
    <col min="5898" max="5898" width="11.25" style="551" customWidth="1"/>
    <col min="5899" max="5900" width="11.75" style="551" customWidth="1"/>
    <col min="5901" max="5904" width="9" style="551" customWidth="1"/>
    <col min="5905" max="5905" width="11.875" style="551" customWidth="1"/>
    <col min="5906" max="6136" width="9" style="551" customWidth="1"/>
    <col min="6137" max="6137" width="5.75" style="551" customWidth="1"/>
    <col min="6138" max="6138" width="14.25" style="551" customWidth="1"/>
    <col min="6139" max="6139" width="6.375" style="551" customWidth="1"/>
    <col min="6140" max="6140" width="5.875" style="551" customWidth="1"/>
    <col min="6141" max="6141" width="5.625" style="551" customWidth="1"/>
    <col min="6142" max="6142" width="6.5" style="551" customWidth="1"/>
    <col min="6143" max="6143" width="8.875" style="551" customWidth="1"/>
    <col min="6144" max="6144" width="8.625" style="551" customWidth="1"/>
    <col min="6145" max="6145" width="6.125" style="551" customWidth="1"/>
    <col min="6146" max="6146" width="5.875" style="551" customWidth="1"/>
    <col min="6147" max="6147" width="6.375" style="551" customWidth="1"/>
    <col min="6148" max="6148" width="29.5" style="551" customWidth="1"/>
    <col min="6149" max="6149" width="8.375" style="551" customWidth="1"/>
    <col min="6150" max="6150" width="8.625" style="551" customWidth="1"/>
    <col min="6151" max="6153" width="9" style="551" customWidth="1"/>
    <col min="6154" max="6154" width="11.25" style="551" customWidth="1"/>
    <col min="6155" max="6156" width="11.75" style="551" customWidth="1"/>
    <col min="6157" max="6160" width="9" style="551" customWidth="1"/>
    <col min="6161" max="6161" width="11.875" style="551" customWidth="1"/>
    <col min="6162" max="6392" width="9" style="551" customWidth="1"/>
    <col min="6393" max="6393" width="5.75" style="551" customWidth="1"/>
    <col min="6394" max="6394" width="14.25" style="551" customWidth="1"/>
    <col min="6395" max="6395" width="6.375" style="551" customWidth="1"/>
    <col min="6396" max="6396" width="5.875" style="551" customWidth="1"/>
    <col min="6397" max="6397" width="5.625" style="551" customWidth="1"/>
    <col min="6398" max="6398" width="6.5" style="551" customWidth="1"/>
    <col min="6399" max="6399" width="8.875" style="551" customWidth="1"/>
    <col min="6400" max="6400" width="8.625" style="551" customWidth="1"/>
    <col min="6401" max="6401" width="6.125" style="551" customWidth="1"/>
    <col min="6402" max="6402" width="5.875" style="551" customWidth="1"/>
    <col min="6403" max="6403" width="6.375" style="551" customWidth="1"/>
    <col min="6404" max="6404" width="29.5" style="551" customWidth="1"/>
    <col min="6405" max="6405" width="8.375" style="551" customWidth="1"/>
    <col min="6406" max="6406" width="8.625" style="551" customWidth="1"/>
    <col min="6407" max="6409" width="9" style="551" customWidth="1"/>
    <col min="6410" max="6410" width="11.25" style="551" customWidth="1"/>
    <col min="6411" max="6412" width="11.75" style="551" customWidth="1"/>
    <col min="6413" max="6416" width="9" style="551" customWidth="1"/>
    <col min="6417" max="6417" width="11.875" style="551" customWidth="1"/>
    <col min="6418" max="6648" width="9" style="551" customWidth="1"/>
    <col min="6649" max="6649" width="5.75" style="551" customWidth="1"/>
    <col min="6650" max="6650" width="14.25" style="551" customWidth="1"/>
    <col min="6651" max="6651" width="6.375" style="551" customWidth="1"/>
    <col min="6652" max="6652" width="5.875" style="551" customWidth="1"/>
    <col min="6653" max="6653" width="5.625" style="551" customWidth="1"/>
    <col min="6654" max="6654" width="6.5" style="551" customWidth="1"/>
    <col min="6655" max="6655" width="8.875" style="551" customWidth="1"/>
    <col min="6656" max="6656" width="8.625" style="551" customWidth="1"/>
    <col min="6657" max="6657" width="6.125" style="551" customWidth="1"/>
    <col min="6658" max="6658" width="5.875" style="551" customWidth="1"/>
    <col min="6659" max="6659" width="6.375" style="551" customWidth="1"/>
    <col min="6660" max="6660" width="29.5" style="551" customWidth="1"/>
    <col min="6661" max="6661" width="8.375" style="551" customWidth="1"/>
    <col min="6662" max="6662" width="8.625" style="551" customWidth="1"/>
    <col min="6663" max="6665" width="9" style="551" customWidth="1"/>
    <col min="6666" max="6666" width="11.25" style="551" customWidth="1"/>
    <col min="6667" max="6668" width="11.75" style="551" customWidth="1"/>
    <col min="6669" max="6672" width="9" style="551" customWidth="1"/>
    <col min="6673" max="6673" width="11.875" style="551" customWidth="1"/>
    <col min="6674" max="6904" width="9" style="551" customWidth="1"/>
    <col min="6905" max="6905" width="5.75" style="551" customWidth="1"/>
    <col min="6906" max="6906" width="14.25" style="551" customWidth="1"/>
    <col min="6907" max="6907" width="6.375" style="551" customWidth="1"/>
    <col min="6908" max="6908" width="5.875" style="551" customWidth="1"/>
    <col min="6909" max="6909" width="5.625" style="551" customWidth="1"/>
    <col min="6910" max="6910" width="6.5" style="551" customWidth="1"/>
    <col min="6911" max="6911" width="8.875" style="551" customWidth="1"/>
    <col min="6912" max="6912" width="8.625" style="551" customWidth="1"/>
    <col min="6913" max="6913" width="6.125" style="551" customWidth="1"/>
    <col min="6914" max="6914" width="5.875" style="551" customWidth="1"/>
    <col min="6915" max="6915" width="6.375" style="551" customWidth="1"/>
    <col min="6916" max="6916" width="29.5" style="551" customWidth="1"/>
    <col min="6917" max="6917" width="8.375" style="551" customWidth="1"/>
    <col min="6918" max="6918" width="8.625" style="551" customWidth="1"/>
    <col min="6919" max="6921" width="9" style="551" customWidth="1"/>
    <col min="6922" max="6922" width="11.25" style="551" customWidth="1"/>
    <col min="6923" max="6924" width="11.75" style="551" customWidth="1"/>
    <col min="6925" max="6928" width="9" style="551" customWidth="1"/>
    <col min="6929" max="6929" width="11.875" style="551" customWidth="1"/>
    <col min="6930" max="7160" width="9" style="551" customWidth="1"/>
    <col min="7161" max="7161" width="5.75" style="551" customWidth="1"/>
    <col min="7162" max="7162" width="14.25" style="551" customWidth="1"/>
    <col min="7163" max="7163" width="6.375" style="551" customWidth="1"/>
    <col min="7164" max="7164" width="5.875" style="551" customWidth="1"/>
    <col min="7165" max="7165" width="5.625" style="551" customWidth="1"/>
    <col min="7166" max="7166" width="6.5" style="551" customWidth="1"/>
    <col min="7167" max="7167" width="8.875" style="551" customWidth="1"/>
    <col min="7168" max="7168" width="8.625" style="551" customWidth="1"/>
    <col min="7169" max="7169" width="6.125" style="551" customWidth="1"/>
    <col min="7170" max="7170" width="5.875" style="551" customWidth="1"/>
    <col min="7171" max="7171" width="6.375" style="551" customWidth="1"/>
    <col min="7172" max="7172" width="29.5" style="551" customWidth="1"/>
    <col min="7173" max="7173" width="8.375" style="551" customWidth="1"/>
    <col min="7174" max="7174" width="8.625" style="551" customWidth="1"/>
    <col min="7175" max="7177" width="9" style="551" customWidth="1"/>
    <col min="7178" max="7178" width="11.25" style="551" customWidth="1"/>
    <col min="7179" max="7180" width="11.75" style="551" customWidth="1"/>
    <col min="7181" max="7184" width="9" style="551" customWidth="1"/>
    <col min="7185" max="7185" width="11.875" style="551" customWidth="1"/>
    <col min="7186" max="7416" width="9" style="551" customWidth="1"/>
    <col min="7417" max="7417" width="5.75" style="551" customWidth="1"/>
    <col min="7418" max="7418" width="14.25" style="551" customWidth="1"/>
    <col min="7419" max="7419" width="6.375" style="551" customWidth="1"/>
    <col min="7420" max="7420" width="5.875" style="551" customWidth="1"/>
    <col min="7421" max="7421" width="5.625" style="551" customWidth="1"/>
    <col min="7422" max="7422" width="6.5" style="551" customWidth="1"/>
    <col min="7423" max="7423" width="8.875" style="551" customWidth="1"/>
    <col min="7424" max="7424" width="8.625" style="551" customWidth="1"/>
    <col min="7425" max="7425" width="6.125" style="551" customWidth="1"/>
    <col min="7426" max="7426" width="5.875" style="551" customWidth="1"/>
    <col min="7427" max="7427" width="6.375" style="551" customWidth="1"/>
    <col min="7428" max="7428" width="29.5" style="551" customWidth="1"/>
    <col min="7429" max="7429" width="8.375" style="551" customWidth="1"/>
    <col min="7430" max="7430" width="8.625" style="551" customWidth="1"/>
    <col min="7431" max="7433" width="9" style="551" customWidth="1"/>
    <col min="7434" max="7434" width="11.25" style="551" customWidth="1"/>
    <col min="7435" max="7436" width="11.75" style="551" customWidth="1"/>
    <col min="7437" max="7440" width="9" style="551" customWidth="1"/>
    <col min="7441" max="7441" width="11.875" style="551" customWidth="1"/>
    <col min="7442" max="7672" width="9" style="551" customWidth="1"/>
    <col min="7673" max="7673" width="5.75" style="551" customWidth="1"/>
    <col min="7674" max="7674" width="14.25" style="551" customWidth="1"/>
    <col min="7675" max="7675" width="6.375" style="551" customWidth="1"/>
    <col min="7676" max="7676" width="5.875" style="551" customWidth="1"/>
    <col min="7677" max="7677" width="5.625" style="551" customWidth="1"/>
    <col min="7678" max="7678" width="6.5" style="551" customWidth="1"/>
    <col min="7679" max="7679" width="8.875" style="551" customWidth="1"/>
    <col min="7680" max="7680" width="8.625" style="551" customWidth="1"/>
    <col min="7681" max="7681" width="6.125" style="551" customWidth="1"/>
    <col min="7682" max="7682" width="5.875" style="551" customWidth="1"/>
    <col min="7683" max="7683" width="6.375" style="551" customWidth="1"/>
    <col min="7684" max="7684" width="29.5" style="551" customWidth="1"/>
    <col min="7685" max="7685" width="8.375" style="551" customWidth="1"/>
    <col min="7686" max="7686" width="8.625" style="551" customWidth="1"/>
    <col min="7687" max="7689" width="9" style="551" customWidth="1"/>
    <col min="7690" max="7690" width="11.25" style="551" customWidth="1"/>
    <col min="7691" max="7692" width="11.75" style="551" customWidth="1"/>
    <col min="7693" max="7696" width="9" style="551" customWidth="1"/>
    <col min="7697" max="7697" width="11.875" style="551" customWidth="1"/>
    <col min="7698" max="7928" width="9" style="551" customWidth="1"/>
    <col min="7929" max="7929" width="5.75" style="551" customWidth="1"/>
    <col min="7930" max="7930" width="14.25" style="551" customWidth="1"/>
    <col min="7931" max="7931" width="6.375" style="551" customWidth="1"/>
    <col min="7932" max="7932" width="5.875" style="551" customWidth="1"/>
    <col min="7933" max="7933" width="5.625" style="551" customWidth="1"/>
    <col min="7934" max="7934" width="6.5" style="551" customWidth="1"/>
    <col min="7935" max="7935" width="8.875" style="551" customWidth="1"/>
    <col min="7936" max="7936" width="8.625" style="551" customWidth="1"/>
    <col min="7937" max="7937" width="6.125" style="551" customWidth="1"/>
    <col min="7938" max="7938" width="5.875" style="551" customWidth="1"/>
    <col min="7939" max="7939" width="6.375" style="551" customWidth="1"/>
    <col min="7940" max="7940" width="29.5" style="551" customWidth="1"/>
    <col min="7941" max="7941" width="8.375" style="551" customWidth="1"/>
    <col min="7942" max="7942" width="8.625" style="551" customWidth="1"/>
    <col min="7943" max="7945" width="9" style="551" customWidth="1"/>
    <col min="7946" max="7946" width="11.25" style="551" customWidth="1"/>
    <col min="7947" max="7948" width="11.75" style="551" customWidth="1"/>
    <col min="7949" max="7952" width="9" style="551" customWidth="1"/>
    <col min="7953" max="7953" width="11.875" style="551" customWidth="1"/>
    <col min="7954" max="8184" width="9" style="551" customWidth="1"/>
    <col min="8185" max="8185" width="5.75" style="551" customWidth="1"/>
    <col min="8186" max="8186" width="14.25" style="551" customWidth="1"/>
    <col min="8187" max="8187" width="6.375" style="551" customWidth="1"/>
    <col min="8188" max="8188" width="5.875" style="551" customWidth="1"/>
    <col min="8189" max="8189" width="5.625" style="551" customWidth="1"/>
    <col min="8190" max="8190" width="6.5" style="551" customWidth="1"/>
    <col min="8191" max="8191" width="8.875" style="551" customWidth="1"/>
    <col min="8192" max="8192" width="8.625" style="551" customWidth="1"/>
    <col min="8193" max="8193" width="6.125" style="551" customWidth="1"/>
    <col min="8194" max="8194" width="5.875" style="551" customWidth="1"/>
    <col min="8195" max="8195" width="6.375" style="551" customWidth="1"/>
    <col min="8196" max="8196" width="29.5" style="551" customWidth="1"/>
    <col min="8197" max="8197" width="8.375" style="551" customWidth="1"/>
    <col min="8198" max="8198" width="8.625" style="551" customWidth="1"/>
    <col min="8199" max="8201" width="9" style="551" customWidth="1"/>
    <col min="8202" max="8202" width="11.25" style="551" customWidth="1"/>
    <col min="8203" max="8204" width="11.75" style="551" customWidth="1"/>
    <col min="8205" max="8208" width="9" style="551" customWidth="1"/>
    <col min="8209" max="8209" width="11.875" style="551" customWidth="1"/>
    <col min="8210" max="8440" width="9" style="551" customWidth="1"/>
    <col min="8441" max="8441" width="5.75" style="551" customWidth="1"/>
    <col min="8442" max="8442" width="14.25" style="551" customWidth="1"/>
    <col min="8443" max="8443" width="6.375" style="551" customWidth="1"/>
    <col min="8444" max="8444" width="5.875" style="551" customWidth="1"/>
    <col min="8445" max="8445" width="5.625" style="551" customWidth="1"/>
    <col min="8446" max="8446" width="6.5" style="551" customWidth="1"/>
    <col min="8447" max="8447" width="8.875" style="551" customWidth="1"/>
    <col min="8448" max="8448" width="8.625" style="551" customWidth="1"/>
    <col min="8449" max="8449" width="6.125" style="551" customWidth="1"/>
    <col min="8450" max="8450" width="5.875" style="551" customWidth="1"/>
    <col min="8451" max="8451" width="6.375" style="551" customWidth="1"/>
    <col min="8452" max="8452" width="29.5" style="551" customWidth="1"/>
    <col min="8453" max="8453" width="8.375" style="551" customWidth="1"/>
    <col min="8454" max="8454" width="8.625" style="551" customWidth="1"/>
    <col min="8455" max="8457" width="9" style="551" customWidth="1"/>
    <col min="8458" max="8458" width="11.25" style="551" customWidth="1"/>
    <col min="8459" max="8460" width="11.75" style="551" customWidth="1"/>
    <col min="8461" max="8464" width="9" style="551" customWidth="1"/>
    <col min="8465" max="8465" width="11.875" style="551" customWidth="1"/>
    <col min="8466" max="8696" width="9" style="551" customWidth="1"/>
    <col min="8697" max="8697" width="5.75" style="551" customWidth="1"/>
    <col min="8698" max="8698" width="14.25" style="551" customWidth="1"/>
    <col min="8699" max="8699" width="6.375" style="551" customWidth="1"/>
    <col min="8700" max="8700" width="5.875" style="551" customWidth="1"/>
    <col min="8701" max="8701" width="5.625" style="551" customWidth="1"/>
    <col min="8702" max="8702" width="6.5" style="551" customWidth="1"/>
    <col min="8703" max="8703" width="8.875" style="551" customWidth="1"/>
    <col min="8704" max="8704" width="8.625" style="551" customWidth="1"/>
    <col min="8705" max="8705" width="6.125" style="551" customWidth="1"/>
    <col min="8706" max="8706" width="5.875" style="551" customWidth="1"/>
    <col min="8707" max="8707" width="6.375" style="551" customWidth="1"/>
    <col min="8708" max="8708" width="29.5" style="551" customWidth="1"/>
    <col min="8709" max="8709" width="8.375" style="551" customWidth="1"/>
    <col min="8710" max="8710" width="8.625" style="551" customWidth="1"/>
    <col min="8711" max="8713" width="9" style="551" customWidth="1"/>
    <col min="8714" max="8714" width="11.25" style="551" customWidth="1"/>
    <col min="8715" max="8716" width="11.75" style="551" customWidth="1"/>
    <col min="8717" max="8720" width="9" style="551" customWidth="1"/>
    <col min="8721" max="8721" width="11.875" style="551" customWidth="1"/>
    <col min="8722" max="8952" width="9" style="551" customWidth="1"/>
    <col min="8953" max="8953" width="5.75" style="551" customWidth="1"/>
    <col min="8954" max="8954" width="14.25" style="551" customWidth="1"/>
    <col min="8955" max="8955" width="6.375" style="551" customWidth="1"/>
    <col min="8956" max="8956" width="5.875" style="551" customWidth="1"/>
    <col min="8957" max="8957" width="5.625" style="551" customWidth="1"/>
    <col min="8958" max="8958" width="6.5" style="551" customWidth="1"/>
    <col min="8959" max="8959" width="8.875" style="551" customWidth="1"/>
    <col min="8960" max="8960" width="8.625" style="551" customWidth="1"/>
    <col min="8961" max="8961" width="6.125" style="551" customWidth="1"/>
    <col min="8962" max="8962" width="5.875" style="551" customWidth="1"/>
    <col min="8963" max="8963" width="6.375" style="551" customWidth="1"/>
    <col min="8964" max="8964" width="29.5" style="551" customWidth="1"/>
    <col min="8965" max="8965" width="8.375" style="551" customWidth="1"/>
    <col min="8966" max="8966" width="8.625" style="551" customWidth="1"/>
    <col min="8967" max="8969" width="9" style="551" customWidth="1"/>
    <col min="8970" max="8970" width="11.25" style="551" customWidth="1"/>
    <col min="8971" max="8972" width="11.75" style="551" customWidth="1"/>
    <col min="8973" max="8976" width="9" style="551" customWidth="1"/>
    <col min="8977" max="8977" width="11.875" style="551" customWidth="1"/>
    <col min="8978" max="9208" width="9" style="551" customWidth="1"/>
    <col min="9209" max="9209" width="5.75" style="551" customWidth="1"/>
    <col min="9210" max="9210" width="14.25" style="551" customWidth="1"/>
    <col min="9211" max="9211" width="6.375" style="551" customWidth="1"/>
    <col min="9212" max="9212" width="5.875" style="551" customWidth="1"/>
    <col min="9213" max="9213" width="5.625" style="551" customWidth="1"/>
    <col min="9214" max="9214" width="6.5" style="551" customWidth="1"/>
    <col min="9215" max="9215" width="8.875" style="551" customWidth="1"/>
    <col min="9216" max="9216" width="8.625" style="551" customWidth="1"/>
    <col min="9217" max="9217" width="6.125" style="551" customWidth="1"/>
    <col min="9218" max="9218" width="5.875" style="551" customWidth="1"/>
    <col min="9219" max="9219" width="6.375" style="551" customWidth="1"/>
    <col min="9220" max="9220" width="29.5" style="551" customWidth="1"/>
    <col min="9221" max="9221" width="8.375" style="551" customWidth="1"/>
    <col min="9222" max="9222" width="8.625" style="551" customWidth="1"/>
    <col min="9223" max="9225" width="9" style="551" customWidth="1"/>
    <col min="9226" max="9226" width="11.25" style="551" customWidth="1"/>
    <col min="9227" max="9228" width="11.75" style="551" customWidth="1"/>
    <col min="9229" max="9232" width="9" style="551" customWidth="1"/>
    <col min="9233" max="9233" width="11.875" style="551" customWidth="1"/>
    <col min="9234" max="9464" width="9" style="551" customWidth="1"/>
    <col min="9465" max="9465" width="5.75" style="551" customWidth="1"/>
    <col min="9466" max="9466" width="14.25" style="551" customWidth="1"/>
    <col min="9467" max="9467" width="6.375" style="551" customWidth="1"/>
    <col min="9468" max="9468" width="5.875" style="551" customWidth="1"/>
    <col min="9469" max="9469" width="5.625" style="551" customWidth="1"/>
    <col min="9470" max="9470" width="6.5" style="551" customWidth="1"/>
    <col min="9471" max="9471" width="8.875" style="551" customWidth="1"/>
    <col min="9472" max="9472" width="8.625" style="551" customWidth="1"/>
    <col min="9473" max="9473" width="6.125" style="551" customWidth="1"/>
    <col min="9474" max="9474" width="5.875" style="551" customWidth="1"/>
    <col min="9475" max="9475" width="6.375" style="551" customWidth="1"/>
    <col min="9476" max="9476" width="29.5" style="551" customWidth="1"/>
    <col min="9477" max="9477" width="8.375" style="551" customWidth="1"/>
    <col min="9478" max="9478" width="8.625" style="551" customWidth="1"/>
    <col min="9479" max="9481" width="9" style="551" customWidth="1"/>
    <col min="9482" max="9482" width="11.25" style="551" customWidth="1"/>
    <col min="9483" max="9484" width="11.75" style="551" customWidth="1"/>
    <col min="9485" max="9488" width="9" style="551" customWidth="1"/>
    <col min="9489" max="9489" width="11.875" style="551" customWidth="1"/>
    <col min="9490" max="9720" width="9" style="551" customWidth="1"/>
    <col min="9721" max="9721" width="5.75" style="551" customWidth="1"/>
    <col min="9722" max="9722" width="14.25" style="551" customWidth="1"/>
    <col min="9723" max="9723" width="6.375" style="551" customWidth="1"/>
    <col min="9724" max="9724" width="5.875" style="551" customWidth="1"/>
    <col min="9725" max="9725" width="5.625" style="551" customWidth="1"/>
    <col min="9726" max="9726" width="6.5" style="551" customWidth="1"/>
    <col min="9727" max="9727" width="8.875" style="551" customWidth="1"/>
    <col min="9728" max="9728" width="8.625" style="551" customWidth="1"/>
    <col min="9729" max="9729" width="6.125" style="551" customWidth="1"/>
    <col min="9730" max="9730" width="5.875" style="551" customWidth="1"/>
    <col min="9731" max="9731" width="6.375" style="551" customWidth="1"/>
    <col min="9732" max="9732" width="29.5" style="551" customWidth="1"/>
    <col min="9733" max="9733" width="8.375" style="551" customWidth="1"/>
    <col min="9734" max="9734" width="8.625" style="551" customWidth="1"/>
    <col min="9735" max="9737" width="9" style="551" customWidth="1"/>
    <col min="9738" max="9738" width="11.25" style="551" customWidth="1"/>
    <col min="9739" max="9740" width="11.75" style="551" customWidth="1"/>
    <col min="9741" max="9744" width="9" style="551" customWidth="1"/>
    <col min="9745" max="9745" width="11.875" style="551" customWidth="1"/>
    <col min="9746" max="9976" width="9" style="551" customWidth="1"/>
    <col min="9977" max="9977" width="5.75" style="551" customWidth="1"/>
    <col min="9978" max="9978" width="14.25" style="551" customWidth="1"/>
    <col min="9979" max="9979" width="6.375" style="551" customWidth="1"/>
    <col min="9980" max="9980" width="5.875" style="551" customWidth="1"/>
    <col min="9981" max="9981" width="5.625" style="551" customWidth="1"/>
    <col min="9982" max="9982" width="6.5" style="551" customWidth="1"/>
    <col min="9983" max="9983" width="8.875" style="551" customWidth="1"/>
    <col min="9984" max="9984" width="8.625" style="551" customWidth="1"/>
    <col min="9985" max="9985" width="6.125" style="551" customWidth="1"/>
    <col min="9986" max="9986" width="5.875" style="551" customWidth="1"/>
    <col min="9987" max="9987" width="6.375" style="551" customWidth="1"/>
    <col min="9988" max="9988" width="29.5" style="551" customWidth="1"/>
    <col min="9989" max="9989" width="8.375" style="551" customWidth="1"/>
    <col min="9990" max="9990" width="8.625" style="551" customWidth="1"/>
    <col min="9991" max="9993" width="9" style="551" customWidth="1"/>
    <col min="9994" max="9994" width="11.25" style="551" customWidth="1"/>
    <col min="9995" max="9996" width="11.75" style="551" customWidth="1"/>
    <col min="9997" max="10000" width="9" style="551" customWidth="1"/>
    <col min="10001" max="10001" width="11.875" style="551" customWidth="1"/>
    <col min="10002" max="10232" width="9" style="551" customWidth="1"/>
    <col min="10233" max="10233" width="5.75" style="551" customWidth="1"/>
    <col min="10234" max="10234" width="14.25" style="551" customWidth="1"/>
    <col min="10235" max="10235" width="6.375" style="551" customWidth="1"/>
    <col min="10236" max="10236" width="5.875" style="551" customWidth="1"/>
    <col min="10237" max="10237" width="5.625" style="551" customWidth="1"/>
    <col min="10238" max="10238" width="6.5" style="551" customWidth="1"/>
    <col min="10239" max="10239" width="8.875" style="551" customWidth="1"/>
    <col min="10240" max="10240" width="8.625" style="551" customWidth="1"/>
    <col min="10241" max="10241" width="6.125" style="551" customWidth="1"/>
    <col min="10242" max="10242" width="5.875" style="551" customWidth="1"/>
    <col min="10243" max="10243" width="6.375" style="551" customWidth="1"/>
    <col min="10244" max="10244" width="29.5" style="551" customWidth="1"/>
    <col min="10245" max="10245" width="8.375" style="551" customWidth="1"/>
    <col min="10246" max="10246" width="8.625" style="551" customWidth="1"/>
    <col min="10247" max="10249" width="9" style="551" customWidth="1"/>
    <col min="10250" max="10250" width="11.25" style="551" customWidth="1"/>
    <col min="10251" max="10252" width="11.75" style="551" customWidth="1"/>
    <col min="10253" max="10256" width="9" style="551" customWidth="1"/>
    <col min="10257" max="10257" width="11.875" style="551" customWidth="1"/>
    <col min="10258" max="10488" width="9" style="551" customWidth="1"/>
    <col min="10489" max="10489" width="5.75" style="551" customWidth="1"/>
    <col min="10490" max="10490" width="14.25" style="551" customWidth="1"/>
    <col min="10491" max="10491" width="6.375" style="551" customWidth="1"/>
    <col min="10492" max="10492" width="5.875" style="551" customWidth="1"/>
    <col min="10493" max="10493" width="5.625" style="551" customWidth="1"/>
    <col min="10494" max="10494" width="6.5" style="551" customWidth="1"/>
    <col min="10495" max="10495" width="8.875" style="551" customWidth="1"/>
    <col min="10496" max="10496" width="8.625" style="551" customWidth="1"/>
    <col min="10497" max="10497" width="6.125" style="551" customWidth="1"/>
    <col min="10498" max="10498" width="5.875" style="551" customWidth="1"/>
    <col min="10499" max="10499" width="6.375" style="551" customWidth="1"/>
    <col min="10500" max="10500" width="29.5" style="551" customWidth="1"/>
    <col min="10501" max="10501" width="8.375" style="551" customWidth="1"/>
    <col min="10502" max="10502" width="8.625" style="551" customWidth="1"/>
    <col min="10503" max="10505" width="9" style="551" customWidth="1"/>
    <col min="10506" max="10506" width="11.25" style="551" customWidth="1"/>
    <col min="10507" max="10508" width="11.75" style="551" customWidth="1"/>
    <col min="10509" max="10512" width="9" style="551" customWidth="1"/>
    <col min="10513" max="10513" width="11.875" style="551" customWidth="1"/>
    <col min="10514" max="10744" width="9" style="551" customWidth="1"/>
    <col min="10745" max="10745" width="5.75" style="551" customWidth="1"/>
    <col min="10746" max="10746" width="14.25" style="551" customWidth="1"/>
    <col min="10747" max="10747" width="6.375" style="551" customWidth="1"/>
    <col min="10748" max="10748" width="5.875" style="551" customWidth="1"/>
    <col min="10749" max="10749" width="5.625" style="551" customWidth="1"/>
    <col min="10750" max="10750" width="6.5" style="551" customWidth="1"/>
    <col min="10751" max="10751" width="8.875" style="551" customWidth="1"/>
    <col min="10752" max="10752" width="8.625" style="551" customWidth="1"/>
    <col min="10753" max="10753" width="6.125" style="551" customWidth="1"/>
    <col min="10754" max="10754" width="5.875" style="551" customWidth="1"/>
    <col min="10755" max="10755" width="6.375" style="551" customWidth="1"/>
    <col min="10756" max="10756" width="29.5" style="551" customWidth="1"/>
    <col min="10757" max="10757" width="8.375" style="551" customWidth="1"/>
    <col min="10758" max="10758" width="8.625" style="551" customWidth="1"/>
    <col min="10759" max="10761" width="9" style="551" customWidth="1"/>
    <col min="10762" max="10762" width="11.25" style="551" customWidth="1"/>
    <col min="10763" max="10764" width="11.75" style="551" customWidth="1"/>
    <col min="10765" max="10768" width="9" style="551" customWidth="1"/>
    <col min="10769" max="10769" width="11.875" style="551" customWidth="1"/>
    <col min="10770" max="11000" width="9" style="551" customWidth="1"/>
    <col min="11001" max="11001" width="5.75" style="551" customWidth="1"/>
    <col min="11002" max="11002" width="14.25" style="551" customWidth="1"/>
    <col min="11003" max="11003" width="6.375" style="551" customWidth="1"/>
    <col min="11004" max="11004" width="5.875" style="551" customWidth="1"/>
    <col min="11005" max="11005" width="5.625" style="551" customWidth="1"/>
    <col min="11006" max="11006" width="6.5" style="551" customWidth="1"/>
    <col min="11007" max="11007" width="8.875" style="551" customWidth="1"/>
    <col min="11008" max="11008" width="8.625" style="551" customWidth="1"/>
    <col min="11009" max="11009" width="6.125" style="551" customWidth="1"/>
    <col min="11010" max="11010" width="5.875" style="551" customWidth="1"/>
    <col min="11011" max="11011" width="6.375" style="551" customWidth="1"/>
    <col min="11012" max="11012" width="29.5" style="551" customWidth="1"/>
    <col min="11013" max="11013" width="8.375" style="551" customWidth="1"/>
    <col min="11014" max="11014" width="8.625" style="551" customWidth="1"/>
    <col min="11015" max="11017" width="9" style="551" customWidth="1"/>
    <col min="11018" max="11018" width="11.25" style="551" customWidth="1"/>
    <col min="11019" max="11020" width="11.75" style="551" customWidth="1"/>
    <col min="11021" max="11024" width="9" style="551" customWidth="1"/>
    <col min="11025" max="11025" width="11.875" style="551" customWidth="1"/>
    <col min="11026" max="11256" width="9" style="551" customWidth="1"/>
    <col min="11257" max="11257" width="5.75" style="551" customWidth="1"/>
    <col min="11258" max="11258" width="14.25" style="551" customWidth="1"/>
    <col min="11259" max="11259" width="6.375" style="551" customWidth="1"/>
    <col min="11260" max="11260" width="5.875" style="551" customWidth="1"/>
    <col min="11261" max="11261" width="5.625" style="551" customWidth="1"/>
    <col min="11262" max="11262" width="6.5" style="551" customWidth="1"/>
    <col min="11263" max="11263" width="8.875" style="551" customWidth="1"/>
    <col min="11264" max="11264" width="8.625" style="551" customWidth="1"/>
    <col min="11265" max="11265" width="6.125" style="551" customWidth="1"/>
    <col min="11266" max="11266" width="5.875" style="551" customWidth="1"/>
    <col min="11267" max="11267" width="6.375" style="551" customWidth="1"/>
    <col min="11268" max="11268" width="29.5" style="551" customWidth="1"/>
    <col min="11269" max="11269" width="8.375" style="551" customWidth="1"/>
    <col min="11270" max="11270" width="8.625" style="551" customWidth="1"/>
    <col min="11271" max="11273" width="9" style="551" customWidth="1"/>
    <col min="11274" max="11274" width="11.25" style="551" customWidth="1"/>
    <col min="11275" max="11276" width="11.75" style="551" customWidth="1"/>
    <col min="11277" max="11280" width="9" style="551" customWidth="1"/>
    <col min="11281" max="11281" width="11.875" style="551" customWidth="1"/>
    <col min="11282" max="11512" width="9" style="551" customWidth="1"/>
    <col min="11513" max="11513" width="5.75" style="551" customWidth="1"/>
    <col min="11514" max="11514" width="14.25" style="551" customWidth="1"/>
    <col min="11515" max="11515" width="6.375" style="551" customWidth="1"/>
    <col min="11516" max="11516" width="5.875" style="551" customWidth="1"/>
    <col min="11517" max="11517" width="5.625" style="551" customWidth="1"/>
    <col min="11518" max="11518" width="6.5" style="551" customWidth="1"/>
    <col min="11519" max="11519" width="8.875" style="551" customWidth="1"/>
    <col min="11520" max="11520" width="8.625" style="551" customWidth="1"/>
    <col min="11521" max="11521" width="6.125" style="551" customWidth="1"/>
    <col min="11522" max="11522" width="5.875" style="551" customWidth="1"/>
    <col min="11523" max="11523" width="6.375" style="551" customWidth="1"/>
    <col min="11524" max="11524" width="29.5" style="551" customWidth="1"/>
    <col min="11525" max="11525" width="8.375" style="551" customWidth="1"/>
    <col min="11526" max="11526" width="8.625" style="551" customWidth="1"/>
    <col min="11527" max="11529" width="9" style="551" customWidth="1"/>
    <col min="11530" max="11530" width="11.25" style="551" customWidth="1"/>
    <col min="11531" max="11532" width="11.75" style="551" customWidth="1"/>
    <col min="11533" max="11536" width="9" style="551" customWidth="1"/>
    <col min="11537" max="11537" width="11.875" style="551" customWidth="1"/>
    <col min="11538" max="11768" width="9" style="551" customWidth="1"/>
    <col min="11769" max="11769" width="5.75" style="551" customWidth="1"/>
    <col min="11770" max="11770" width="14.25" style="551" customWidth="1"/>
    <col min="11771" max="11771" width="6.375" style="551" customWidth="1"/>
    <col min="11772" max="11772" width="5.875" style="551" customWidth="1"/>
    <col min="11773" max="11773" width="5.625" style="551" customWidth="1"/>
    <col min="11774" max="11774" width="6.5" style="551" customWidth="1"/>
    <col min="11775" max="11775" width="8.875" style="551" customWidth="1"/>
    <col min="11776" max="11776" width="8.625" style="551" customWidth="1"/>
    <col min="11777" max="11777" width="6.125" style="551" customWidth="1"/>
    <col min="11778" max="11778" width="5.875" style="551" customWidth="1"/>
    <col min="11779" max="11779" width="6.375" style="551" customWidth="1"/>
    <col min="11780" max="11780" width="29.5" style="551" customWidth="1"/>
    <col min="11781" max="11781" width="8.375" style="551" customWidth="1"/>
    <col min="11782" max="11782" width="8.625" style="551" customWidth="1"/>
    <col min="11783" max="11785" width="9" style="551" customWidth="1"/>
    <col min="11786" max="11786" width="11.25" style="551" customWidth="1"/>
    <col min="11787" max="11788" width="11.75" style="551" customWidth="1"/>
    <col min="11789" max="11792" width="9" style="551" customWidth="1"/>
    <col min="11793" max="11793" width="11.875" style="551" customWidth="1"/>
    <col min="11794" max="12024" width="9" style="551" customWidth="1"/>
    <col min="12025" max="12025" width="5.75" style="551" customWidth="1"/>
    <col min="12026" max="12026" width="14.25" style="551" customWidth="1"/>
    <col min="12027" max="12027" width="6.375" style="551" customWidth="1"/>
    <col min="12028" max="12028" width="5.875" style="551" customWidth="1"/>
    <col min="12029" max="12029" width="5.625" style="551" customWidth="1"/>
    <col min="12030" max="12030" width="6.5" style="551" customWidth="1"/>
    <col min="12031" max="12031" width="8.875" style="551" customWidth="1"/>
    <col min="12032" max="12032" width="8.625" style="551" customWidth="1"/>
    <col min="12033" max="12033" width="6.125" style="551" customWidth="1"/>
    <col min="12034" max="12034" width="5.875" style="551" customWidth="1"/>
    <col min="12035" max="12035" width="6.375" style="551" customWidth="1"/>
    <col min="12036" max="12036" width="29.5" style="551" customWidth="1"/>
    <col min="12037" max="12037" width="8.375" style="551" customWidth="1"/>
    <col min="12038" max="12038" width="8.625" style="551" customWidth="1"/>
    <col min="12039" max="12041" width="9" style="551" customWidth="1"/>
    <col min="12042" max="12042" width="11.25" style="551" customWidth="1"/>
    <col min="12043" max="12044" width="11.75" style="551" customWidth="1"/>
    <col min="12045" max="12048" width="9" style="551" customWidth="1"/>
    <col min="12049" max="12049" width="11.875" style="551" customWidth="1"/>
    <col min="12050" max="12280" width="9" style="551" customWidth="1"/>
    <col min="12281" max="12281" width="5.75" style="551" customWidth="1"/>
    <col min="12282" max="12282" width="14.25" style="551" customWidth="1"/>
    <col min="12283" max="12283" width="6.375" style="551" customWidth="1"/>
    <col min="12284" max="12284" width="5.875" style="551" customWidth="1"/>
    <col min="12285" max="12285" width="5.625" style="551" customWidth="1"/>
    <col min="12286" max="12286" width="6.5" style="551" customWidth="1"/>
    <col min="12287" max="12287" width="8.875" style="551" customWidth="1"/>
    <col min="12288" max="12288" width="8.625" style="551" customWidth="1"/>
    <col min="12289" max="12289" width="6.125" style="551" customWidth="1"/>
    <col min="12290" max="12290" width="5.875" style="551" customWidth="1"/>
    <col min="12291" max="12291" width="6.375" style="551" customWidth="1"/>
    <col min="12292" max="12292" width="29.5" style="551" customWidth="1"/>
    <col min="12293" max="12293" width="8.375" style="551" customWidth="1"/>
    <col min="12294" max="12294" width="8.625" style="551" customWidth="1"/>
    <col min="12295" max="12297" width="9" style="551" customWidth="1"/>
    <col min="12298" max="12298" width="11.25" style="551" customWidth="1"/>
    <col min="12299" max="12300" width="11.75" style="551" customWidth="1"/>
    <col min="12301" max="12304" width="9" style="551" customWidth="1"/>
    <col min="12305" max="12305" width="11.875" style="551" customWidth="1"/>
    <col min="12306" max="12536" width="9" style="551" customWidth="1"/>
    <col min="12537" max="12537" width="5.75" style="551" customWidth="1"/>
    <col min="12538" max="12538" width="14.25" style="551" customWidth="1"/>
    <col min="12539" max="12539" width="6.375" style="551" customWidth="1"/>
    <col min="12540" max="12540" width="5.875" style="551" customWidth="1"/>
    <col min="12541" max="12541" width="5.625" style="551" customWidth="1"/>
    <col min="12542" max="12542" width="6.5" style="551" customWidth="1"/>
    <col min="12543" max="12543" width="8.875" style="551" customWidth="1"/>
    <col min="12544" max="12544" width="8.625" style="551" customWidth="1"/>
    <col min="12545" max="12545" width="6.125" style="551" customWidth="1"/>
    <col min="12546" max="12546" width="5.875" style="551" customWidth="1"/>
    <col min="12547" max="12547" width="6.375" style="551" customWidth="1"/>
    <col min="12548" max="12548" width="29.5" style="551" customWidth="1"/>
    <col min="12549" max="12549" width="8.375" style="551" customWidth="1"/>
    <col min="12550" max="12550" width="8.625" style="551" customWidth="1"/>
    <col min="12551" max="12553" width="9" style="551" customWidth="1"/>
    <col min="12554" max="12554" width="11.25" style="551" customWidth="1"/>
    <col min="12555" max="12556" width="11.75" style="551" customWidth="1"/>
    <col min="12557" max="12560" width="9" style="551" customWidth="1"/>
    <col min="12561" max="12561" width="11.875" style="551" customWidth="1"/>
    <col min="12562" max="12792" width="9" style="551" customWidth="1"/>
    <col min="12793" max="12793" width="5.75" style="551" customWidth="1"/>
    <col min="12794" max="12794" width="14.25" style="551" customWidth="1"/>
    <col min="12795" max="12795" width="6.375" style="551" customWidth="1"/>
    <col min="12796" max="12796" width="5.875" style="551" customWidth="1"/>
    <col min="12797" max="12797" width="5.625" style="551" customWidth="1"/>
    <col min="12798" max="12798" width="6.5" style="551" customWidth="1"/>
    <col min="12799" max="12799" width="8.875" style="551" customWidth="1"/>
    <col min="12800" max="12800" width="8.625" style="551" customWidth="1"/>
    <col min="12801" max="12801" width="6.125" style="551" customWidth="1"/>
    <col min="12802" max="12802" width="5.875" style="551" customWidth="1"/>
    <col min="12803" max="12803" width="6.375" style="551" customWidth="1"/>
    <col min="12804" max="12804" width="29.5" style="551" customWidth="1"/>
    <col min="12805" max="12805" width="8.375" style="551" customWidth="1"/>
    <col min="12806" max="12806" width="8.625" style="551" customWidth="1"/>
    <col min="12807" max="12809" width="9" style="551" customWidth="1"/>
    <col min="12810" max="12810" width="11.25" style="551" customWidth="1"/>
    <col min="12811" max="12812" width="11.75" style="551" customWidth="1"/>
    <col min="12813" max="12816" width="9" style="551" customWidth="1"/>
    <col min="12817" max="12817" width="11.875" style="551" customWidth="1"/>
    <col min="12818" max="13048" width="9" style="551" customWidth="1"/>
    <col min="13049" max="13049" width="5.75" style="551" customWidth="1"/>
    <col min="13050" max="13050" width="14.25" style="551" customWidth="1"/>
    <col min="13051" max="13051" width="6.375" style="551" customWidth="1"/>
    <col min="13052" max="13052" width="5.875" style="551" customWidth="1"/>
    <col min="13053" max="13053" width="5.625" style="551" customWidth="1"/>
    <col min="13054" max="13054" width="6.5" style="551" customWidth="1"/>
    <col min="13055" max="13055" width="8.875" style="551" customWidth="1"/>
    <col min="13056" max="13056" width="8.625" style="551" customWidth="1"/>
    <col min="13057" max="13057" width="6.125" style="551" customWidth="1"/>
    <col min="13058" max="13058" width="5.875" style="551" customWidth="1"/>
    <col min="13059" max="13059" width="6.375" style="551" customWidth="1"/>
    <col min="13060" max="13060" width="29.5" style="551" customWidth="1"/>
    <col min="13061" max="13061" width="8.375" style="551" customWidth="1"/>
    <col min="13062" max="13062" width="8.625" style="551" customWidth="1"/>
    <col min="13063" max="13065" width="9" style="551" customWidth="1"/>
    <col min="13066" max="13066" width="11.25" style="551" customWidth="1"/>
    <col min="13067" max="13068" width="11.75" style="551" customWidth="1"/>
    <col min="13069" max="13072" width="9" style="551" customWidth="1"/>
    <col min="13073" max="13073" width="11.875" style="551" customWidth="1"/>
    <col min="13074" max="13304" width="9" style="551" customWidth="1"/>
    <col min="13305" max="13305" width="5.75" style="551" customWidth="1"/>
    <col min="13306" max="13306" width="14.25" style="551" customWidth="1"/>
    <col min="13307" max="13307" width="6.375" style="551" customWidth="1"/>
    <col min="13308" max="13308" width="5.875" style="551" customWidth="1"/>
    <col min="13309" max="13309" width="5.625" style="551" customWidth="1"/>
    <col min="13310" max="13310" width="6.5" style="551" customWidth="1"/>
    <col min="13311" max="13311" width="8.875" style="551" customWidth="1"/>
    <col min="13312" max="13312" width="8.625" style="551" customWidth="1"/>
    <col min="13313" max="13313" width="6.125" style="551" customWidth="1"/>
    <col min="13314" max="13314" width="5.875" style="551" customWidth="1"/>
    <col min="13315" max="13315" width="6.375" style="551" customWidth="1"/>
    <col min="13316" max="13316" width="29.5" style="551" customWidth="1"/>
    <col min="13317" max="13317" width="8.375" style="551" customWidth="1"/>
    <col min="13318" max="13318" width="8.625" style="551" customWidth="1"/>
    <col min="13319" max="13321" width="9" style="551" customWidth="1"/>
    <col min="13322" max="13322" width="11.25" style="551" customWidth="1"/>
    <col min="13323" max="13324" width="11.75" style="551" customWidth="1"/>
    <col min="13325" max="13328" width="9" style="551" customWidth="1"/>
    <col min="13329" max="13329" width="11.875" style="551" customWidth="1"/>
    <col min="13330" max="13560" width="9" style="551" customWidth="1"/>
    <col min="13561" max="13561" width="5.75" style="551" customWidth="1"/>
    <col min="13562" max="13562" width="14.25" style="551" customWidth="1"/>
    <col min="13563" max="13563" width="6.375" style="551" customWidth="1"/>
    <col min="13564" max="13564" width="5.875" style="551" customWidth="1"/>
    <col min="13565" max="13565" width="5.625" style="551" customWidth="1"/>
    <col min="13566" max="13566" width="6.5" style="551" customWidth="1"/>
    <col min="13567" max="13567" width="8.875" style="551" customWidth="1"/>
    <col min="13568" max="13568" width="8.625" style="551" customWidth="1"/>
    <col min="13569" max="13569" width="6.125" style="551" customWidth="1"/>
    <col min="13570" max="13570" width="5.875" style="551" customWidth="1"/>
    <col min="13571" max="13571" width="6.375" style="551" customWidth="1"/>
    <col min="13572" max="13572" width="29.5" style="551" customWidth="1"/>
    <col min="13573" max="13573" width="8.375" style="551" customWidth="1"/>
    <col min="13574" max="13574" width="8.625" style="551" customWidth="1"/>
    <col min="13575" max="13577" width="9" style="551" customWidth="1"/>
    <col min="13578" max="13578" width="11.25" style="551" customWidth="1"/>
    <col min="13579" max="13580" width="11.75" style="551" customWidth="1"/>
    <col min="13581" max="13584" width="9" style="551" customWidth="1"/>
    <col min="13585" max="13585" width="11.875" style="551" customWidth="1"/>
    <col min="13586" max="13816" width="9" style="551" customWidth="1"/>
    <col min="13817" max="13817" width="5.75" style="551" customWidth="1"/>
    <col min="13818" max="13818" width="14.25" style="551" customWidth="1"/>
    <col min="13819" max="13819" width="6.375" style="551" customWidth="1"/>
    <col min="13820" max="13820" width="5.875" style="551" customWidth="1"/>
    <col min="13821" max="13821" width="5.625" style="551" customWidth="1"/>
    <col min="13822" max="13822" width="6.5" style="551" customWidth="1"/>
    <col min="13823" max="13823" width="8.875" style="551" customWidth="1"/>
    <col min="13824" max="13824" width="8.625" style="551" customWidth="1"/>
    <col min="13825" max="13825" width="6.125" style="551" customWidth="1"/>
    <col min="13826" max="13826" width="5.875" style="551" customWidth="1"/>
    <col min="13827" max="13827" width="6.375" style="551" customWidth="1"/>
    <col min="13828" max="13828" width="29.5" style="551" customWidth="1"/>
    <col min="13829" max="13829" width="8.375" style="551" customWidth="1"/>
    <col min="13830" max="13830" width="8.625" style="551" customWidth="1"/>
    <col min="13831" max="13833" width="9" style="551" customWidth="1"/>
    <col min="13834" max="13834" width="11.25" style="551" customWidth="1"/>
    <col min="13835" max="13836" width="11.75" style="551" customWidth="1"/>
    <col min="13837" max="13840" width="9" style="551" customWidth="1"/>
    <col min="13841" max="13841" width="11.875" style="551" customWidth="1"/>
    <col min="13842" max="14072" width="9" style="551" customWidth="1"/>
    <col min="14073" max="14073" width="5.75" style="551" customWidth="1"/>
    <col min="14074" max="14074" width="14.25" style="551" customWidth="1"/>
    <col min="14075" max="14075" width="6.375" style="551" customWidth="1"/>
    <col min="14076" max="14076" width="5.875" style="551" customWidth="1"/>
    <col min="14077" max="14077" width="5.625" style="551" customWidth="1"/>
    <col min="14078" max="14078" width="6.5" style="551" customWidth="1"/>
    <col min="14079" max="14079" width="8.875" style="551" customWidth="1"/>
    <col min="14080" max="14080" width="8.625" style="551" customWidth="1"/>
    <col min="14081" max="14081" width="6.125" style="551" customWidth="1"/>
    <col min="14082" max="14082" width="5.875" style="551" customWidth="1"/>
    <col min="14083" max="14083" width="6.375" style="551" customWidth="1"/>
    <col min="14084" max="14084" width="29.5" style="551" customWidth="1"/>
    <col min="14085" max="14085" width="8.375" style="551" customWidth="1"/>
    <col min="14086" max="14086" width="8.625" style="551" customWidth="1"/>
    <col min="14087" max="14089" width="9" style="551" customWidth="1"/>
    <col min="14090" max="14090" width="11.25" style="551" customWidth="1"/>
    <col min="14091" max="14092" width="11.75" style="551" customWidth="1"/>
    <col min="14093" max="14096" width="9" style="551" customWidth="1"/>
    <col min="14097" max="14097" width="11.875" style="551" customWidth="1"/>
    <col min="14098" max="14328" width="9" style="551" customWidth="1"/>
    <col min="14329" max="14329" width="5.75" style="551" customWidth="1"/>
    <col min="14330" max="14330" width="14.25" style="551" customWidth="1"/>
    <col min="14331" max="14331" width="6.375" style="551" customWidth="1"/>
    <col min="14332" max="14332" width="5.875" style="551" customWidth="1"/>
    <col min="14333" max="14333" width="5.625" style="551" customWidth="1"/>
    <col min="14334" max="14334" width="6.5" style="551" customWidth="1"/>
    <col min="14335" max="14335" width="8.875" style="551" customWidth="1"/>
    <col min="14336" max="14336" width="8.625" style="551" customWidth="1"/>
    <col min="14337" max="14337" width="6.125" style="551" customWidth="1"/>
    <col min="14338" max="14338" width="5.875" style="551" customWidth="1"/>
    <col min="14339" max="14339" width="6.375" style="551" customWidth="1"/>
    <col min="14340" max="14340" width="29.5" style="551" customWidth="1"/>
    <col min="14341" max="14341" width="8.375" style="551" customWidth="1"/>
    <col min="14342" max="14342" width="8.625" style="551" customWidth="1"/>
    <col min="14343" max="14345" width="9" style="551" customWidth="1"/>
    <col min="14346" max="14346" width="11.25" style="551" customWidth="1"/>
    <col min="14347" max="14348" width="11.75" style="551" customWidth="1"/>
    <col min="14349" max="14352" width="9" style="551" customWidth="1"/>
    <col min="14353" max="14353" width="11.875" style="551" customWidth="1"/>
    <col min="14354" max="14584" width="9" style="551" customWidth="1"/>
    <col min="14585" max="14585" width="5.75" style="551" customWidth="1"/>
    <col min="14586" max="14586" width="14.25" style="551" customWidth="1"/>
    <col min="14587" max="14587" width="6.375" style="551" customWidth="1"/>
    <col min="14588" max="14588" width="5.875" style="551" customWidth="1"/>
    <col min="14589" max="14589" width="5.625" style="551" customWidth="1"/>
    <col min="14590" max="14590" width="6.5" style="551" customWidth="1"/>
    <col min="14591" max="14591" width="8.875" style="551" customWidth="1"/>
    <col min="14592" max="14592" width="8.625" style="551" customWidth="1"/>
    <col min="14593" max="14593" width="6.125" style="551" customWidth="1"/>
    <col min="14594" max="14594" width="5.875" style="551" customWidth="1"/>
    <col min="14595" max="14595" width="6.375" style="551" customWidth="1"/>
    <col min="14596" max="14596" width="29.5" style="551" customWidth="1"/>
    <col min="14597" max="14597" width="8.375" style="551" customWidth="1"/>
    <col min="14598" max="14598" width="8.625" style="551" customWidth="1"/>
    <col min="14599" max="14601" width="9" style="551" customWidth="1"/>
    <col min="14602" max="14602" width="11.25" style="551" customWidth="1"/>
    <col min="14603" max="14604" width="11.75" style="551" customWidth="1"/>
    <col min="14605" max="14608" width="9" style="551" customWidth="1"/>
    <col min="14609" max="14609" width="11.875" style="551" customWidth="1"/>
    <col min="14610" max="14840" width="9" style="551" customWidth="1"/>
    <col min="14841" max="14841" width="5.75" style="551" customWidth="1"/>
    <col min="14842" max="14842" width="14.25" style="551" customWidth="1"/>
    <col min="14843" max="14843" width="6.375" style="551" customWidth="1"/>
    <col min="14844" max="14844" width="5.875" style="551" customWidth="1"/>
    <col min="14845" max="14845" width="5.625" style="551" customWidth="1"/>
    <col min="14846" max="14846" width="6.5" style="551" customWidth="1"/>
    <col min="14847" max="14847" width="8.875" style="551" customWidth="1"/>
    <col min="14848" max="14848" width="8.625" style="551" customWidth="1"/>
    <col min="14849" max="14849" width="6.125" style="551" customWidth="1"/>
    <col min="14850" max="14850" width="5.875" style="551" customWidth="1"/>
    <col min="14851" max="14851" width="6.375" style="551" customWidth="1"/>
    <col min="14852" max="14852" width="29.5" style="551" customWidth="1"/>
    <col min="14853" max="14853" width="8.375" style="551" customWidth="1"/>
    <col min="14854" max="14854" width="8.625" style="551" customWidth="1"/>
    <col min="14855" max="14857" width="9" style="551" customWidth="1"/>
    <col min="14858" max="14858" width="11.25" style="551" customWidth="1"/>
    <col min="14859" max="14860" width="11.75" style="551" customWidth="1"/>
    <col min="14861" max="14864" width="9" style="551" customWidth="1"/>
    <col min="14865" max="14865" width="11.875" style="551" customWidth="1"/>
    <col min="14866" max="15096" width="9" style="551" customWidth="1"/>
    <col min="15097" max="15097" width="5.75" style="551" customWidth="1"/>
    <col min="15098" max="15098" width="14.25" style="551" customWidth="1"/>
    <col min="15099" max="15099" width="6.375" style="551" customWidth="1"/>
    <col min="15100" max="15100" width="5.875" style="551" customWidth="1"/>
    <col min="15101" max="15101" width="5.625" style="551" customWidth="1"/>
    <col min="15102" max="15102" width="6.5" style="551" customWidth="1"/>
    <col min="15103" max="15103" width="8.875" style="551" customWidth="1"/>
    <col min="15104" max="15104" width="8.625" style="551" customWidth="1"/>
    <col min="15105" max="15105" width="6.125" style="551" customWidth="1"/>
    <col min="15106" max="15106" width="5.875" style="551" customWidth="1"/>
    <col min="15107" max="15107" width="6.375" style="551" customWidth="1"/>
    <col min="15108" max="15108" width="29.5" style="551" customWidth="1"/>
    <col min="15109" max="15109" width="8.375" style="551" customWidth="1"/>
    <col min="15110" max="15110" width="8.625" style="551" customWidth="1"/>
    <col min="15111" max="15113" width="9" style="551" customWidth="1"/>
    <col min="15114" max="15114" width="11.25" style="551" customWidth="1"/>
    <col min="15115" max="15116" width="11.75" style="551" customWidth="1"/>
    <col min="15117" max="15120" width="9" style="551" customWidth="1"/>
    <col min="15121" max="15121" width="11.875" style="551" customWidth="1"/>
    <col min="15122" max="15352" width="9" style="551" customWidth="1"/>
    <col min="15353" max="15353" width="5.75" style="551" customWidth="1"/>
    <col min="15354" max="15354" width="14.25" style="551" customWidth="1"/>
    <col min="15355" max="15355" width="6.375" style="551" customWidth="1"/>
    <col min="15356" max="15356" width="5.875" style="551" customWidth="1"/>
    <col min="15357" max="15357" width="5.625" style="551" customWidth="1"/>
    <col min="15358" max="15358" width="6.5" style="551" customWidth="1"/>
    <col min="15359" max="15359" width="8.875" style="551" customWidth="1"/>
    <col min="15360" max="15360" width="8.625" style="551" customWidth="1"/>
    <col min="15361" max="15361" width="6.125" style="551" customWidth="1"/>
    <col min="15362" max="15362" width="5.875" style="551" customWidth="1"/>
    <col min="15363" max="15363" width="6.375" style="551" customWidth="1"/>
    <col min="15364" max="15364" width="29.5" style="551" customWidth="1"/>
    <col min="15365" max="15365" width="8.375" style="551" customWidth="1"/>
    <col min="15366" max="15366" width="8.625" style="551" customWidth="1"/>
    <col min="15367" max="15369" width="9" style="551" customWidth="1"/>
    <col min="15370" max="15370" width="11.25" style="551" customWidth="1"/>
    <col min="15371" max="15372" width="11.75" style="551" customWidth="1"/>
    <col min="15373" max="15376" width="9" style="551" customWidth="1"/>
    <col min="15377" max="15377" width="11.875" style="551" customWidth="1"/>
    <col min="15378" max="15608" width="9" style="551" customWidth="1"/>
    <col min="15609" max="15609" width="5.75" style="551" customWidth="1"/>
    <col min="15610" max="15610" width="14.25" style="551" customWidth="1"/>
    <col min="15611" max="15611" width="6.375" style="551" customWidth="1"/>
    <col min="15612" max="15612" width="5.875" style="551" customWidth="1"/>
    <col min="15613" max="15613" width="5.625" style="551" customWidth="1"/>
    <col min="15614" max="15614" width="6.5" style="551" customWidth="1"/>
    <col min="15615" max="15615" width="8.875" style="551" customWidth="1"/>
    <col min="15616" max="15616" width="8.625" style="551" customWidth="1"/>
    <col min="15617" max="15617" width="6.125" style="551" customWidth="1"/>
    <col min="15618" max="15618" width="5.875" style="551" customWidth="1"/>
    <col min="15619" max="15619" width="6.375" style="551" customWidth="1"/>
    <col min="15620" max="15620" width="29.5" style="551" customWidth="1"/>
    <col min="15621" max="15621" width="8.375" style="551" customWidth="1"/>
    <col min="15622" max="15622" width="8.625" style="551" customWidth="1"/>
    <col min="15623" max="15625" width="9" style="551" customWidth="1"/>
    <col min="15626" max="15626" width="11.25" style="551" customWidth="1"/>
    <col min="15627" max="15628" width="11.75" style="551" customWidth="1"/>
    <col min="15629" max="15632" width="9" style="551" customWidth="1"/>
    <col min="15633" max="15633" width="11.875" style="551" customWidth="1"/>
    <col min="15634" max="15864" width="9" style="551" customWidth="1"/>
    <col min="15865" max="15865" width="5.75" style="551" customWidth="1"/>
    <col min="15866" max="15866" width="14.25" style="551" customWidth="1"/>
    <col min="15867" max="15867" width="6.375" style="551" customWidth="1"/>
    <col min="15868" max="15868" width="5.875" style="551" customWidth="1"/>
    <col min="15869" max="15869" width="5.625" style="551" customWidth="1"/>
    <col min="15870" max="15870" width="6.5" style="551" customWidth="1"/>
    <col min="15871" max="15871" width="8.875" style="551" customWidth="1"/>
    <col min="15872" max="15872" width="8.625" style="551" customWidth="1"/>
    <col min="15873" max="15873" width="6.125" style="551" customWidth="1"/>
    <col min="15874" max="15874" width="5.875" style="551" customWidth="1"/>
    <col min="15875" max="15875" width="6.375" style="551" customWidth="1"/>
    <col min="15876" max="15876" width="29.5" style="551" customWidth="1"/>
    <col min="15877" max="15877" width="8.375" style="551" customWidth="1"/>
    <col min="15878" max="15878" width="8.625" style="551" customWidth="1"/>
    <col min="15879" max="15881" width="9" style="551" customWidth="1"/>
    <col min="15882" max="15882" width="11.25" style="551" customWidth="1"/>
    <col min="15883" max="15884" width="11.75" style="551" customWidth="1"/>
    <col min="15885" max="15888" width="9" style="551" customWidth="1"/>
    <col min="15889" max="15889" width="11.875" style="551" customWidth="1"/>
    <col min="15890" max="16120" width="9" style="551" customWidth="1"/>
    <col min="16121" max="16121" width="5.75" style="551" customWidth="1"/>
    <col min="16122" max="16122" width="14.25" style="551" customWidth="1"/>
    <col min="16123" max="16123" width="6.375" style="551" customWidth="1"/>
    <col min="16124" max="16124" width="5.875" style="551" customWidth="1"/>
    <col min="16125" max="16125" width="5.625" style="551" customWidth="1"/>
    <col min="16126" max="16126" width="6.5" style="551" customWidth="1"/>
    <col min="16127" max="16127" width="8.875" style="551" customWidth="1"/>
    <col min="16128" max="16128" width="8.625" style="551" customWidth="1"/>
    <col min="16129" max="16129" width="6.125" style="551" customWidth="1"/>
    <col min="16130" max="16130" width="5.875" style="551" customWidth="1"/>
    <col min="16131" max="16131" width="6.375" style="551" customWidth="1"/>
    <col min="16132" max="16132" width="29.5" style="551" customWidth="1"/>
    <col min="16133" max="16133" width="8.375" style="551" customWidth="1"/>
    <col min="16134" max="16134" width="8.625" style="551" customWidth="1"/>
    <col min="16135" max="16137" width="9" style="551" customWidth="1"/>
    <col min="16138" max="16138" width="11.25" style="551" customWidth="1"/>
    <col min="16139" max="16140" width="11.75" style="551" customWidth="1"/>
    <col min="16141" max="16144" width="9" style="551" customWidth="1"/>
    <col min="16145" max="16145" width="11.875" style="551" customWidth="1"/>
    <col min="16146" max="16384" width="9" style="551" customWidth="1"/>
  </cols>
  <sheetData>
    <row r="1" ht="30" customHeight="1" spans="1:25" s="555" customFormat="1" x14ac:dyDescent="0.25">
      <c r="A1" s="556" t="s">
        <v>24</v>
      </c>
      <c r="B1" s="556"/>
      <c r="C1" s="556"/>
      <c r="D1" s="556"/>
      <c r="E1" s="556"/>
      <c r="F1" s="556"/>
      <c r="G1" s="556"/>
      <c r="H1" s="556"/>
      <c r="I1" s="556"/>
      <c r="J1" s="556"/>
      <c r="K1" s="556"/>
      <c r="L1" s="555"/>
      <c r="M1" s="555"/>
      <c r="N1" s="555"/>
      <c r="O1" s="555"/>
      <c r="P1" s="557"/>
      <c r="Q1" s="555"/>
      <c r="R1" s="555"/>
      <c r="S1" s="555"/>
      <c r="T1" s="555"/>
      <c r="U1" s="555"/>
      <c r="V1" s="555"/>
      <c r="W1" s="555"/>
      <c r="X1" s="555"/>
      <c r="Y1" s="555"/>
    </row>
    <row r="2" ht="22.15" customHeight="1" spans="1:25" s="555" customFormat="1" x14ac:dyDescent="0.25">
      <c r="A2" s="558" t="s">
        <v>25</v>
      </c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5"/>
      <c r="M2" s="555"/>
      <c r="N2" s="555"/>
      <c r="O2" s="555"/>
      <c r="P2" s="557"/>
      <c r="Q2" s="555"/>
      <c r="R2" s="555"/>
      <c r="S2" s="555"/>
      <c r="T2" s="555"/>
      <c r="U2" s="555"/>
      <c r="V2" s="555"/>
      <c r="W2" s="555"/>
      <c r="X2" s="555"/>
      <c r="Y2" s="555"/>
    </row>
    <row r="3" ht="30" customHeight="1" spans="1:25" x14ac:dyDescent="0.25">
      <c r="A3" s="559" t="s">
        <v>194</v>
      </c>
      <c r="B3" s="559"/>
      <c r="C3" s="559"/>
      <c r="D3" s="559"/>
      <c r="E3" s="559"/>
      <c r="F3" s="559"/>
      <c r="G3" s="559"/>
      <c r="H3" s="559"/>
      <c r="I3" s="559"/>
      <c r="J3" s="559"/>
      <c r="K3" s="559"/>
      <c r="L3" s="551"/>
      <c r="M3" s="551"/>
      <c r="N3" s="551"/>
      <c r="O3" s="551"/>
      <c r="P3" s="553"/>
      <c r="Q3" s="551"/>
      <c r="R3" s="551"/>
      <c r="S3" s="551"/>
      <c r="T3" s="551"/>
      <c r="U3" s="551"/>
      <c r="V3" s="551"/>
      <c r="W3" s="551"/>
      <c r="X3" s="551"/>
      <c r="Y3" s="551"/>
    </row>
    <row r="4" ht="6" customHeight="1" spans="1:25" x14ac:dyDescent="0.25">
      <c r="A4" s="560"/>
      <c r="B4" s="560"/>
      <c r="C4" s="560"/>
      <c r="D4" s="560"/>
      <c r="E4" s="560"/>
      <c r="F4" s="560"/>
      <c r="G4" s="560"/>
      <c r="H4" s="560"/>
      <c r="I4" s="560"/>
      <c r="J4" s="560"/>
      <c r="K4" s="554"/>
      <c r="L4" s="551"/>
      <c r="M4" s="551"/>
      <c r="N4" s="551"/>
      <c r="O4" s="551"/>
      <c r="P4" s="553"/>
      <c r="Q4" s="551"/>
      <c r="R4" s="551"/>
      <c r="S4" s="551"/>
      <c r="T4" s="551"/>
      <c r="U4" s="551"/>
      <c r="V4" s="551"/>
      <c r="W4" s="551"/>
      <c r="X4" s="551"/>
      <c r="Y4" s="551"/>
    </row>
    <row r="5" ht="21.75" customHeight="1" spans="1:25" s="561" customFormat="1" x14ac:dyDescent="0.25">
      <c r="A5" s="562" t="s">
        <v>195</v>
      </c>
      <c r="B5" s="563"/>
      <c r="C5" s="563"/>
      <c r="D5" s="563"/>
      <c r="E5" s="564"/>
      <c r="F5" s="563"/>
      <c r="G5" s="565"/>
      <c r="H5" s="566" t="s">
        <v>196</v>
      </c>
      <c r="I5" s="566"/>
      <c r="J5" s="566"/>
      <c r="K5" s="566"/>
      <c r="L5" s="567"/>
      <c r="M5" s="567"/>
      <c r="N5" s="567"/>
      <c r="O5" s="567"/>
      <c r="P5" s="568"/>
      <c r="Q5" s="567"/>
      <c r="R5" s="567"/>
      <c r="S5" s="567"/>
      <c r="T5" s="567"/>
      <c r="U5" s="567"/>
      <c r="V5" s="567"/>
      <c r="W5" s="567"/>
      <c r="X5" s="567"/>
      <c r="Y5" s="567"/>
    </row>
    <row r="6" ht="21.75" customHeight="1" spans="1:25" s="561" customFormat="1" x14ac:dyDescent="0.25">
      <c r="A6" s="562" t="s">
        <v>197</v>
      </c>
      <c r="B6" s="563"/>
      <c r="C6" s="563"/>
      <c r="D6" s="563"/>
      <c r="E6" s="564"/>
      <c r="F6" s="563"/>
      <c r="G6" s="569"/>
      <c r="H6" s="566" t="s">
        <v>198</v>
      </c>
      <c r="I6" s="566"/>
      <c r="J6" s="566"/>
      <c r="K6" s="566"/>
      <c r="L6" s="567"/>
      <c r="M6" s="567"/>
      <c r="N6" s="567"/>
      <c r="O6" s="567"/>
      <c r="P6" s="568"/>
      <c r="Q6" s="567"/>
      <c r="R6" s="567"/>
      <c r="S6" s="567"/>
      <c r="T6" s="567"/>
      <c r="U6" s="567"/>
      <c r="V6" s="567"/>
      <c r="W6" s="567"/>
      <c r="X6" s="567"/>
      <c r="Y6" s="567"/>
    </row>
    <row r="7" ht="6.75" customHeight="1" spans="1:25" x14ac:dyDescent="0.25">
      <c r="A7" s="570"/>
      <c r="B7" s="570"/>
      <c r="C7" s="571"/>
      <c r="D7" s="571"/>
      <c r="E7" s="572"/>
      <c r="F7" s="571"/>
      <c r="G7" s="573"/>
      <c r="H7" s="573"/>
      <c r="I7" s="571"/>
      <c r="J7" s="571"/>
      <c r="K7" s="554"/>
      <c r="L7" s="551"/>
      <c r="M7" s="551"/>
      <c r="N7" s="551"/>
      <c r="O7" s="551"/>
      <c r="P7" s="553"/>
      <c r="Q7" s="551"/>
      <c r="R7" s="551"/>
      <c r="S7" s="551"/>
      <c r="T7" s="551"/>
      <c r="U7" s="551"/>
      <c r="V7" s="551"/>
      <c r="W7" s="551"/>
      <c r="X7" s="551"/>
      <c r="Y7" s="551"/>
    </row>
    <row r="8" ht="15" customHeight="1" spans="1:25" s="567" customFormat="1" x14ac:dyDescent="0.25">
      <c r="A8" s="574" t="s">
        <v>199</v>
      </c>
      <c r="B8" s="574" t="s">
        <v>200</v>
      </c>
      <c r="C8" s="574" t="s">
        <v>67</v>
      </c>
      <c r="D8" s="574" t="s">
        <v>201</v>
      </c>
      <c r="E8" s="575" t="s">
        <v>202</v>
      </c>
      <c r="F8" s="574" t="s">
        <v>203</v>
      </c>
      <c r="G8" s="576" t="s">
        <v>204</v>
      </c>
      <c r="H8" s="576" t="s">
        <v>205</v>
      </c>
      <c r="I8" s="574" t="s">
        <v>206</v>
      </c>
      <c r="J8" s="574" t="s">
        <v>207</v>
      </c>
      <c r="K8" s="574" t="s">
        <v>208</v>
      </c>
      <c r="L8" s="577"/>
      <c r="M8" s="567"/>
      <c r="N8" s="567"/>
      <c r="O8" s="567"/>
      <c r="P8" s="577"/>
      <c r="Q8" s="567"/>
      <c r="R8" s="567"/>
      <c r="S8" s="567"/>
      <c r="T8" s="567"/>
      <c r="U8" s="567"/>
      <c r="V8" s="567"/>
      <c r="W8" s="567"/>
      <c r="X8" s="567"/>
      <c r="Y8" s="567"/>
    </row>
    <row r="9" ht="15.75" customHeight="1" spans="1:25" s="567" customFormat="1" x14ac:dyDescent="0.25">
      <c r="A9" s="578"/>
      <c r="B9" s="578"/>
      <c r="C9" s="578"/>
      <c r="D9" s="574"/>
      <c r="E9" s="579"/>
      <c r="F9" s="578"/>
      <c r="G9" s="576" t="s">
        <v>209</v>
      </c>
      <c r="H9" s="580" t="s">
        <v>209</v>
      </c>
      <c r="I9" s="578"/>
      <c r="J9" s="578"/>
      <c r="K9" s="578"/>
      <c r="L9" s="577"/>
      <c r="M9" s="567"/>
      <c r="N9" s="567"/>
      <c r="O9" s="567"/>
      <c r="P9" s="577"/>
      <c r="Q9" s="567"/>
      <c r="R9" s="567"/>
      <c r="S9" s="567"/>
      <c r="T9" s="567"/>
      <c r="U9" s="567"/>
      <c r="V9" s="567"/>
      <c r="W9" s="567"/>
      <c r="X9" s="567"/>
      <c r="Y9" s="567"/>
    </row>
    <row r="10" ht="26.1" customHeight="1" spans="1:25" s="567" customFormat="1" x14ac:dyDescent="0.25">
      <c r="A10" s="581"/>
      <c r="B10" s="582"/>
      <c r="C10" s="582"/>
      <c r="D10" s="582"/>
      <c r="E10" s="583"/>
      <c r="F10" s="582"/>
      <c r="G10" s="582"/>
      <c r="H10" s="584"/>
      <c r="I10" s="582"/>
      <c r="J10" s="582"/>
      <c r="K10" s="582"/>
      <c r="L10" s="577"/>
      <c r="M10" s="567"/>
      <c r="N10" s="567"/>
      <c r="O10" s="567"/>
      <c r="P10" s="577"/>
      <c r="Q10" s="567"/>
      <c r="R10" s="567"/>
      <c r="S10" s="567"/>
      <c r="T10" s="567"/>
      <c r="U10" s="567"/>
      <c r="V10" s="567"/>
      <c r="W10" s="567"/>
      <c r="X10" s="567"/>
      <c r="Y10" s="567"/>
    </row>
    <row r="11" ht="30" customHeight="1" spans="1:25" x14ac:dyDescent="0.25">
      <c r="A11" s="551"/>
      <c r="B11" s="551"/>
      <c r="C11" s="551"/>
      <c r="D11" s="551"/>
      <c r="E11" s="552"/>
      <c r="F11" s="551"/>
      <c r="G11" s="553"/>
      <c r="H11" s="553"/>
      <c r="I11" s="551"/>
      <c r="J11" s="551"/>
      <c r="K11" s="554"/>
      <c r="L11" s="551"/>
      <c r="M11" s="551"/>
      <c r="N11" s="551"/>
      <c r="O11" s="551"/>
      <c r="P11" s="553"/>
      <c r="Q11" s="551"/>
      <c r="R11" s="551"/>
      <c r="S11" s="551"/>
      <c r="T11" s="551"/>
      <c r="U11" s="551"/>
      <c r="V11" s="551"/>
      <c r="W11" s="551"/>
      <c r="X11" s="551"/>
      <c r="Y11" s="551"/>
    </row>
    <row r="12" ht="30" customHeight="1" spans="1:25" x14ac:dyDescent="0.25">
      <c r="A12" s="551"/>
      <c r="B12" s="551"/>
      <c r="C12" s="551"/>
      <c r="D12" s="551"/>
      <c r="E12" s="552"/>
      <c r="F12" s="551"/>
      <c r="G12" s="553"/>
      <c r="H12" s="553"/>
      <c r="I12" s="551"/>
      <c r="J12" s="551"/>
      <c r="K12" s="554"/>
      <c r="L12" s="551"/>
      <c r="M12" s="551"/>
      <c r="N12" s="551"/>
      <c r="O12" s="551"/>
      <c r="P12" s="553"/>
      <c r="Q12" s="551"/>
      <c r="R12" s="551"/>
      <c r="S12" s="551"/>
      <c r="T12" s="551"/>
      <c r="U12" s="551"/>
      <c r="V12" s="551"/>
      <c r="W12" s="551"/>
      <c r="X12" s="551"/>
      <c r="Y12" s="551"/>
    </row>
    <row r="13" ht="30" customHeight="1" spans="1:25" x14ac:dyDescent="0.25">
      <c r="A13" s="551"/>
      <c r="B13" s="551"/>
      <c r="C13" s="551"/>
      <c r="D13" s="551"/>
      <c r="E13" s="552"/>
      <c r="F13" s="551"/>
      <c r="G13" s="553"/>
      <c r="H13" s="553"/>
      <c r="I13" s="551"/>
      <c r="J13" s="551"/>
      <c r="K13" s="554"/>
      <c r="L13" s="551"/>
      <c r="M13" s="551"/>
      <c r="N13" s="551"/>
      <c r="O13" s="551"/>
      <c r="P13" s="553"/>
      <c r="Q13" s="551"/>
      <c r="R13" s="551"/>
      <c r="S13" s="551"/>
      <c r="T13" s="551"/>
      <c r="U13" s="551"/>
      <c r="V13" s="551"/>
      <c r="W13" s="551"/>
      <c r="X13" s="551"/>
      <c r="Y13" s="551"/>
    </row>
    <row r="14" spans="1:25" x14ac:dyDescent="0.25">
      <c r="A14" s="551"/>
      <c r="B14" s="551"/>
      <c r="C14" s="551"/>
      <c r="D14" s="551"/>
      <c r="E14" s="552"/>
      <c r="F14" s="551"/>
      <c r="G14" s="553"/>
      <c r="H14" s="553"/>
      <c r="I14" s="551"/>
      <c r="J14" s="551"/>
      <c r="K14" s="554"/>
      <c r="L14" s="551"/>
      <c r="M14" s="551"/>
      <c r="N14" s="551"/>
      <c r="O14" s="551"/>
      <c r="P14" s="553"/>
      <c r="Q14" s="551"/>
      <c r="R14" s="551"/>
      <c r="S14" s="551"/>
      <c r="T14" s="551"/>
      <c r="U14" s="551"/>
      <c r="V14" s="551"/>
      <c r="W14" s="551"/>
      <c r="X14" s="551"/>
      <c r="Y14" s="551"/>
    </row>
    <row r="15" spans="1:25" x14ac:dyDescent="0.25">
      <c r="A15" s="551"/>
      <c r="B15" s="551"/>
      <c r="C15" s="551"/>
      <c r="D15" s="551"/>
      <c r="E15" s="552"/>
      <c r="F15" s="551"/>
      <c r="G15" s="553"/>
      <c r="H15" s="553"/>
      <c r="I15" s="551"/>
      <c r="J15" s="551"/>
      <c r="K15" s="554"/>
      <c r="L15" s="551"/>
      <c r="M15" s="551"/>
      <c r="N15" s="551"/>
      <c r="O15" s="551"/>
      <c r="P15" s="553"/>
      <c r="Q15" s="551"/>
      <c r="R15" s="551"/>
      <c r="S15" s="551"/>
      <c r="T15" s="551"/>
      <c r="U15" s="551"/>
      <c r="V15" s="551"/>
      <c r="W15" s="551"/>
      <c r="X15" s="551"/>
      <c r="Y15" s="551"/>
    </row>
    <row r="16" spans="1:25" x14ac:dyDescent="0.25">
      <c r="A16" s="551"/>
      <c r="B16" s="551"/>
      <c r="C16" s="551"/>
      <c r="D16" s="551"/>
      <c r="E16" s="552"/>
      <c r="F16" s="551"/>
      <c r="G16" s="553"/>
      <c r="H16" s="553"/>
      <c r="I16" s="551"/>
      <c r="J16" s="551"/>
      <c r="K16" s="554"/>
      <c r="L16" s="551"/>
      <c r="M16" s="551"/>
      <c r="N16" s="551"/>
      <c r="O16" s="551"/>
      <c r="P16" s="553"/>
      <c r="Q16" s="551"/>
      <c r="R16" s="551"/>
      <c r="S16" s="551"/>
      <c r="T16" s="551"/>
      <c r="U16" s="551"/>
      <c r="V16" s="551"/>
      <c r="W16" s="551"/>
      <c r="X16" s="551"/>
      <c r="Y16" s="551"/>
    </row>
    <row r="17" spans="1:25" x14ac:dyDescent="0.25">
      <c r="A17" s="551"/>
      <c r="B17" s="551"/>
      <c r="C17" s="551"/>
      <c r="D17" s="551"/>
      <c r="E17" s="552"/>
      <c r="F17" s="551"/>
      <c r="G17" s="553"/>
      <c r="H17" s="553"/>
      <c r="I17" s="551"/>
      <c r="J17" s="551"/>
      <c r="K17" s="554"/>
      <c r="L17" s="551"/>
      <c r="M17" s="551"/>
      <c r="N17" s="551"/>
      <c r="O17" s="551"/>
      <c r="P17" s="553"/>
      <c r="Q17" s="551"/>
      <c r="R17" s="551"/>
      <c r="S17" s="551"/>
      <c r="T17" s="551"/>
      <c r="U17" s="551"/>
      <c r="V17" s="551"/>
      <c r="W17" s="551"/>
      <c r="X17" s="551"/>
      <c r="Y17" s="551"/>
    </row>
    <row r="18" spans="1:25" x14ac:dyDescent="0.25">
      <c r="A18" s="551"/>
      <c r="B18" s="551"/>
      <c r="C18" s="551"/>
      <c r="D18" s="551"/>
      <c r="E18" s="552"/>
      <c r="F18" s="551"/>
      <c r="G18" s="553"/>
      <c r="H18" s="553"/>
      <c r="I18" s="551"/>
      <c r="J18" s="551"/>
      <c r="K18" s="554"/>
      <c r="L18" s="551"/>
      <c r="M18" s="551"/>
      <c r="N18" s="551"/>
      <c r="O18" s="551"/>
      <c r="P18" s="553"/>
      <c r="Q18" s="551"/>
      <c r="R18" s="551"/>
      <c r="S18" s="551"/>
      <c r="T18" s="551"/>
      <c r="U18" s="551"/>
      <c r="V18" s="551"/>
      <c r="W18" s="551"/>
      <c r="X18" s="551"/>
      <c r="Y18" s="551"/>
    </row>
    <row r="19" spans="1:11" x14ac:dyDescent="0.25">
      <c r="A19" s="551"/>
      <c r="B19" s="551"/>
      <c r="C19" s="551"/>
      <c r="D19" s="551"/>
      <c r="E19" s="552"/>
      <c r="F19" s="551"/>
      <c r="G19" s="553"/>
      <c r="H19" s="553"/>
      <c r="I19" s="551"/>
      <c r="J19" s="551"/>
      <c r="K19" s="554"/>
    </row>
    <row r="20" spans="1:11" x14ac:dyDescent="0.25">
      <c r="A20" s="551"/>
      <c r="B20" s="551"/>
      <c r="C20" s="551"/>
      <c r="D20" s="551"/>
      <c r="E20" s="552"/>
      <c r="F20" s="551"/>
      <c r="G20" s="553"/>
      <c r="H20" s="553"/>
      <c r="I20" s="551"/>
      <c r="J20" s="551"/>
      <c r="K20" s="554"/>
    </row>
  </sheetData>
  <mergeCells count="14">
    <mergeCell ref="A1:K1"/>
    <mergeCell ref="A2:K2"/>
    <mergeCell ref="A3:K3"/>
    <mergeCell ref="H5:K5"/>
    <mergeCell ref="H6:K6"/>
    <mergeCell ref="A8:A9"/>
    <mergeCell ref="B8:B9"/>
    <mergeCell ref="C8:C9"/>
    <mergeCell ref="D8:D9"/>
    <mergeCell ref="E8:E9"/>
    <mergeCell ref="F8:F9"/>
    <mergeCell ref="I8:I9"/>
    <mergeCell ref="J8:J9"/>
    <mergeCell ref="K8:K9"/>
  </mergeCells>
  <printOptions horizontalCentered="1"/>
  <pageMargins left="0.2755905511811024" right="0.2755905511811024" top="0.7480314960629921" bottom="0.7480314960629921" header="0.31496062992125984" footer="0.31496062992125984"/>
  <pageSetup paperSize="9" orientation="portrait" horizontalDpi="4294967295" verticalDpi="4294967295" scale="75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Work</vt:lpstr>
      <vt:lpstr>Time Sheet</vt:lpstr>
      <vt:lpstr>OS-IN</vt:lpstr>
      <vt:lpstr>DM-IN</vt:lpstr>
      <vt:lpstr>OS-OUT</vt:lpstr>
      <vt:lpstr>DM-OUT</vt:lpstr>
      <vt:lpstr>Act. Cntr-Seal No List</vt:lpstr>
      <vt:lpstr>RF condition report</vt:lpstr>
      <vt:lpstr>Performance</vt:lpstr>
      <vt:lpstr>SHIFTING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office1</dc:creator>
  <cp:lastModifiedBy>USER</cp:lastModifiedBy>
  <cp:lastPrinted>2026-07-19T08:00:38Z</cp:lastPrinted>
  <dcterms:created xsi:type="dcterms:W3CDTF">2016-08-02T06:12:57Z</dcterms:created>
  <dcterms:modified xsi:type="dcterms:W3CDTF">2026-07-19T08:15:00Z</dcterms:modified>
</cp:coreProperties>
</file>